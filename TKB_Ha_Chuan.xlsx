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00" firstSheet="2" activeTab="6" autoFilterDateGrouping="1"/>
  </bookViews>
  <sheets>
    <sheet xmlns:r="http://schemas.openxmlformats.org/officeDocument/2006/relationships" name="TKB" sheetId="1" state="visible" r:id="rId1"/>
    <sheet xmlns:r="http://schemas.openxmlformats.org/officeDocument/2006/relationships" name="TKB_Mon" sheetId="2" state="visible" r:id="rId2"/>
    <sheet xmlns:r="http://schemas.openxmlformats.org/officeDocument/2006/relationships" name="TKB_GV" sheetId="3" state="visible" r:id="rId3"/>
    <sheet xmlns:r="http://schemas.openxmlformats.org/officeDocument/2006/relationships" name="PhanCong" sheetId="4" state="visible" r:id="rId4"/>
    <sheet xmlns:r="http://schemas.openxmlformats.org/officeDocument/2006/relationships" name="SoTiet" sheetId="5" state="visible" r:id="rId5"/>
    <sheet xmlns:r="http://schemas.openxmlformats.org/officeDocument/2006/relationships" name="DinhMuc_GV" sheetId="6" state="visible" r:id="rId6"/>
    <sheet xmlns:r="http://schemas.openxmlformats.org/officeDocument/2006/relationships" name="GV_Ban" sheetId="7" state="visible" r:id="rId7"/>
    <sheet xmlns:r="http://schemas.openxmlformats.org/officeDocument/2006/relationships" name="Khung" sheetId="8" state="hidden" r:id="rId8"/>
    <sheet xmlns:r="http://schemas.openxmlformats.org/officeDocument/2006/relationships" name="TKB_Nhap" sheetId="9" state="visible" r:id="rId9"/>
    <sheet xmlns:r="http://schemas.openxmlformats.org/officeDocument/2006/relationships" name="TuanConfig" sheetId="10" state="visible" r:id="rId10"/>
    <sheet xmlns:r="http://schemas.openxmlformats.org/officeDocument/2006/relationships" name="KiemTra" sheetId="11" state="visible" r:id="rId11"/>
    <sheet xmlns:r="http://schemas.openxmlformats.org/officeDocument/2006/relationships" name="HuongDan" sheetId="12" state="visible" r:id="rId12"/>
    <sheet xmlns:r="http://schemas.openxmlformats.org/officeDocument/2006/relationships" name="HuongDan_ChiTiet" sheetId="13" state="visible" r:id="rId13"/>
  </sheets>
  <definedNames>
    <definedName name="DS_Mon">PhanCong!$A$3:$A$18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Times New Roman"/>
      <family val="1"/>
      <b val="1"/>
      <sz val="13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rgb="FFFFFFFF"/>
      <sz val="15"/>
    </font>
    <font>
      <name val="Times New Roman"/>
      <family val="1"/>
      <b val="1"/>
      <color rgb="FF1F4E78"/>
      <sz val="12"/>
    </font>
    <font>
      <name val="Consolas"/>
      <family val="3"/>
      <color rgb="FFC00000"/>
      <sz val="10"/>
    </font>
    <font>
      <name val="Times New Roman"/>
      <family val="1"/>
      <b val="1"/>
      <color rgb="FFC00000"/>
      <sz val="11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Times New Roman"/>
      <family val="1"/>
      <color rgb="FF0000FF"/>
      <sz val="11"/>
    </font>
    <font>
      <name val="Times New Roman"/>
      <family val="1"/>
      <b val="1"/>
      <color rgb="FF0000FF"/>
      <sz val="11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i val="1"/>
      <sz val="11"/>
    </font>
    <font>
      <name val="Cambria"/>
      <family val="1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B0B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3" fillId="6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10" fillId="0" borderId="2" pivotButton="0" quotePrefix="0" xfId="0"/>
    <xf numFmtId="0" fontId="3" fillId="6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17" fillId="0" borderId="0" pivotButton="0" quotePrefix="0" xfId="0"/>
    <xf numFmtId="0" fontId="7" fillId="0" borderId="0" pivotButton="0" quotePrefix="0" xfId="0"/>
    <xf numFmtId="0" fontId="2" fillId="0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J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10" customWidth="1" min="1" max="1"/>
    <col width="8" customWidth="1" min="2" max="3"/>
    <col width="11" customWidth="1" min="3" max="3"/>
    <col width="38" customWidth="1" min="4" max="10"/>
    <col width="38" customWidth="1" min="5" max="5"/>
    <col width="38" customWidth="1" min="6" max="6"/>
    <col width="38" customWidth="1" min="7" max="7"/>
    <col width="38" customWidth="1" min="8" max="8"/>
    <col width="8" customWidth="1" min="9" max="9"/>
    <col width="11" customWidth="1" min="10" max="10"/>
  </cols>
  <sheetData>
    <row r="1" ht="18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32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44" t="inlineStr">
        <is>
          <t>Hoạt động trải nghiệm, hướng nghiệp
GV: Giang</t>
        </is>
      </c>
      <c r="E2" s="44" t="inlineStr">
        <is>
          <t>Ngữ văn
GV: Hoa</t>
        </is>
      </c>
      <c r="F2" s="44" t="inlineStr">
        <is>
          <t>Tin học
GV: Minh Anh</t>
        </is>
      </c>
      <c r="G2" s="44" t="inlineStr">
        <is>
          <t>Lịch sử và Địa Lý (Địa lý)
GV: Nhung</t>
        </is>
      </c>
      <c r="H2" s="44" t="inlineStr">
        <is>
          <t>Ngoại ngữ
GV: Giang</t>
        </is>
      </c>
      <c r="I2" s="26" t="inlineStr"/>
      <c r="J2" s="26" t="n"/>
    </row>
    <row r="3" ht="32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44" t="inlineStr">
        <is>
          <t>Ngoại ngữ
GV: Giang</t>
        </is>
      </c>
      <c r="E3" s="44" t="inlineStr">
        <is>
          <t>Nghệ thuật (Mỹ thuật)
GV: Lan Ly</t>
        </is>
      </c>
      <c r="F3" s="44" t="inlineStr">
        <is>
          <t>Lịch sử và Địa Lý (Địa lý)
GV: Nhung</t>
        </is>
      </c>
      <c r="G3" s="44" t="inlineStr">
        <is>
          <t>Giáo dục thể chất
GV: Hồng</t>
        </is>
      </c>
      <c r="H3" s="44" t="inlineStr">
        <is>
          <t>Toán học
GV: Huyền Ly</t>
        </is>
      </c>
      <c r="I3" s="26" t="inlineStr"/>
      <c r="J3" s="26" t="n"/>
    </row>
    <row r="4" ht="32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44" t="inlineStr">
        <is>
          <t>Toán học
GV: Huyền Ly</t>
        </is>
      </c>
      <c r="E4" s="44" t="inlineStr">
        <is>
          <t>Toán học
GV: Huyền Ly</t>
        </is>
      </c>
      <c r="F4" s="44" t="inlineStr">
        <is>
          <t>Khoa học tự nhiên (Hóa học)
GV: Sơn</t>
        </is>
      </c>
      <c r="G4" s="44" t="inlineStr">
        <is>
          <t>Ngữ văn
GV: Hoa</t>
        </is>
      </c>
      <c r="H4" s="44" t="inlineStr">
        <is>
          <t>Ngữ văn
GV: Hoa</t>
        </is>
      </c>
      <c r="I4" s="26" t="inlineStr"/>
      <c r="J4" s="26" t="n"/>
    </row>
    <row r="5" ht="32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44" t="inlineStr">
        <is>
          <t>Giáo dục thể chất
GV: Hồng</t>
        </is>
      </c>
      <c r="E5" s="44" t="inlineStr">
        <is>
          <t>GDCD
GV: Khu</t>
        </is>
      </c>
      <c r="F5" s="44" t="inlineStr">
        <is>
          <t>Ngữ văn
GV: Hoa</t>
        </is>
      </c>
      <c r="G5" s="44" t="inlineStr">
        <is>
          <t>Toán học
GV: Huyền Ly</t>
        </is>
      </c>
      <c r="H5" s="44" t="inlineStr">
        <is>
          <t>Hoạt động trải nghiệm, hướng nghiệp
GV: Giang</t>
        </is>
      </c>
      <c r="I5" s="26" t="inlineStr"/>
      <c r="J5" s="26" t="n"/>
    </row>
    <row r="6" ht="32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44" t="inlineStr">
        <is>
          <t>Lịch sử và Địa Lý (Lịch sử)
GV: Hoa</t>
        </is>
      </c>
      <c r="E6" s="44" t="inlineStr">
        <is>
          <t>Nghệ thuật (Âm nhạc)
GV: Hà</t>
        </is>
      </c>
      <c r="F6" s="44" t="inlineStr">
        <is>
          <t>Ngoại ngữ
GV: Giang</t>
        </is>
      </c>
      <c r="G6" s="26" t="inlineStr"/>
      <c r="H6" s="26" t="inlineStr"/>
      <c r="I6" s="26" t="inlineStr"/>
      <c r="J6" s="26" t="n"/>
    </row>
    <row r="7" ht="32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44" t="inlineStr">
        <is>
          <t>Khoa học tự nhiên (Hóa học)
GV: Sơn</t>
        </is>
      </c>
      <c r="E7" s="44" t="inlineStr">
        <is>
          <t>Nội dung giáo dục của địa phương
GV: Lan</t>
        </is>
      </c>
      <c r="F7" s="44" t="inlineStr">
        <is>
          <t>Khoa học tự nhiên (Hóa học)
GV: Sơn</t>
        </is>
      </c>
      <c r="G7" s="26" t="inlineStr"/>
      <c r="H7" s="26" t="inlineStr"/>
      <c r="I7" s="26" t="inlineStr"/>
      <c r="J7" s="26" t="n"/>
    </row>
    <row r="8" ht="32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44" t="inlineStr">
        <is>
          <t>Công nghệ
GV: Huyền Ly</t>
        </is>
      </c>
      <c r="E8" s="44" t="inlineStr">
        <is>
          <t>Khoa học tự nhiên (Hóa học)
GV: Sơn</t>
        </is>
      </c>
      <c r="F8" s="44" t="inlineStr">
        <is>
          <t>Hoạt động trải nghiệm, hướng nghiệp
GV: Giang</t>
        </is>
      </c>
      <c r="G8" s="26" t="inlineStr"/>
      <c r="H8" s="26" t="inlineStr"/>
      <c r="I8" s="26" t="inlineStr"/>
      <c r="J8" s="26" t="n"/>
    </row>
    <row r="9" ht="32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45" t="inlineStr">
        <is>
          <t>Hoạt động trải nghiệm, hướng nghiệp
GV: Hoa</t>
        </is>
      </c>
      <c r="E9" s="45" t="inlineStr">
        <is>
          <t>Ngoại ngữ
GV: Trung</t>
        </is>
      </c>
      <c r="F9" s="45" t="inlineStr">
        <is>
          <t>Ngoại ngữ
GV: Trung</t>
        </is>
      </c>
      <c r="G9" s="45" t="inlineStr">
        <is>
          <t>Ngữ văn
GV: Hoa</t>
        </is>
      </c>
      <c r="H9" s="45" t="inlineStr">
        <is>
          <t>Toán học
GV: Huyền Ly</t>
        </is>
      </c>
      <c r="I9" s="38" t="inlineStr"/>
      <c r="J9" s="38" t="n"/>
    </row>
    <row r="10" ht="32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45" t="inlineStr">
        <is>
          <t>Ngữ văn
GV: Hoa</t>
        </is>
      </c>
      <c r="E10" s="45" t="inlineStr">
        <is>
          <t>Giáo dục thể chất
GV: Hồng</t>
        </is>
      </c>
      <c r="F10" s="45" t="inlineStr">
        <is>
          <t>Ngữ văn
GV: Hoa</t>
        </is>
      </c>
      <c r="G10" s="45" t="inlineStr">
        <is>
          <t>Toán học
GV: Huyền Ly</t>
        </is>
      </c>
      <c r="H10" s="45" t="inlineStr">
        <is>
          <t>Khoa học tự nhiên (Hóa học)
GV: Sơn</t>
        </is>
      </c>
      <c r="I10" s="38" t="inlineStr"/>
      <c r="J10" s="38" t="n"/>
    </row>
    <row r="11" ht="32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45" t="inlineStr">
        <is>
          <t>Ngoại ngữ
GV: Trung</t>
        </is>
      </c>
      <c r="E11" s="45" t="inlineStr">
        <is>
          <t>Ngữ văn
GV: Hoa</t>
        </is>
      </c>
      <c r="F11" s="45" t="inlineStr">
        <is>
          <t>GDCD
GV: Khu</t>
        </is>
      </c>
      <c r="G11" s="45" t="inlineStr">
        <is>
          <t>Khoa học tự nhiên (Hóa học)
GV: Sơn</t>
        </is>
      </c>
      <c r="H11" s="45" t="inlineStr">
        <is>
          <t>Giáo dục thể chất
GV: Hồng</t>
        </is>
      </c>
      <c r="I11" s="38" t="inlineStr"/>
      <c r="J11" s="38" t="n"/>
    </row>
    <row r="12" ht="32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45" t="inlineStr">
        <is>
          <t>Toán học
GV: Huyền Ly</t>
        </is>
      </c>
      <c r="E12" s="45" t="inlineStr">
        <is>
          <t>Toán học
GV: Huyền Ly</t>
        </is>
      </c>
      <c r="F12" s="45" t="inlineStr">
        <is>
          <t>Tin học
GV: Sơn</t>
        </is>
      </c>
      <c r="G12" s="45" t="inlineStr">
        <is>
          <t>Nghệ thuật (Mỹ thuật)
GV: Lan Ly</t>
        </is>
      </c>
      <c r="H12" s="45" t="inlineStr">
        <is>
          <t>Hoạt động trải nghiệm, hướng nghiệp
GV: Hoa</t>
        </is>
      </c>
      <c r="I12" s="38" t="inlineStr"/>
      <c r="J12" s="38" t="n"/>
    </row>
    <row r="13" ht="32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45" t="inlineStr">
        <is>
          <t>Công nghệ
GV: Huyền Ly</t>
        </is>
      </c>
      <c r="E13" s="45" t="inlineStr">
        <is>
          <t>Nội dung giáo dục của địa phương
GV: Lan</t>
        </is>
      </c>
      <c r="F13" s="45" t="inlineStr">
        <is>
          <t>Nghệ thuật (Âm nhạc)
GV: Hà</t>
        </is>
      </c>
      <c r="G13" s="38" t="inlineStr"/>
      <c r="H13" s="38" t="inlineStr"/>
      <c r="I13" s="38" t="inlineStr"/>
      <c r="J13" s="38" t="n"/>
    </row>
    <row r="14" ht="32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45" t="inlineStr">
        <is>
          <t>Lịch sử và Địa Lý (Lịch sử)
GV: Hoa</t>
        </is>
      </c>
      <c r="E14" s="45" t="inlineStr">
        <is>
          <t>Khoa học tự nhiên (Hóa học)
GV: Sơn</t>
        </is>
      </c>
      <c r="F14" s="45" t="inlineStr">
        <is>
          <t>Lịch sử và Địa Lý (Địa lý)
GV: Nhung</t>
        </is>
      </c>
      <c r="G14" s="38" t="inlineStr"/>
      <c r="H14" s="38" t="inlineStr"/>
      <c r="I14" s="38" t="inlineStr"/>
      <c r="J14" s="38" t="n"/>
    </row>
    <row r="15" ht="32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45" t="inlineStr">
        <is>
          <t>Lịch sử và Địa Lý (Địa lý)
GV: Nhung</t>
        </is>
      </c>
      <c r="E15" s="45" t="inlineStr">
        <is>
          <t>Hoạt động trải nghiệm, hướng nghiệp
GV: Hoa</t>
        </is>
      </c>
      <c r="F15" s="45" t="inlineStr">
        <is>
          <t>Khoa học tự nhiên (Hóa học)
GV: Sơn</t>
        </is>
      </c>
      <c r="G15" s="38" t="inlineStr"/>
      <c r="H15" s="38" t="inlineStr"/>
      <c r="I15" s="38" t="inlineStr"/>
      <c r="J15" s="38" t="n"/>
    </row>
    <row r="16" ht="32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44" t="inlineStr">
        <is>
          <t>Hoạt động trải nghiệm, hướng nghiệp
GV: Lệ</t>
        </is>
      </c>
      <c r="E16" s="44" t="inlineStr">
        <is>
          <t>Lịch sử và Địa Lý (Địa lý)
GV: Nhung</t>
        </is>
      </c>
      <c r="F16" s="44" t="inlineStr">
        <is>
          <t>Toán học
GV: Lệ</t>
        </is>
      </c>
      <c r="G16" s="44" t="inlineStr">
        <is>
          <t>Tin học
GV: Khu</t>
        </is>
      </c>
      <c r="H16" s="44" t="inlineStr">
        <is>
          <t>Công nghệ
GV: Sơn</t>
        </is>
      </c>
      <c r="I16" s="26" t="inlineStr"/>
      <c r="J16" s="26" t="n"/>
    </row>
    <row r="17" ht="32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44" t="inlineStr">
        <is>
          <t>Giáo dục thể chất
GV: Hồng</t>
        </is>
      </c>
      <c r="E17" s="44" t="inlineStr">
        <is>
          <t>Ngữ văn
GV: Nhung</t>
        </is>
      </c>
      <c r="F17" s="44" t="inlineStr">
        <is>
          <t>Khoa học tự nhiên (Vật lý)
GV: Huyền Ly</t>
        </is>
      </c>
      <c r="G17" s="44" t="inlineStr">
        <is>
          <t>Toán học
GV: Lệ</t>
        </is>
      </c>
      <c r="H17" s="44" t="inlineStr">
        <is>
          <t>Ngữ văn
GV: Nhung</t>
        </is>
      </c>
      <c r="I17" s="26" t="inlineStr"/>
      <c r="J17" s="26" t="n"/>
    </row>
    <row r="18" ht="32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44" t="inlineStr">
        <is>
          <t>Ngữ văn
GV: Nhung</t>
        </is>
      </c>
      <c r="E18" s="44" t="inlineStr">
        <is>
          <t>Toán học
GV: Lệ</t>
        </is>
      </c>
      <c r="F18" s="44" t="inlineStr">
        <is>
          <t>Lịch sử và Địa Lý (Lịch sử)
GV: Thành</t>
        </is>
      </c>
      <c r="G18" s="44" t="inlineStr">
        <is>
          <t>Giáo dục thể chất
GV: Hồng</t>
        </is>
      </c>
      <c r="H18" s="44" t="inlineStr">
        <is>
          <t>Toán học
GV: Lệ</t>
        </is>
      </c>
      <c r="I18" s="26" t="inlineStr"/>
      <c r="J18" s="26" t="n"/>
    </row>
    <row r="19" ht="32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44" t="inlineStr">
        <is>
          <t>Ngoại ngữ
GV: Trung</t>
        </is>
      </c>
      <c r="E19" s="44" t="inlineStr">
        <is>
          <t>Ngoại ngữ
GV: Trung</t>
        </is>
      </c>
      <c r="F19" s="44" t="inlineStr">
        <is>
          <t>Hoạt động trải nghiệm, hướng nghiệp
GV: Lệ</t>
        </is>
      </c>
      <c r="G19" s="44" t="inlineStr">
        <is>
          <t>Ngữ văn
GV: Nhung</t>
        </is>
      </c>
      <c r="H19" s="44" t="inlineStr">
        <is>
          <t>Hoạt động trải nghiệm, hướng nghiệp
GV: Lệ</t>
        </is>
      </c>
      <c r="I19" s="26" t="inlineStr"/>
      <c r="J19" s="26" t="n"/>
    </row>
    <row r="20" ht="32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44" t="inlineStr">
        <is>
          <t>Nghệ thuật (Mỹ thuật)
GV: Lan Ly</t>
        </is>
      </c>
      <c r="E20" s="44" t="inlineStr">
        <is>
          <t>Khoa học tự nhiên (Hóa học)
GV: Hoà</t>
        </is>
      </c>
      <c r="F20" s="44" t="inlineStr">
        <is>
          <t>Ngoại ngữ
GV: Trung</t>
        </is>
      </c>
      <c r="G20" s="26" t="inlineStr"/>
      <c r="H20" s="26" t="inlineStr"/>
      <c r="I20" s="26" t="inlineStr"/>
      <c r="J20" s="26" t="n"/>
    </row>
    <row r="21" ht="32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44" t="inlineStr">
        <is>
          <t>Khoa học tự nhiên (Sinh học)
GV: Hoà</t>
        </is>
      </c>
      <c r="E21" s="44" t="inlineStr">
        <is>
          <t>Nghệ thuật (Âm nhạc)
GV: Lan Ly</t>
        </is>
      </c>
      <c r="F21" s="44" t="inlineStr">
        <is>
          <t>Khoa học tự nhiên (Sinh học)
GV: Hoà</t>
        </is>
      </c>
      <c r="G21" s="26" t="inlineStr"/>
      <c r="H21" s="26" t="inlineStr"/>
      <c r="I21" s="26" t="inlineStr"/>
      <c r="J21" s="26" t="n"/>
    </row>
    <row r="22" ht="32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44" t="inlineStr">
        <is>
          <t>Nội dung giáo dục của địa phương
GV: Khu</t>
        </is>
      </c>
      <c r="E22" s="44" t="inlineStr">
        <is>
          <t>Lịch sử và Địa Lý (Lịch sử)
GV: Thành</t>
        </is>
      </c>
      <c r="F22" s="44" t="inlineStr">
        <is>
          <t>GDCD
GV: Lan Ly</t>
        </is>
      </c>
      <c r="G22" s="26" t="inlineStr"/>
      <c r="H22" s="26" t="inlineStr"/>
      <c r="I22" s="26" t="inlineStr"/>
      <c r="J22" s="26" t="n"/>
    </row>
    <row r="23" ht="32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45" t="inlineStr">
        <is>
          <t>Hoạt động trải nghiệm, hướng nghiệp
GV: Hoà</t>
        </is>
      </c>
      <c r="E23" s="45" t="inlineStr">
        <is>
          <t>Giáo dục thể chất
GV: Hồng</t>
        </is>
      </c>
      <c r="F23" s="45" t="inlineStr">
        <is>
          <t>Ngữ văn
GV: Thành</t>
        </is>
      </c>
      <c r="G23" s="45" t="inlineStr">
        <is>
          <t>Ngoại ngữ
GV: Trung</t>
        </is>
      </c>
      <c r="H23" s="45" t="inlineStr">
        <is>
          <t>Nghệ thuật (Âm nhạc)
GV: Lan Ly</t>
        </is>
      </c>
      <c r="I23" s="38" t="inlineStr"/>
      <c r="J23" s="38" t="n"/>
    </row>
    <row r="24" ht="32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45" t="inlineStr">
        <is>
          <t>Ngữ văn
GV: Thành</t>
        </is>
      </c>
      <c r="E24" s="45" t="inlineStr">
        <is>
          <t>Ngoại ngữ
GV: Trung</t>
        </is>
      </c>
      <c r="F24" s="45" t="inlineStr">
        <is>
          <t>Toán học
GV: Lệ</t>
        </is>
      </c>
      <c r="G24" s="45" t="inlineStr">
        <is>
          <t>Ngữ văn
GV: Thành</t>
        </is>
      </c>
      <c r="H24" s="45" t="inlineStr">
        <is>
          <t>Toán học
GV: Lệ</t>
        </is>
      </c>
      <c r="I24" s="38" t="inlineStr"/>
      <c r="J24" s="38" t="n"/>
    </row>
    <row r="25" ht="32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45" t="inlineStr">
        <is>
          <t>Toán học
GV: Lệ</t>
        </is>
      </c>
      <c r="E25" s="45" t="inlineStr">
        <is>
          <t>Ngữ văn
GV: Thành</t>
        </is>
      </c>
      <c r="F25" s="45" t="inlineStr">
        <is>
          <t>Khoa học tự nhiên (Vật lý)
GV: Huyền Ly</t>
        </is>
      </c>
      <c r="G25" s="45" t="inlineStr">
        <is>
          <t>Toán học
GV: Lệ</t>
        </is>
      </c>
      <c r="H25" s="45" t="inlineStr">
        <is>
          <t>Nội dung giáo dục của địa phương
GV: Khu</t>
        </is>
      </c>
      <c r="I25" s="38" t="inlineStr"/>
      <c r="J25" s="38" t="n"/>
    </row>
    <row r="26" ht="32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45" t="inlineStr">
        <is>
          <t>Lịch sử và Địa Lý (Lịch sử)
GV: Thành</t>
        </is>
      </c>
      <c r="E26" s="45" t="inlineStr">
        <is>
          <t>GDCD
GV: Lan Ly</t>
        </is>
      </c>
      <c r="F26" s="45" t="inlineStr">
        <is>
          <t>Tin học
GV: Khu</t>
        </is>
      </c>
      <c r="G26" s="45" t="inlineStr">
        <is>
          <t>Giáo dục thể chất
GV: Hồng</t>
        </is>
      </c>
      <c r="H26" s="45" t="inlineStr">
        <is>
          <t>Hoạt động trải nghiệm, hướng nghiệp
GV: Hoà</t>
        </is>
      </c>
      <c r="I26" s="38" t="inlineStr"/>
      <c r="J26" s="38" t="n"/>
    </row>
    <row r="27" ht="32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45" t="inlineStr">
        <is>
          <t>Khoa học tự nhiên (Sinh học)
GV: Hoà</t>
        </is>
      </c>
      <c r="E27" s="45" t="inlineStr">
        <is>
          <t>Công nghệ
GV: Sơn</t>
        </is>
      </c>
      <c r="F27" s="45" t="inlineStr">
        <is>
          <t>Khoa học tự nhiên (Sinh học)
GV: Hoà</t>
        </is>
      </c>
      <c r="G27" s="38" t="inlineStr"/>
      <c r="H27" s="38" t="inlineStr"/>
      <c r="I27" s="38" t="inlineStr"/>
      <c r="J27" s="38" t="n"/>
    </row>
    <row r="28" ht="32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45" t="inlineStr">
        <is>
          <t>Lịch sử và Địa Lý (Địa lý)
GV: Nhung</t>
        </is>
      </c>
      <c r="E28" s="45" t="inlineStr">
        <is>
          <t>Lịch sử và Địa Lý (Lịch sử)
GV: Thành</t>
        </is>
      </c>
      <c r="F28" s="45" t="inlineStr">
        <is>
          <t>Nghệ thuật (Mỹ thuật)
GV: Lan Ly</t>
        </is>
      </c>
      <c r="G28" s="38" t="inlineStr"/>
      <c r="H28" s="38" t="inlineStr"/>
      <c r="I28" s="38" t="inlineStr"/>
      <c r="J28" s="38" t="n"/>
    </row>
    <row r="29" ht="32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45" t="inlineStr">
        <is>
          <t>Khoa học tự nhiên (Hóa học)
GV: Hoà</t>
        </is>
      </c>
      <c r="E29" s="45" t="inlineStr">
        <is>
          <t>Ngoại ngữ
GV: Trung</t>
        </is>
      </c>
      <c r="F29" s="45" t="inlineStr">
        <is>
          <t>Hoạt động trải nghiệm, hướng nghiệp
GV: Hoà</t>
        </is>
      </c>
      <c r="G29" s="38" t="inlineStr"/>
      <c r="H29" s="38" t="inlineStr"/>
      <c r="I29" s="38" t="inlineStr"/>
      <c r="J29" s="38" t="n"/>
    </row>
    <row r="30" ht="32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44" t="inlineStr">
        <is>
          <t>Hoạt động trải nghiệm, hướng nghiệp
GV: Minh Anh</t>
        </is>
      </c>
      <c r="E30" s="44" t="inlineStr">
        <is>
          <t>Khoa học tự nhiên (Hóa học)
GV: Khu</t>
        </is>
      </c>
      <c r="F30" s="44" t="inlineStr">
        <is>
          <t>Ngữ văn
GV: Uyên</t>
        </is>
      </c>
      <c r="G30" s="44" t="inlineStr">
        <is>
          <t>Toán học
GV: Minh Anh</t>
        </is>
      </c>
      <c r="H30" s="44" t="inlineStr">
        <is>
          <t>Lịch sử và Địa Lý (Địa lý)
GV: Nhung</t>
        </is>
      </c>
      <c r="I30" s="26" t="inlineStr"/>
      <c r="J30" s="26" t="n"/>
    </row>
    <row r="31" ht="32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44" t="inlineStr">
        <is>
          <t>Toán học
GV: Minh Anh</t>
        </is>
      </c>
      <c r="E31" s="44" t="inlineStr">
        <is>
          <t>Ngữ văn
GV: Uyên</t>
        </is>
      </c>
      <c r="F31" s="44" t="inlineStr">
        <is>
          <t>Khoa học tự nhiên (Hóa học)
GV: Khu</t>
        </is>
      </c>
      <c r="G31" s="44" t="inlineStr">
        <is>
          <t>Hoạt động trải nghiệm, hướng nghiệp
GV: Minh Anh</t>
        </is>
      </c>
      <c r="H31" s="44" t="inlineStr">
        <is>
          <t>Toán học
GV: Minh Anh</t>
        </is>
      </c>
      <c r="I31" s="26" t="inlineStr"/>
      <c r="J31" s="26" t="n"/>
    </row>
    <row r="32" ht="32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44" t="inlineStr">
        <is>
          <t>Giáo dục thể chất
GV: Hồng</t>
        </is>
      </c>
      <c r="E32" s="44" t="inlineStr">
        <is>
          <t>Toán học
GV: Minh Anh</t>
        </is>
      </c>
      <c r="F32" s="44" t="inlineStr">
        <is>
          <t>Nội dung giáo dục của địa phương
GV: Nhung</t>
        </is>
      </c>
      <c r="G32" s="44" t="inlineStr">
        <is>
          <t>Ngoại ngữ
GV: Trung</t>
        </is>
      </c>
      <c r="H32" s="44" t="inlineStr">
        <is>
          <t>Công nghệ
GV: Sơn</t>
        </is>
      </c>
      <c r="I32" s="26" t="inlineStr"/>
      <c r="J32" s="26" t="n"/>
    </row>
    <row r="33" ht="32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44" t="inlineStr">
        <is>
          <t>Ngữ văn
GV: Uyên</t>
        </is>
      </c>
      <c r="E33" s="44" t="inlineStr">
        <is>
          <t>Lịch sử và Địa Lý (Địa lý)
GV: Nhung</t>
        </is>
      </c>
      <c r="F33" s="44" t="inlineStr">
        <is>
          <t>Lịch sử và Địa Lý (Lịch sử)
GV: Thành</t>
        </is>
      </c>
      <c r="G33" s="44" t="inlineStr">
        <is>
          <t>Khoa học tự nhiên (Hóa học)
GV: Khu</t>
        </is>
      </c>
      <c r="H33" s="44" t="inlineStr">
        <is>
          <t>Ngữ văn
GV: Uyên</t>
        </is>
      </c>
      <c r="I33" s="26" t="inlineStr"/>
      <c r="J33" s="26" t="n"/>
    </row>
    <row r="34" ht="32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26" t="inlineStr"/>
      <c r="E34" s="26" t="inlineStr"/>
      <c r="F34" s="26" t="inlineStr"/>
      <c r="G34" s="26" t="inlineStr"/>
      <c r="H34" s="44" t="inlineStr">
        <is>
          <t>Hoạt động trải nghiệm, hướng nghiệp
GV: Minh Anh</t>
        </is>
      </c>
      <c r="I34" s="26" t="inlineStr"/>
      <c r="J34" s="26" t="n"/>
    </row>
    <row r="35" ht="32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44" t="inlineStr">
        <is>
          <t>Công nghệ
GV: Sơn</t>
        </is>
      </c>
      <c r="E35" s="44" t="inlineStr">
        <is>
          <t>Ngoại ngữ
GV: Trung</t>
        </is>
      </c>
      <c r="F35" s="44" t="inlineStr">
        <is>
          <t>Tin học
GV: Lệ</t>
        </is>
      </c>
      <c r="G35" s="26" t="inlineStr"/>
      <c r="H35" s="26" t="inlineStr"/>
      <c r="I35" s="26" t="inlineStr"/>
      <c r="J35" s="26" t="n"/>
    </row>
    <row r="36" ht="32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44" t="inlineStr">
        <is>
          <t>Nghệ thuật (Âm nhạc)
GV: Lan Ly</t>
        </is>
      </c>
      <c r="E36" s="44" t="inlineStr">
        <is>
          <t>GDCD
GV: Hoà</t>
        </is>
      </c>
      <c r="F36" s="44" t="inlineStr">
        <is>
          <t>Ngoại ngữ
GV: Trung</t>
        </is>
      </c>
      <c r="G36" s="26" t="inlineStr"/>
      <c r="H36" s="26" t="inlineStr"/>
      <c r="I36" s="26" t="inlineStr"/>
      <c r="J36" s="26" t="n"/>
    </row>
    <row r="37" ht="32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44" t="inlineStr">
        <is>
          <t>Nghệ thuật (Mỹ thuật)
GV: Lan Ly</t>
        </is>
      </c>
      <c r="E37" s="44" t="inlineStr">
        <is>
          <t>Khoa học tự nhiên (Vật lý)
GV: Nguyễn Ly</t>
        </is>
      </c>
      <c r="F37" s="44" t="inlineStr">
        <is>
          <t>Giáo dục thể chất
GV: Hồng</t>
        </is>
      </c>
      <c r="G37" s="26" t="inlineStr"/>
      <c r="H37" s="26" t="inlineStr"/>
      <c r="I37" s="26" t="inlineStr"/>
      <c r="J37" s="26" t="n"/>
    </row>
    <row r="38" ht="32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45" t="inlineStr">
        <is>
          <t>Hoạt động trải nghiệm, hướng nghiệp
GV: Uyên</t>
        </is>
      </c>
      <c r="E38" s="45" t="inlineStr">
        <is>
          <t>Toán học
GV: Minh Anh</t>
        </is>
      </c>
      <c r="F38" s="45" t="inlineStr">
        <is>
          <t>Khoa học tự nhiên (Hóa học)
GV: Khu</t>
        </is>
      </c>
      <c r="G38" s="45" t="inlineStr">
        <is>
          <t>Giáo dục thể chất
GV: Hồng</t>
        </is>
      </c>
      <c r="H38" s="45" t="inlineStr">
        <is>
          <t>Ngữ văn
GV: Uyên</t>
        </is>
      </c>
      <c r="I38" s="38" t="inlineStr"/>
      <c r="J38" s="38" t="n"/>
    </row>
    <row r="39" ht="32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45" t="inlineStr">
        <is>
          <t>Ngữ văn
GV: Uyên</t>
        </is>
      </c>
      <c r="E39" s="45" t="inlineStr">
        <is>
          <t>Khoa học tự nhiên (Hóa học)
GV: Khu</t>
        </is>
      </c>
      <c r="F39" s="45" t="inlineStr">
        <is>
          <t>Toán học
GV: Minh Anh</t>
        </is>
      </c>
      <c r="G39" s="45" t="inlineStr">
        <is>
          <t>Nghệ thuật (Âm nhạc)
GV: Lan Ly</t>
        </is>
      </c>
      <c r="H39" s="45" t="inlineStr">
        <is>
          <t>Khoa học tự nhiên (Hóa học)
GV: Khu</t>
        </is>
      </c>
      <c r="I39" s="38" t="inlineStr"/>
      <c r="J39" s="38" t="n"/>
    </row>
    <row r="40" ht="32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45" t="inlineStr">
        <is>
          <t>Nghệ thuật (Mỹ thuật)
GV: Lan Ly</t>
        </is>
      </c>
      <c r="E40" s="45" t="inlineStr">
        <is>
          <t>Ngữ văn
GV: Uyên</t>
        </is>
      </c>
      <c r="F40" s="45" t="inlineStr">
        <is>
          <t>Ngữ văn
GV: Uyên</t>
        </is>
      </c>
      <c r="G40" s="45" t="inlineStr">
        <is>
          <t>Toán học
GV: Minh Anh</t>
        </is>
      </c>
      <c r="H40" s="45" t="inlineStr">
        <is>
          <t>Nội dung giáo dục của địa phương
GV: Nhung</t>
        </is>
      </c>
      <c r="I40" s="38" t="inlineStr"/>
      <c r="J40" s="38" t="n"/>
    </row>
    <row r="41" ht="32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45" t="inlineStr">
        <is>
          <t>Toán học
GV: Minh Anh</t>
        </is>
      </c>
      <c r="E41" s="45" t="inlineStr">
        <is>
          <t>Giáo dục thể chất
GV: Hồng</t>
        </is>
      </c>
      <c r="F41" s="45" t="inlineStr">
        <is>
          <t>Ngoại ngữ
GV: Trung</t>
        </is>
      </c>
      <c r="G41" s="45" t="inlineStr">
        <is>
          <t>Ngoại ngữ
GV: Trung</t>
        </is>
      </c>
      <c r="H41" s="45" t="inlineStr">
        <is>
          <t>Lịch sử và Địa Lý (Địa lý)
GV: Nhung</t>
        </is>
      </c>
      <c r="I41" s="38" t="inlineStr"/>
      <c r="J41" s="38" t="n"/>
    </row>
    <row r="42" ht="32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8" t="inlineStr"/>
      <c r="E42" s="38" t="inlineStr"/>
      <c r="F42" s="38" t="inlineStr"/>
      <c r="G42" s="38" t="inlineStr"/>
      <c r="H42" s="45" t="inlineStr">
        <is>
          <t>Hoạt động trải nghiệm, hướng nghiệp
GV: Uyên</t>
        </is>
      </c>
      <c r="I42" s="38" t="inlineStr"/>
      <c r="J42" s="38" t="n"/>
    </row>
    <row r="43" ht="32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45" t="inlineStr">
        <is>
          <t>Lịch sử và Địa Lý (Địa lý)
GV: Nhung</t>
        </is>
      </c>
      <c r="E43" s="45" t="inlineStr">
        <is>
          <t>Khoa học tự nhiên (Vật lý)
GV: Nguyễn Ly</t>
        </is>
      </c>
      <c r="F43" s="45" t="inlineStr">
        <is>
          <t>Công nghệ
GV: Sơn</t>
        </is>
      </c>
      <c r="G43" s="38" t="inlineStr"/>
      <c r="H43" s="38" t="inlineStr"/>
      <c r="I43" s="38" t="inlineStr"/>
      <c r="J43" s="38" t="n"/>
    </row>
    <row r="44" ht="32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45" t="inlineStr">
        <is>
          <t>Lịch sử và Địa Lý (Lịch sử)
GV: Thành</t>
        </is>
      </c>
      <c r="E44" s="45" t="inlineStr">
        <is>
          <t>GDCD
GV: Uyên</t>
        </is>
      </c>
      <c r="F44" s="45" t="inlineStr">
        <is>
          <t>Tin học
GV: Lệ</t>
        </is>
      </c>
      <c r="G44" s="38" t="inlineStr"/>
      <c r="H44" s="38" t="inlineStr"/>
      <c r="I44" s="38" t="inlineStr"/>
      <c r="J44" s="38" t="n"/>
    </row>
    <row r="45" ht="32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45" t="inlineStr">
        <is>
          <t>Công nghệ
GV: Sơn</t>
        </is>
      </c>
      <c r="E45" s="45" t="inlineStr">
        <is>
          <t>Hoạt động trải nghiệm, hướng nghiệp
GV: Uyên</t>
        </is>
      </c>
      <c r="F45" s="45" t="inlineStr">
        <is>
          <t>Ngoại ngữ
GV: Trung</t>
        </is>
      </c>
      <c r="G45" s="38" t="inlineStr"/>
      <c r="H45" s="38" t="inlineStr"/>
      <c r="I45" s="38" t="inlineStr"/>
      <c r="J45" s="38" t="n"/>
    </row>
    <row r="46" ht="32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44" t="inlineStr">
        <is>
          <t>Hoạt động trải nghiệm, hướng nghiệp
GV: Nguyễn Ly</t>
        </is>
      </c>
      <c r="E46" s="44" t="inlineStr">
        <is>
          <t>Lịch sử và Địa Lý (Lịch sử)
GV: Thành</t>
        </is>
      </c>
      <c r="F46" s="44" t="inlineStr">
        <is>
          <t>Ngoại ngữ
GV: Giang</t>
        </is>
      </c>
      <c r="G46" s="44" t="inlineStr">
        <is>
          <t>Nội dung giáo dục của địa phương
GV: Thành</t>
        </is>
      </c>
      <c r="H46" s="44" t="inlineStr">
        <is>
          <t>Toán học
GV: Nguyễn Ly</t>
        </is>
      </c>
      <c r="I46" s="26" t="inlineStr"/>
      <c r="J46" s="26" t="n"/>
    </row>
    <row r="47" ht="32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44" t="inlineStr">
        <is>
          <t>Toán học
GV: Nguyễn Ly</t>
        </is>
      </c>
      <c r="E47" s="44" t="inlineStr">
        <is>
          <t>Ngữ văn
GV: Lan</t>
        </is>
      </c>
      <c r="F47" s="44" t="inlineStr">
        <is>
          <t>Toán học
GV: Nguyễn Ly</t>
        </is>
      </c>
      <c r="G47" s="44" t="inlineStr">
        <is>
          <t>Toán học
GV: Nguyễn Ly</t>
        </is>
      </c>
      <c r="H47" s="44" t="inlineStr">
        <is>
          <t>Giáo dục thể chất
GV: Hồng</t>
        </is>
      </c>
      <c r="I47" s="26" t="inlineStr"/>
      <c r="J47" s="26" t="n"/>
    </row>
    <row r="48" ht="32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44" t="inlineStr">
        <is>
          <t>Ngữ văn
GV: Lan</t>
        </is>
      </c>
      <c r="E48" s="44" t="inlineStr">
        <is>
          <t>Hoạt động trải nghiệm, hướng nghiệp
GV: Nguyễn Ly</t>
        </is>
      </c>
      <c r="F48" s="44" t="inlineStr">
        <is>
          <t>Ngữ văn
GV: Lan</t>
        </is>
      </c>
      <c r="G48" s="44" t="inlineStr">
        <is>
          <t>Khoa học tự nhiên (Hóa học)
GV: Khu</t>
        </is>
      </c>
      <c r="H48" s="44" t="inlineStr">
        <is>
          <t>Ngữ văn
GV: Lan</t>
        </is>
      </c>
      <c r="I48" s="26" t="inlineStr"/>
      <c r="J48" s="26" t="n"/>
    </row>
    <row r="49" ht="32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44" t="inlineStr">
        <is>
          <t>Khoa học tự nhiên (Hóa học)
GV: Khu</t>
        </is>
      </c>
      <c r="E49" s="44" t="inlineStr">
        <is>
          <t>Ngoại ngữ
GV: Giang</t>
        </is>
      </c>
      <c r="F49" s="44" t="inlineStr">
        <is>
          <t>GDCD
GV: Uyên</t>
        </is>
      </c>
      <c r="G49" s="44" t="inlineStr">
        <is>
          <t>Khoa học tự nhiên (Sinh học)
GV: Sơn</t>
        </is>
      </c>
      <c r="H49" s="44" t="inlineStr">
        <is>
          <t>Khoa học tự nhiên (Hóa học)
GV: Khu</t>
        </is>
      </c>
      <c r="I49" s="26" t="inlineStr"/>
      <c r="J49" s="26" t="n"/>
    </row>
    <row r="50" ht="32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26" t="inlineStr"/>
      <c r="E50" s="26" t="inlineStr"/>
      <c r="F50" s="26" t="inlineStr"/>
      <c r="G50" s="26" t="inlineStr"/>
      <c r="H50" s="44" t="inlineStr">
        <is>
          <t>Hoạt động trải nghiệm, hướng nghiệp
GV: Nguyễn Ly</t>
        </is>
      </c>
      <c r="I50" s="26" t="inlineStr"/>
      <c r="J50" s="26" t="n"/>
    </row>
    <row r="51" ht="32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44" t="inlineStr">
        <is>
          <t>Công nghệ
GV: Khu</t>
        </is>
      </c>
      <c r="E51" s="44" t="inlineStr">
        <is>
          <t>Công nghệ
GV: Khu</t>
        </is>
      </c>
      <c r="F51" s="44" t="inlineStr">
        <is>
          <t>Lịch sử và Địa Lý (Địa lý)
GV: Nhung</t>
        </is>
      </c>
      <c r="G51" s="26" t="inlineStr"/>
      <c r="H51" s="26" t="inlineStr"/>
      <c r="I51" s="26" t="inlineStr"/>
      <c r="J51" s="26" t="n"/>
    </row>
    <row r="52" ht="32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44" t="inlineStr">
        <is>
          <t>Ngoại ngữ
GV: Giang</t>
        </is>
      </c>
      <c r="E52" s="44" t="inlineStr">
        <is>
          <t>Nghệ thuật (Âm nhạc)
GV: Hà</t>
        </is>
      </c>
      <c r="F52" s="44" t="inlineStr">
        <is>
          <t>Giáo dục thể chất
GV: Hồng</t>
        </is>
      </c>
      <c r="G52" s="26" t="inlineStr"/>
      <c r="H52" s="26" t="inlineStr"/>
      <c r="I52" s="26" t="inlineStr"/>
      <c r="J52" s="26" t="n"/>
    </row>
    <row r="53" ht="32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44" t="inlineStr">
        <is>
          <t>Lịch sử và Địa Lý (Lịch sử)
GV: Thành</t>
        </is>
      </c>
      <c r="E53" s="44" t="inlineStr">
        <is>
          <t>Nghệ thuật (Mỹ thuật)
GV: Lan Ly</t>
        </is>
      </c>
      <c r="F53" s="44" t="inlineStr">
        <is>
          <t>Tin học
GV: Minh Anh</t>
        </is>
      </c>
      <c r="G53" s="26" t="inlineStr"/>
      <c r="H53" s="26" t="inlineStr"/>
      <c r="I53" s="26" t="inlineStr"/>
      <c r="J53" s="26" t="n"/>
    </row>
    <row r="54" ht="32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45" t="inlineStr">
        <is>
          <t>Hoạt động trải nghiệm, hướng nghiệp
GV: Lan</t>
        </is>
      </c>
      <c r="E54" s="45" t="inlineStr">
        <is>
          <t>Ngữ văn
GV: Lan</t>
        </is>
      </c>
      <c r="F54" s="45" t="inlineStr">
        <is>
          <t>Ngữ văn
GV: Lan</t>
        </is>
      </c>
      <c r="G54" s="45" t="inlineStr">
        <is>
          <t>Nghệ thuật (Mỹ thuật)
GV: Lan Ly</t>
        </is>
      </c>
      <c r="H54" s="45" t="inlineStr">
        <is>
          <t>Khoa học tự nhiên (Hóa học)
GV: Khu</t>
        </is>
      </c>
      <c r="I54" s="38" t="inlineStr"/>
      <c r="J54" s="38" t="n"/>
    </row>
    <row r="55" ht="32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45" t="inlineStr">
        <is>
          <t>Ngữ văn
GV: Lan</t>
        </is>
      </c>
      <c r="E55" s="45" t="inlineStr">
        <is>
          <t>Ngoại ngữ
GV: Giang</t>
        </is>
      </c>
      <c r="F55" s="45" t="inlineStr">
        <is>
          <t>Nội dung giáo dục của địa phương
GV: Thành</t>
        </is>
      </c>
      <c r="G55" s="45" t="inlineStr">
        <is>
          <t>Khoa học tự nhiên (Hóa học)
GV: Khu</t>
        </is>
      </c>
      <c r="H55" s="45" t="inlineStr">
        <is>
          <t>Ngữ văn
GV: Lan</t>
        </is>
      </c>
      <c r="I55" s="38" t="inlineStr"/>
      <c r="J55" s="38" t="n"/>
    </row>
    <row r="56" ht="32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45" t="inlineStr">
        <is>
          <t>Khoa học tự nhiên (Hóa học)
GV: Khu</t>
        </is>
      </c>
      <c r="E56" s="45" t="inlineStr">
        <is>
          <t>Giáo dục thể chất
GV: Hồng</t>
        </is>
      </c>
      <c r="F56" s="45" t="inlineStr">
        <is>
          <t>Toán học
GV: Nguyễn Ly</t>
        </is>
      </c>
      <c r="G56" s="45" t="inlineStr">
        <is>
          <t>Lịch sử và Địa Lý (Lịch sử)
GV: Thành</t>
        </is>
      </c>
      <c r="H56" s="45" t="inlineStr">
        <is>
          <t>Toán học
GV: Nguyễn Ly</t>
        </is>
      </c>
      <c r="I56" s="38" t="inlineStr"/>
      <c r="J56" s="38" t="n"/>
    </row>
    <row r="57" ht="32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45" t="inlineStr">
        <is>
          <t>Khoa học tự nhiên (Sinh học)
GV: Sơn</t>
        </is>
      </c>
      <c r="E57" s="45" t="inlineStr">
        <is>
          <t>Toán học
GV: Nguyễn Ly</t>
        </is>
      </c>
      <c r="F57" s="45" t="inlineStr">
        <is>
          <t>Ngoại ngữ
GV: Giang</t>
        </is>
      </c>
      <c r="G57" s="45" t="inlineStr">
        <is>
          <t>Toán học
GV: Nguyễn Ly</t>
        </is>
      </c>
      <c r="H57" s="45" t="inlineStr">
        <is>
          <t>Giáo dục thể chất
GV: Hồng</t>
        </is>
      </c>
      <c r="I57" s="38" t="inlineStr"/>
      <c r="J57" s="38" t="n"/>
    </row>
    <row r="58" ht="32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8" t="inlineStr"/>
      <c r="E58" s="38" t="inlineStr"/>
      <c r="F58" s="38" t="inlineStr"/>
      <c r="G58" s="38" t="inlineStr"/>
      <c r="H58" s="45" t="inlineStr">
        <is>
          <t>Hoạt động trải nghiệm, hướng nghiệp
GV: Lan</t>
        </is>
      </c>
      <c r="I58" s="38" t="inlineStr"/>
      <c r="J58" s="38" t="n"/>
    </row>
    <row r="59" ht="32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45" t="inlineStr">
        <is>
          <t>Lịch sử và Địa Lý (Lịch sử)
GV: Thành</t>
        </is>
      </c>
      <c r="E59" s="45" t="inlineStr">
        <is>
          <t>GDCD
GV: Uyên</t>
        </is>
      </c>
      <c r="F59" s="45" t="inlineStr">
        <is>
          <t>Tin học
GV: Minh Anh</t>
        </is>
      </c>
      <c r="G59" s="38" t="inlineStr"/>
      <c r="H59" s="38" t="inlineStr"/>
      <c r="I59" s="38" t="inlineStr"/>
      <c r="J59" s="38" t="n"/>
    </row>
    <row r="60" ht="32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45" t="inlineStr">
        <is>
          <t>Công nghệ
GV: Khu</t>
        </is>
      </c>
      <c r="E60" s="45" t="inlineStr">
        <is>
          <t>Công nghệ
GV: Khu</t>
        </is>
      </c>
      <c r="F60" s="45" t="inlineStr">
        <is>
          <t>Nghệ thuật (Âm nhạc)
GV: Hà</t>
        </is>
      </c>
      <c r="G60" s="38" t="inlineStr"/>
      <c r="H60" s="38" t="inlineStr"/>
      <c r="I60" s="38" t="inlineStr"/>
      <c r="J60" s="38" t="n"/>
    </row>
    <row r="61" ht="32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45" t="inlineStr">
        <is>
          <t>Ngoại ngữ
GV: Giang</t>
        </is>
      </c>
      <c r="E61" s="45" t="inlineStr">
        <is>
          <t>Hoạt động trải nghiệm, hướng nghiệp
GV: Lan</t>
        </is>
      </c>
      <c r="F61" s="45" t="inlineStr">
        <is>
          <t>Lịch sử và Địa Lý (Địa lý)
GV: Nhung</t>
        </is>
      </c>
      <c r="G61" s="38" t="inlineStr"/>
      <c r="H61" s="38" t="inlineStr"/>
      <c r="I61" s="38" t="inlineStr"/>
      <c r="J61" s="38" t="n"/>
    </row>
    <row r="62" ht="27.75" customHeight="1">
      <c r="A62" s="36" t="n"/>
      <c r="B62" s="36" t="n"/>
      <c r="C62" s="36" t="n"/>
      <c r="D62" s="38" t="n"/>
      <c r="E62" s="38" t="n"/>
      <c r="F62" s="38" t="n"/>
      <c r="G62" s="38" t="n"/>
      <c r="H62" s="38" t="n"/>
      <c r="I62" s="38" t="n"/>
      <c r="J62" s="38" t="n"/>
    </row>
    <row r="63" ht="27.75" customHeight="1">
      <c r="A63" s="36" t="n"/>
      <c r="B63" s="36" t="n"/>
      <c r="C63" s="36" t="n"/>
      <c r="D63" s="38" t="n"/>
      <c r="E63" s="38" t="n"/>
      <c r="F63" s="38" t="n"/>
      <c r="G63" s="38" t="n"/>
      <c r="H63" s="38" t="n"/>
      <c r="I63" s="38" t="n"/>
      <c r="J63" s="38" t="n"/>
    </row>
    <row r="64" ht="27.75" customHeight="1">
      <c r="A64" s="36" t="n"/>
      <c r="B64" s="36" t="n"/>
      <c r="C64" s="36" t="n"/>
      <c r="D64" s="38" t="n"/>
      <c r="E64" s="38" t="n"/>
      <c r="F64" s="38" t="n"/>
      <c r="G64" s="38" t="n"/>
      <c r="H64" s="38" t="n"/>
      <c r="I64" s="38" t="n"/>
      <c r="J64" s="38" t="n"/>
    </row>
    <row r="65" ht="27.75" customHeight="1">
      <c r="A65" s="36" t="n"/>
      <c r="B65" s="36" t="n"/>
      <c r="C65" s="36" t="n"/>
      <c r="D65" s="38" t="n"/>
      <c r="E65" s="38" t="n"/>
      <c r="F65" s="38" t="n"/>
      <c r="G65" s="38" t="n"/>
      <c r="H65" s="38" t="n"/>
      <c r="I65" s="38" t="n"/>
      <c r="J65" s="38" t="n"/>
    </row>
    <row r="66" ht="27.75" customHeight="1">
      <c r="A66" s="30" t="n"/>
      <c r="B66" s="30" t="n"/>
      <c r="C66" s="30" t="n"/>
      <c r="D66" s="26" t="n"/>
      <c r="E66" s="26" t="n"/>
      <c r="F66" s="26" t="n"/>
      <c r="G66" s="26" t="n"/>
      <c r="H66" s="26" t="n"/>
      <c r="I66" s="26" t="n"/>
      <c r="J66" s="26" t="n"/>
    </row>
    <row r="67" ht="27.75" customHeight="1">
      <c r="A67" s="30" t="n"/>
      <c r="B67" s="30" t="n"/>
      <c r="C67" s="30" t="n"/>
      <c r="D67" s="26" t="n"/>
      <c r="E67" s="26" t="n"/>
      <c r="F67" s="26" t="n"/>
      <c r="G67" s="26" t="n"/>
      <c r="H67" s="26" t="n"/>
      <c r="I67" s="26" t="n"/>
      <c r="J67" s="26" t="n"/>
    </row>
    <row r="68" ht="27.75" customHeight="1">
      <c r="A68" s="30" t="n"/>
      <c r="B68" s="30" t="n"/>
      <c r="C68" s="30" t="n"/>
      <c r="D68" s="26" t="n"/>
      <c r="E68" s="26" t="n"/>
      <c r="F68" s="26" t="n"/>
      <c r="G68" s="26" t="n"/>
      <c r="H68" s="26" t="n"/>
      <c r="I68" s="26" t="n"/>
      <c r="J68" s="26" t="n"/>
    </row>
    <row r="69" ht="27.75" customHeight="1">
      <c r="A69" s="30" t="n"/>
      <c r="B69" s="30" t="n"/>
      <c r="C69" s="30" t="n"/>
      <c r="D69" s="26" t="n"/>
      <c r="E69" s="26" t="n"/>
      <c r="F69" s="26" t="n"/>
      <c r="G69" s="26" t="n"/>
      <c r="H69" s="26" t="n"/>
      <c r="I69" s="26" t="n"/>
      <c r="J69" s="26" t="n"/>
    </row>
    <row r="70" ht="27.75" customHeight="1">
      <c r="A70" s="30" t="n"/>
      <c r="B70" s="30" t="n"/>
      <c r="C70" s="30" t="n"/>
      <c r="D70" s="26" t="n"/>
      <c r="E70" s="26" t="n"/>
      <c r="F70" s="26" t="n"/>
      <c r="G70" s="26" t="n"/>
      <c r="H70" s="26" t="n"/>
      <c r="I70" s="26" t="n"/>
      <c r="J70" s="26" t="n"/>
    </row>
    <row r="71" ht="27.75" customHeight="1">
      <c r="A71" s="30" t="n"/>
      <c r="B71" s="30" t="n"/>
      <c r="C71" s="30" t="n"/>
      <c r="D71" s="26" t="n"/>
      <c r="E71" s="26" t="n"/>
      <c r="F71" s="26" t="n"/>
      <c r="G71" s="26" t="n"/>
      <c r="H71" s="26" t="n"/>
      <c r="I71" s="26" t="n"/>
      <c r="J71" s="26" t="n"/>
    </row>
    <row r="72" ht="27.75" customHeight="1">
      <c r="A72" s="30" t="n"/>
      <c r="B72" s="30" t="n"/>
      <c r="C72" s="30" t="n"/>
      <c r="D72" s="26" t="n"/>
      <c r="E72" s="26" t="n"/>
      <c r="F72" s="26" t="n"/>
      <c r="G72" s="26" t="n"/>
      <c r="H72" s="26" t="n"/>
      <c r="I72" s="26" t="n"/>
      <c r="J72" s="26" t="n"/>
    </row>
    <row r="73" ht="27.75" customHeight="1">
      <c r="A73" s="30" t="n"/>
      <c r="B73" s="30" t="n"/>
      <c r="C73" s="30" t="n"/>
      <c r="D73" s="26" t="n"/>
      <c r="E73" s="26" t="n"/>
      <c r="F73" s="26" t="n"/>
      <c r="G73" s="26" t="n"/>
      <c r="H73" s="26" t="n"/>
      <c r="I73" s="26" t="n"/>
      <c r="J73" s="26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8"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ColWidth="8.7109375" defaultRowHeight="15"/>
  <cols>
    <col width="10" customWidth="1" min="1" max="1"/>
    <col width="8" customWidth="1" min="2" max="3"/>
    <col width="11" customWidth="1" min="3" max="3"/>
    <col width="38" customWidth="1" min="4" max="10"/>
    <col width="38" customWidth="1" min="5" max="5"/>
    <col width="38" customWidth="1" min="6" max="6"/>
    <col width="38" customWidth="1" min="7" max="7"/>
    <col width="38" customWidth="1" min="8" max="8"/>
    <col width="8" customWidth="1" min="9" max="9"/>
    <col width="11" customWidth="1" min="10" max="10"/>
  </cols>
  <sheetData>
    <row r="1" ht="18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18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44" t="inlineStr">
        <is>
          <t>Hoạt động trải nghiệm, hướng nghiệp</t>
        </is>
      </c>
      <c r="E2" s="44" t="inlineStr">
        <is>
          <t>Ngữ văn</t>
        </is>
      </c>
      <c r="F2" s="44" t="inlineStr">
        <is>
          <t>Tin học</t>
        </is>
      </c>
      <c r="G2" s="44" t="inlineStr">
        <is>
          <t>Lịch sử và Địa Lý (Địa lý)</t>
        </is>
      </c>
      <c r="H2" s="44" t="inlineStr">
        <is>
          <t>Ngoại ngữ</t>
        </is>
      </c>
      <c r="I2" s="26" t="inlineStr"/>
      <c r="J2" s="26" t="n"/>
    </row>
    <row r="3" ht="18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44" t="inlineStr">
        <is>
          <t>Ngoại ngữ</t>
        </is>
      </c>
      <c r="E3" s="44" t="inlineStr">
        <is>
          <t>Nghệ thuật (Mỹ thuật)</t>
        </is>
      </c>
      <c r="F3" s="44" t="inlineStr">
        <is>
          <t>Lịch sử và Địa Lý (Địa lý)</t>
        </is>
      </c>
      <c r="G3" s="44" t="inlineStr">
        <is>
          <t>Giáo dục thể chất</t>
        </is>
      </c>
      <c r="H3" s="44" t="inlineStr">
        <is>
          <t>Toán học</t>
        </is>
      </c>
      <c r="I3" s="26" t="inlineStr"/>
      <c r="J3" s="26" t="n"/>
    </row>
    <row r="4" ht="18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44" t="inlineStr">
        <is>
          <t>Toán học</t>
        </is>
      </c>
      <c r="E4" s="44" t="inlineStr">
        <is>
          <t>Toán học</t>
        </is>
      </c>
      <c r="F4" s="44" t="inlineStr">
        <is>
          <t>Khoa học tự nhiên (Hóa học)</t>
        </is>
      </c>
      <c r="G4" s="44" t="inlineStr">
        <is>
          <t>Ngữ văn</t>
        </is>
      </c>
      <c r="H4" s="44" t="inlineStr">
        <is>
          <t>Ngữ văn</t>
        </is>
      </c>
      <c r="I4" s="26" t="inlineStr"/>
      <c r="J4" s="26" t="n"/>
    </row>
    <row r="5" ht="18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44" t="inlineStr">
        <is>
          <t>Giáo dục thể chất</t>
        </is>
      </c>
      <c r="E5" s="44" t="inlineStr">
        <is>
          <t>GDCD</t>
        </is>
      </c>
      <c r="F5" s="44" t="inlineStr">
        <is>
          <t>Ngữ văn</t>
        </is>
      </c>
      <c r="G5" s="44" t="inlineStr">
        <is>
          <t>Toán học</t>
        </is>
      </c>
      <c r="H5" s="44" t="inlineStr">
        <is>
          <t>Hoạt động trải nghiệm, hướng nghiệp</t>
        </is>
      </c>
      <c r="I5" s="26" t="inlineStr"/>
      <c r="J5" s="26" t="n"/>
    </row>
    <row r="6" ht="18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44" t="inlineStr">
        <is>
          <t>Lịch sử và Địa Lý (Lịch sử)</t>
        </is>
      </c>
      <c r="E6" s="44" t="inlineStr">
        <is>
          <t>Nghệ thuật (Âm nhạc)</t>
        </is>
      </c>
      <c r="F6" s="44" t="inlineStr">
        <is>
          <t>Ngoại ngữ</t>
        </is>
      </c>
      <c r="G6" s="26" t="inlineStr"/>
      <c r="H6" s="26" t="inlineStr"/>
      <c r="I6" s="26" t="inlineStr"/>
      <c r="J6" s="26" t="n"/>
    </row>
    <row r="7" ht="18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44" t="inlineStr">
        <is>
          <t>Khoa học tự nhiên (Hóa học)</t>
        </is>
      </c>
      <c r="E7" s="44" t="inlineStr">
        <is>
          <t>Nội dung giáo dục của địa phương</t>
        </is>
      </c>
      <c r="F7" s="44" t="inlineStr">
        <is>
          <t>Khoa học tự nhiên (Hóa học)</t>
        </is>
      </c>
      <c r="G7" s="26" t="inlineStr"/>
      <c r="H7" s="26" t="inlineStr"/>
      <c r="I7" s="26" t="inlineStr"/>
      <c r="J7" s="26" t="n"/>
    </row>
    <row r="8" ht="18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44" t="inlineStr">
        <is>
          <t>Công nghệ</t>
        </is>
      </c>
      <c r="E8" s="44" t="inlineStr">
        <is>
          <t>Khoa học tự nhiên (Hóa học)</t>
        </is>
      </c>
      <c r="F8" s="44" t="inlineStr">
        <is>
          <t>Hoạt động trải nghiệm, hướng nghiệp</t>
        </is>
      </c>
      <c r="G8" s="26" t="inlineStr"/>
      <c r="H8" s="26" t="inlineStr"/>
      <c r="I8" s="26" t="inlineStr"/>
      <c r="J8" s="26" t="n"/>
    </row>
    <row r="9" ht="18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45" t="inlineStr">
        <is>
          <t>Hoạt động trải nghiệm, hướng nghiệp</t>
        </is>
      </c>
      <c r="E9" s="45" t="inlineStr">
        <is>
          <t>Ngoại ngữ</t>
        </is>
      </c>
      <c r="F9" s="45" t="inlineStr">
        <is>
          <t>Ngoại ngữ</t>
        </is>
      </c>
      <c r="G9" s="45" t="inlineStr">
        <is>
          <t>Ngữ văn</t>
        </is>
      </c>
      <c r="H9" s="45" t="inlineStr">
        <is>
          <t>Toán học</t>
        </is>
      </c>
      <c r="I9" s="38" t="inlineStr"/>
      <c r="J9" s="38" t="n"/>
    </row>
    <row r="10" ht="18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45" t="inlineStr">
        <is>
          <t>Ngữ văn</t>
        </is>
      </c>
      <c r="E10" s="45" t="inlineStr">
        <is>
          <t>Giáo dục thể chất</t>
        </is>
      </c>
      <c r="F10" s="45" t="inlineStr">
        <is>
          <t>Ngữ văn</t>
        </is>
      </c>
      <c r="G10" s="45" t="inlineStr">
        <is>
          <t>Toán học</t>
        </is>
      </c>
      <c r="H10" s="45" t="inlineStr">
        <is>
          <t>Khoa học tự nhiên (Hóa học)</t>
        </is>
      </c>
      <c r="I10" s="38" t="inlineStr"/>
      <c r="J10" s="38" t="n"/>
    </row>
    <row r="11" ht="18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45" t="inlineStr">
        <is>
          <t>Ngoại ngữ</t>
        </is>
      </c>
      <c r="E11" s="45" t="inlineStr">
        <is>
          <t>Ngữ văn</t>
        </is>
      </c>
      <c r="F11" s="45" t="inlineStr">
        <is>
          <t>GDCD</t>
        </is>
      </c>
      <c r="G11" s="45" t="inlineStr">
        <is>
          <t>Khoa học tự nhiên (Hóa học)</t>
        </is>
      </c>
      <c r="H11" s="45" t="inlineStr">
        <is>
          <t>Giáo dục thể chất</t>
        </is>
      </c>
      <c r="I11" s="38" t="inlineStr"/>
      <c r="J11" s="38" t="n"/>
    </row>
    <row r="12" ht="18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45" t="inlineStr">
        <is>
          <t>Toán học</t>
        </is>
      </c>
      <c r="E12" s="45" t="inlineStr">
        <is>
          <t>Toán học</t>
        </is>
      </c>
      <c r="F12" s="45" t="inlineStr">
        <is>
          <t>Tin học</t>
        </is>
      </c>
      <c r="G12" s="45" t="inlineStr">
        <is>
          <t>Nghệ thuật (Mỹ thuật)</t>
        </is>
      </c>
      <c r="H12" s="45" t="inlineStr">
        <is>
          <t>Hoạt động trải nghiệm, hướng nghiệp</t>
        </is>
      </c>
      <c r="I12" s="38" t="inlineStr"/>
      <c r="J12" s="38" t="n"/>
    </row>
    <row r="13" ht="18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45" t="inlineStr">
        <is>
          <t>Công nghệ</t>
        </is>
      </c>
      <c r="E13" s="45" t="inlineStr">
        <is>
          <t>Nội dung giáo dục của địa phương</t>
        </is>
      </c>
      <c r="F13" s="45" t="inlineStr">
        <is>
          <t>Nghệ thuật (Âm nhạc)</t>
        </is>
      </c>
      <c r="G13" s="38" t="inlineStr"/>
      <c r="H13" s="38" t="inlineStr"/>
      <c r="I13" s="38" t="inlineStr"/>
      <c r="J13" s="38" t="n"/>
    </row>
    <row r="14" ht="18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45" t="inlineStr">
        <is>
          <t>Lịch sử và Địa Lý (Lịch sử)</t>
        </is>
      </c>
      <c r="E14" s="45" t="inlineStr">
        <is>
          <t>Khoa học tự nhiên (Hóa học)</t>
        </is>
      </c>
      <c r="F14" s="45" t="inlineStr">
        <is>
          <t>Lịch sử và Địa Lý (Địa lý)</t>
        </is>
      </c>
      <c r="G14" s="38" t="inlineStr"/>
      <c r="H14" s="38" t="inlineStr"/>
      <c r="I14" s="38" t="inlineStr"/>
      <c r="J14" s="38" t="n"/>
    </row>
    <row r="15" ht="18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45" t="inlineStr">
        <is>
          <t>Lịch sử và Địa Lý (Địa lý)</t>
        </is>
      </c>
      <c r="E15" s="45" t="inlineStr">
        <is>
          <t>Hoạt động trải nghiệm, hướng nghiệp</t>
        </is>
      </c>
      <c r="F15" s="45" t="inlineStr">
        <is>
          <t>Khoa học tự nhiên (Hóa học)</t>
        </is>
      </c>
      <c r="G15" s="38" t="inlineStr"/>
      <c r="H15" s="38" t="inlineStr"/>
      <c r="I15" s="38" t="inlineStr"/>
      <c r="J15" s="38" t="n"/>
    </row>
    <row r="16" ht="18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44" t="inlineStr">
        <is>
          <t>Hoạt động trải nghiệm, hướng nghiệp</t>
        </is>
      </c>
      <c r="E16" s="44" t="inlineStr">
        <is>
          <t>Lịch sử và Địa Lý (Địa lý)</t>
        </is>
      </c>
      <c r="F16" s="44" t="inlineStr">
        <is>
          <t>Toán học</t>
        </is>
      </c>
      <c r="G16" s="44" t="inlineStr">
        <is>
          <t>Tin học</t>
        </is>
      </c>
      <c r="H16" s="44" t="inlineStr">
        <is>
          <t>Công nghệ</t>
        </is>
      </c>
      <c r="I16" s="26" t="inlineStr"/>
      <c r="J16" s="26" t="n"/>
    </row>
    <row r="17" ht="18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44" t="inlineStr">
        <is>
          <t>Giáo dục thể chất</t>
        </is>
      </c>
      <c r="E17" s="44" t="inlineStr">
        <is>
          <t>Ngữ văn</t>
        </is>
      </c>
      <c r="F17" s="44" t="inlineStr">
        <is>
          <t>Khoa học tự nhiên (Vật lý)</t>
        </is>
      </c>
      <c r="G17" s="44" t="inlineStr">
        <is>
          <t>Toán học</t>
        </is>
      </c>
      <c r="H17" s="44" t="inlineStr">
        <is>
          <t>Ngữ văn</t>
        </is>
      </c>
      <c r="I17" s="26" t="inlineStr"/>
      <c r="J17" s="26" t="n"/>
    </row>
    <row r="18" ht="18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44" t="inlineStr">
        <is>
          <t>Ngữ văn</t>
        </is>
      </c>
      <c r="E18" s="44" t="inlineStr">
        <is>
          <t>Toán học</t>
        </is>
      </c>
      <c r="F18" s="44" t="inlineStr">
        <is>
          <t>Lịch sử và Địa Lý (Lịch sử)</t>
        </is>
      </c>
      <c r="G18" s="44" t="inlineStr">
        <is>
          <t>Giáo dục thể chất</t>
        </is>
      </c>
      <c r="H18" s="44" t="inlineStr">
        <is>
          <t>Toán học</t>
        </is>
      </c>
      <c r="I18" s="26" t="inlineStr"/>
      <c r="J18" s="26" t="n"/>
    </row>
    <row r="19" ht="18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44" t="inlineStr">
        <is>
          <t>Ngoại ngữ</t>
        </is>
      </c>
      <c r="E19" s="44" t="inlineStr">
        <is>
          <t>Ngoại ngữ</t>
        </is>
      </c>
      <c r="F19" s="44" t="inlineStr">
        <is>
          <t>Hoạt động trải nghiệm, hướng nghiệp</t>
        </is>
      </c>
      <c r="G19" s="44" t="inlineStr">
        <is>
          <t>Ngữ văn</t>
        </is>
      </c>
      <c r="H19" s="44" t="inlineStr">
        <is>
          <t>Hoạt động trải nghiệm, hướng nghiệp</t>
        </is>
      </c>
      <c r="I19" s="26" t="inlineStr"/>
      <c r="J19" s="26" t="n"/>
    </row>
    <row r="20" ht="18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44" t="inlineStr">
        <is>
          <t>Nghệ thuật (Mỹ thuật)</t>
        </is>
      </c>
      <c r="E20" s="44" t="inlineStr">
        <is>
          <t>Khoa học tự nhiên (Hóa học)</t>
        </is>
      </c>
      <c r="F20" s="44" t="inlineStr">
        <is>
          <t>Ngoại ngữ</t>
        </is>
      </c>
      <c r="G20" s="26" t="inlineStr"/>
      <c r="H20" s="26" t="inlineStr"/>
      <c r="I20" s="26" t="inlineStr"/>
      <c r="J20" s="26" t="n"/>
    </row>
    <row r="21" ht="18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44" t="inlineStr">
        <is>
          <t>Khoa học tự nhiên (Sinh học)</t>
        </is>
      </c>
      <c r="E21" s="44" t="inlineStr">
        <is>
          <t>Nghệ thuật (Âm nhạc)</t>
        </is>
      </c>
      <c r="F21" s="44" t="inlineStr">
        <is>
          <t>Khoa học tự nhiên (Sinh học)</t>
        </is>
      </c>
      <c r="G21" s="26" t="inlineStr"/>
      <c r="H21" s="26" t="inlineStr"/>
      <c r="I21" s="26" t="inlineStr"/>
      <c r="J21" s="26" t="n"/>
    </row>
    <row r="22" ht="18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44" t="inlineStr">
        <is>
          <t>Nội dung giáo dục của địa phương</t>
        </is>
      </c>
      <c r="E22" s="44" t="inlineStr">
        <is>
          <t>Lịch sử và Địa Lý (Lịch sử)</t>
        </is>
      </c>
      <c r="F22" s="44" t="inlineStr">
        <is>
          <t>GDCD</t>
        </is>
      </c>
      <c r="G22" s="26" t="inlineStr"/>
      <c r="H22" s="26" t="inlineStr"/>
      <c r="I22" s="26" t="inlineStr"/>
      <c r="J22" s="26" t="n"/>
    </row>
    <row r="23" ht="18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45" t="inlineStr">
        <is>
          <t>Hoạt động trải nghiệm, hướng nghiệp</t>
        </is>
      </c>
      <c r="E23" s="45" t="inlineStr">
        <is>
          <t>Giáo dục thể chất</t>
        </is>
      </c>
      <c r="F23" s="45" t="inlineStr">
        <is>
          <t>Ngữ văn</t>
        </is>
      </c>
      <c r="G23" s="45" t="inlineStr">
        <is>
          <t>Ngoại ngữ</t>
        </is>
      </c>
      <c r="H23" s="45" t="inlineStr">
        <is>
          <t>Nghệ thuật (Âm nhạc)</t>
        </is>
      </c>
      <c r="I23" s="38" t="inlineStr"/>
      <c r="J23" s="38" t="n"/>
    </row>
    <row r="24" ht="18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45" t="inlineStr">
        <is>
          <t>Ngữ văn</t>
        </is>
      </c>
      <c r="E24" s="45" t="inlineStr">
        <is>
          <t>Ngoại ngữ</t>
        </is>
      </c>
      <c r="F24" s="45" t="inlineStr">
        <is>
          <t>Toán học</t>
        </is>
      </c>
      <c r="G24" s="45" t="inlineStr">
        <is>
          <t>Ngữ văn</t>
        </is>
      </c>
      <c r="H24" s="45" t="inlineStr">
        <is>
          <t>Toán học</t>
        </is>
      </c>
      <c r="I24" s="38" t="inlineStr"/>
      <c r="J24" s="38" t="n"/>
    </row>
    <row r="25" ht="18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45" t="inlineStr">
        <is>
          <t>Toán học</t>
        </is>
      </c>
      <c r="E25" s="45" t="inlineStr">
        <is>
          <t>Ngữ văn</t>
        </is>
      </c>
      <c r="F25" s="45" t="inlineStr">
        <is>
          <t>Khoa học tự nhiên (Vật lý)</t>
        </is>
      </c>
      <c r="G25" s="45" t="inlineStr">
        <is>
          <t>Toán học</t>
        </is>
      </c>
      <c r="H25" s="45" t="inlineStr">
        <is>
          <t>Nội dung giáo dục của địa phương</t>
        </is>
      </c>
      <c r="I25" s="38" t="inlineStr"/>
      <c r="J25" s="38" t="n"/>
    </row>
    <row r="26" ht="18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45" t="inlineStr">
        <is>
          <t>Lịch sử và Địa Lý (Lịch sử)</t>
        </is>
      </c>
      <c r="E26" s="45" t="inlineStr">
        <is>
          <t>GDCD</t>
        </is>
      </c>
      <c r="F26" s="45" t="inlineStr">
        <is>
          <t>Tin học</t>
        </is>
      </c>
      <c r="G26" s="45" t="inlineStr">
        <is>
          <t>Giáo dục thể chất</t>
        </is>
      </c>
      <c r="H26" s="45" t="inlineStr">
        <is>
          <t>Hoạt động trải nghiệm, hướng nghiệp</t>
        </is>
      </c>
      <c r="I26" s="38" t="inlineStr"/>
      <c r="J26" s="38" t="n"/>
    </row>
    <row r="27" ht="18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45" t="inlineStr">
        <is>
          <t>Khoa học tự nhiên (Sinh học)</t>
        </is>
      </c>
      <c r="E27" s="45" t="inlineStr">
        <is>
          <t>Công nghệ</t>
        </is>
      </c>
      <c r="F27" s="45" t="inlineStr">
        <is>
          <t>Khoa học tự nhiên (Sinh học)</t>
        </is>
      </c>
      <c r="G27" s="38" t="inlineStr"/>
      <c r="H27" s="38" t="inlineStr"/>
      <c r="I27" s="38" t="inlineStr"/>
      <c r="J27" s="38" t="n"/>
    </row>
    <row r="28" ht="18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45" t="inlineStr">
        <is>
          <t>Lịch sử và Địa Lý (Địa lý)</t>
        </is>
      </c>
      <c r="E28" s="45" t="inlineStr">
        <is>
          <t>Lịch sử và Địa Lý (Lịch sử)</t>
        </is>
      </c>
      <c r="F28" s="45" t="inlineStr">
        <is>
          <t>Nghệ thuật (Mỹ thuật)</t>
        </is>
      </c>
      <c r="G28" s="38" t="inlineStr"/>
      <c r="H28" s="38" t="inlineStr"/>
      <c r="I28" s="38" t="inlineStr"/>
      <c r="J28" s="38" t="n"/>
    </row>
    <row r="29" ht="18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45" t="inlineStr">
        <is>
          <t>Khoa học tự nhiên (Hóa học)</t>
        </is>
      </c>
      <c r="E29" s="45" t="inlineStr">
        <is>
          <t>Ngoại ngữ</t>
        </is>
      </c>
      <c r="F29" s="45" t="inlineStr">
        <is>
          <t>Hoạt động trải nghiệm, hướng nghiệp</t>
        </is>
      </c>
      <c r="G29" s="38" t="inlineStr"/>
      <c r="H29" s="38" t="inlineStr"/>
      <c r="I29" s="38" t="inlineStr"/>
      <c r="J29" s="38" t="n"/>
    </row>
    <row r="30" ht="18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44" t="inlineStr">
        <is>
          <t>Hoạt động trải nghiệm, hướng nghiệp</t>
        </is>
      </c>
      <c r="E30" s="44" t="inlineStr">
        <is>
          <t>Khoa học tự nhiên (Hóa học)</t>
        </is>
      </c>
      <c r="F30" s="44" t="inlineStr">
        <is>
          <t>Ngữ văn</t>
        </is>
      </c>
      <c r="G30" s="44" t="inlineStr">
        <is>
          <t>Toán học</t>
        </is>
      </c>
      <c r="H30" s="44" t="inlineStr">
        <is>
          <t>Lịch sử và Địa Lý (Địa lý)</t>
        </is>
      </c>
      <c r="I30" s="26" t="inlineStr"/>
      <c r="J30" s="26" t="n"/>
    </row>
    <row r="31" ht="18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44" t="inlineStr">
        <is>
          <t>Toán học</t>
        </is>
      </c>
      <c r="E31" s="44" t="inlineStr">
        <is>
          <t>Ngữ văn</t>
        </is>
      </c>
      <c r="F31" s="44" t="inlineStr">
        <is>
          <t>Khoa học tự nhiên (Hóa học)</t>
        </is>
      </c>
      <c r="G31" s="44" t="inlineStr">
        <is>
          <t>Hoạt động trải nghiệm, hướng nghiệp</t>
        </is>
      </c>
      <c r="H31" s="44" t="inlineStr">
        <is>
          <t>Toán học</t>
        </is>
      </c>
      <c r="I31" s="26" t="inlineStr"/>
      <c r="J31" s="26" t="n"/>
    </row>
    <row r="32" ht="18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44" t="inlineStr">
        <is>
          <t>Giáo dục thể chất</t>
        </is>
      </c>
      <c r="E32" s="44" t="inlineStr">
        <is>
          <t>Toán học</t>
        </is>
      </c>
      <c r="F32" s="44" t="inlineStr">
        <is>
          <t>Nội dung giáo dục của địa phương</t>
        </is>
      </c>
      <c r="G32" s="44" t="inlineStr">
        <is>
          <t>Ngoại ngữ</t>
        </is>
      </c>
      <c r="H32" s="44" t="inlineStr">
        <is>
          <t>Công nghệ</t>
        </is>
      </c>
      <c r="I32" s="26" t="inlineStr"/>
      <c r="J32" s="26" t="n"/>
    </row>
    <row r="33" ht="18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44" t="inlineStr">
        <is>
          <t>Ngữ văn</t>
        </is>
      </c>
      <c r="E33" s="44" t="inlineStr">
        <is>
          <t>Lịch sử và Địa Lý (Địa lý)</t>
        </is>
      </c>
      <c r="F33" s="44" t="inlineStr">
        <is>
          <t>Lịch sử và Địa Lý (Lịch sử)</t>
        </is>
      </c>
      <c r="G33" s="44" t="inlineStr">
        <is>
          <t>Khoa học tự nhiên (Hóa học)</t>
        </is>
      </c>
      <c r="H33" s="44" t="inlineStr">
        <is>
          <t>Ngữ văn</t>
        </is>
      </c>
      <c r="I33" s="26" t="inlineStr"/>
      <c r="J33" s="26" t="n"/>
    </row>
    <row r="34" ht="18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26" t="inlineStr"/>
      <c r="E34" s="26" t="inlineStr"/>
      <c r="F34" s="26" t="inlineStr"/>
      <c r="G34" s="26" t="inlineStr"/>
      <c r="H34" s="44" t="inlineStr">
        <is>
          <t>Hoạt động trải nghiệm, hướng nghiệp</t>
        </is>
      </c>
      <c r="I34" s="26" t="inlineStr"/>
      <c r="J34" s="26" t="n"/>
    </row>
    <row r="35" ht="18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44" t="inlineStr">
        <is>
          <t>Công nghệ</t>
        </is>
      </c>
      <c r="E35" s="44" t="inlineStr">
        <is>
          <t>Ngoại ngữ</t>
        </is>
      </c>
      <c r="F35" s="44" t="inlineStr">
        <is>
          <t>Tin học</t>
        </is>
      </c>
      <c r="G35" s="26" t="inlineStr"/>
      <c r="H35" s="26" t="inlineStr"/>
      <c r="I35" s="26" t="inlineStr"/>
      <c r="J35" s="26" t="n"/>
    </row>
    <row r="36" ht="18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44" t="inlineStr">
        <is>
          <t>Nghệ thuật (Âm nhạc)</t>
        </is>
      </c>
      <c r="E36" s="44" t="inlineStr">
        <is>
          <t>GDCD</t>
        </is>
      </c>
      <c r="F36" s="44" t="inlineStr">
        <is>
          <t>Ngoại ngữ</t>
        </is>
      </c>
      <c r="G36" s="26" t="inlineStr"/>
      <c r="H36" s="26" t="inlineStr"/>
      <c r="I36" s="26" t="inlineStr"/>
      <c r="J36" s="26" t="n"/>
    </row>
    <row r="37" ht="18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44" t="inlineStr">
        <is>
          <t>Nghệ thuật (Mỹ thuật)</t>
        </is>
      </c>
      <c r="E37" s="44" t="inlineStr">
        <is>
          <t>Khoa học tự nhiên (Vật lý)</t>
        </is>
      </c>
      <c r="F37" s="44" t="inlineStr">
        <is>
          <t>Giáo dục thể chất</t>
        </is>
      </c>
      <c r="G37" s="26" t="inlineStr"/>
      <c r="H37" s="26" t="inlineStr"/>
      <c r="I37" s="26" t="inlineStr"/>
      <c r="J37" s="26" t="n"/>
    </row>
    <row r="38" ht="18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45" t="inlineStr">
        <is>
          <t>Hoạt động trải nghiệm, hướng nghiệp</t>
        </is>
      </c>
      <c r="E38" s="45" t="inlineStr">
        <is>
          <t>Toán học</t>
        </is>
      </c>
      <c r="F38" s="45" t="inlineStr">
        <is>
          <t>Khoa học tự nhiên (Hóa học)</t>
        </is>
      </c>
      <c r="G38" s="45" t="inlineStr">
        <is>
          <t>Giáo dục thể chất</t>
        </is>
      </c>
      <c r="H38" s="45" t="inlineStr">
        <is>
          <t>Ngữ văn</t>
        </is>
      </c>
      <c r="I38" s="38" t="inlineStr"/>
      <c r="J38" s="38" t="n"/>
    </row>
    <row r="39" ht="18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45" t="inlineStr">
        <is>
          <t>Ngữ văn</t>
        </is>
      </c>
      <c r="E39" s="45" t="inlineStr">
        <is>
          <t>Khoa học tự nhiên (Hóa học)</t>
        </is>
      </c>
      <c r="F39" s="45" t="inlineStr">
        <is>
          <t>Toán học</t>
        </is>
      </c>
      <c r="G39" s="45" t="inlineStr">
        <is>
          <t>Nghệ thuật (Âm nhạc)</t>
        </is>
      </c>
      <c r="H39" s="45" t="inlineStr">
        <is>
          <t>Khoa học tự nhiên (Hóa học)</t>
        </is>
      </c>
      <c r="I39" s="38" t="inlineStr"/>
      <c r="J39" s="38" t="n"/>
    </row>
    <row r="40" ht="18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45" t="inlineStr">
        <is>
          <t>Nghệ thuật (Mỹ thuật)</t>
        </is>
      </c>
      <c r="E40" s="45" t="inlineStr">
        <is>
          <t>Ngữ văn</t>
        </is>
      </c>
      <c r="F40" s="45" t="inlineStr">
        <is>
          <t>Ngữ văn</t>
        </is>
      </c>
      <c r="G40" s="45" t="inlineStr">
        <is>
          <t>Toán học</t>
        </is>
      </c>
      <c r="H40" s="45" t="inlineStr">
        <is>
          <t>Nội dung giáo dục của địa phương</t>
        </is>
      </c>
      <c r="I40" s="38" t="inlineStr"/>
      <c r="J40" s="38" t="n"/>
    </row>
    <row r="41" ht="18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45" t="inlineStr">
        <is>
          <t>Toán học</t>
        </is>
      </c>
      <c r="E41" s="45" t="inlineStr">
        <is>
          <t>Giáo dục thể chất</t>
        </is>
      </c>
      <c r="F41" s="45" t="inlineStr">
        <is>
          <t>Ngoại ngữ</t>
        </is>
      </c>
      <c r="G41" s="45" t="inlineStr">
        <is>
          <t>Ngoại ngữ</t>
        </is>
      </c>
      <c r="H41" s="45" t="inlineStr">
        <is>
          <t>Lịch sử và Địa Lý (Địa lý)</t>
        </is>
      </c>
      <c r="I41" s="38" t="inlineStr"/>
      <c r="J41" s="38" t="n"/>
    </row>
    <row r="42" ht="18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8" t="inlineStr"/>
      <c r="E42" s="38" t="inlineStr"/>
      <c r="F42" s="38" t="inlineStr"/>
      <c r="G42" s="38" t="inlineStr"/>
      <c r="H42" s="45" t="inlineStr">
        <is>
          <t>Hoạt động trải nghiệm, hướng nghiệp</t>
        </is>
      </c>
      <c r="I42" s="38" t="inlineStr"/>
      <c r="J42" s="38" t="n"/>
    </row>
    <row r="43" ht="18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45" t="inlineStr">
        <is>
          <t>Lịch sử và Địa Lý (Địa lý)</t>
        </is>
      </c>
      <c r="E43" s="45" t="inlineStr">
        <is>
          <t>Khoa học tự nhiên (Vật lý)</t>
        </is>
      </c>
      <c r="F43" s="45" t="inlineStr">
        <is>
          <t>Công nghệ</t>
        </is>
      </c>
      <c r="G43" s="38" t="inlineStr"/>
      <c r="H43" s="38" t="inlineStr"/>
      <c r="I43" s="38" t="inlineStr"/>
      <c r="J43" s="38" t="n"/>
    </row>
    <row r="44" ht="18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45" t="inlineStr">
        <is>
          <t>Lịch sử và Địa Lý (Lịch sử)</t>
        </is>
      </c>
      <c r="E44" s="45" t="inlineStr">
        <is>
          <t>GDCD</t>
        </is>
      </c>
      <c r="F44" s="45" t="inlineStr">
        <is>
          <t>Tin học</t>
        </is>
      </c>
      <c r="G44" s="38" t="inlineStr"/>
      <c r="H44" s="38" t="inlineStr"/>
      <c r="I44" s="38" t="inlineStr"/>
      <c r="J44" s="38" t="n"/>
    </row>
    <row r="45" ht="18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45" t="inlineStr">
        <is>
          <t>Công nghệ</t>
        </is>
      </c>
      <c r="E45" s="45" t="inlineStr">
        <is>
          <t>Hoạt động trải nghiệm, hướng nghiệp</t>
        </is>
      </c>
      <c r="F45" s="45" t="inlineStr">
        <is>
          <t>Ngoại ngữ</t>
        </is>
      </c>
      <c r="G45" s="38" t="inlineStr"/>
      <c r="H45" s="38" t="inlineStr"/>
      <c r="I45" s="38" t="inlineStr"/>
      <c r="J45" s="38" t="n"/>
    </row>
    <row r="46" ht="18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44" t="inlineStr">
        <is>
          <t>Hoạt động trải nghiệm, hướng nghiệp</t>
        </is>
      </c>
      <c r="E46" s="44" t="inlineStr">
        <is>
          <t>Lịch sử và Địa Lý (Lịch sử)</t>
        </is>
      </c>
      <c r="F46" s="44" t="inlineStr">
        <is>
          <t>Ngoại ngữ</t>
        </is>
      </c>
      <c r="G46" s="44" t="inlineStr">
        <is>
          <t>Nội dung giáo dục của địa phương</t>
        </is>
      </c>
      <c r="H46" s="44" t="inlineStr">
        <is>
          <t>Toán học</t>
        </is>
      </c>
      <c r="I46" s="26" t="inlineStr"/>
      <c r="J46" s="26" t="n"/>
    </row>
    <row r="47" ht="18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44" t="inlineStr">
        <is>
          <t>Toán học</t>
        </is>
      </c>
      <c r="E47" s="44" t="inlineStr">
        <is>
          <t>Ngữ văn</t>
        </is>
      </c>
      <c r="F47" s="44" t="inlineStr">
        <is>
          <t>Toán học</t>
        </is>
      </c>
      <c r="G47" s="44" t="inlineStr">
        <is>
          <t>Toán học</t>
        </is>
      </c>
      <c r="H47" s="44" t="inlineStr">
        <is>
          <t>Giáo dục thể chất</t>
        </is>
      </c>
      <c r="I47" s="26" t="inlineStr"/>
      <c r="J47" s="26" t="n"/>
    </row>
    <row r="48" ht="18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44" t="inlineStr">
        <is>
          <t>Ngữ văn</t>
        </is>
      </c>
      <c r="E48" s="44" t="inlineStr">
        <is>
          <t>Hoạt động trải nghiệm, hướng nghiệp</t>
        </is>
      </c>
      <c r="F48" s="44" t="inlineStr">
        <is>
          <t>Ngữ văn</t>
        </is>
      </c>
      <c r="G48" s="44" t="inlineStr">
        <is>
          <t>Khoa học tự nhiên (Hóa học)</t>
        </is>
      </c>
      <c r="H48" s="44" t="inlineStr">
        <is>
          <t>Ngữ văn</t>
        </is>
      </c>
      <c r="I48" s="26" t="inlineStr"/>
      <c r="J48" s="26" t="n"/>
    </row>
    <row r="49" ht="18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44" t="inlineStr">
        <is>
          <t>Khoa học tự nhiên (Hóa học)</t>
        </is>
      </c>
      <c r="E49" s="44" t="inlineStr">
        <is>
          <t>Ngoại ngữ</t>
        </is>
      </c>
      <c r="F49" s="44" t="inlineStr">
        <is>
          <t>GDCD</t>
        </is>
      </c>
      <c r="G49" s="44" t="inlineStr">
        <is>
          <t>Khoa học tự nhiên (Sinh học)</t>
        </is>
      </c>
      <c r="H49" s="44" t="inlineStr">
        <is>
          <t>Khoa học tự nhiên (Hóa học)</t>
        </is>
      </c>
      <c r="I49" s="26" t="inlineStr"/>
      <c r="J49" s="26" t="n"/>
    </row>
    <row r="50" ht="18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26" t="inlineStr"/>
      <c r="E50" s="26" t="inlineStr"/>
      <c r="F50" s="26" t="inlineStr"/>
      <c r="G50" s="26" t="inlineStr"/>
      <c r="H50" s="44" t="inlineStr">
        <is>
          <t>Hoạt động trải nghiệm, hướng nghiệp</t>
        </is>
      </c>
      <c r="I50" s="26" t="inlineStr"/>
      <c r="J50" s="26" t="n"/>
    </row>
    <row r="51" ht="18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44" t="inlineStr">
        <is>
          <t>Công nghệ</t>
        </is>
      </c>
      <c r="E51" s="44" t="inlineStr">
        <is>
          <t>Công nghệ</t>
        </is>
      </c>
      <c r="F51" s="44" t="inlineStr">
        <is>
          <t>Lịch sử và Địa Lý (Địa lý)</t>
        </is>
      </c>
      <c r="G51" s="26" t="inlineStr"/>
      <c r="H51" s="26" t="inlineStr"/>
      <c r="I51" s="26" t="inlineStr"/>
      <c r="J51" s="26" t="n"/>
    </row>
    <row r="52" ht="18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44" t="inlineStr">
        <is>
          <t>Ngoại ngữ</t>
        </is>
      </c>
      <c r="E52" s="44" t="inlineStr">
        <is>
          <t>Nghệ thuật (Âm nhạc)</t>
        </is>
      </c>
      <c r="F52" s="44" t="inlineStr">
        <is>
          <t>Giáo dục thể chất</t>
        </is>
      </c>
      <c r="G52" s="26" t="inlineStr"/>
      <c r="H52" s="26" t="inlineStr"/>
      <c r="I52" s="26" t="inlineStr"/>
      <c r="J52" s="26" t="n"/>
    </row>
    <row r="53" ht="18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44" t="inlineStr">
        <is>
          <t>Lịch sử và Địa Lý (Lịch sử)</t>
        </is>
      </c>
      <c r="E53" s="44" t="inlineStr">
        <is>
          <t>Nghệ thuật (Mỹ thuật)</t>
        </is>
      </c>
      <c r="F53" s="44" t="inlineStr">
        <is>
          <t>Tin học</t>
        </is>
      </c>
      <c r="G53" s="26" t="inlineStr"/>
      <c r="H53" s="26" t="inlineStr"/>
      <c r="I53" s="26" t="inlineStr"/>
      <c r="J53" s="26" t="n"/>
    </row>
    <row r="54" ht="18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45" t="inlineStr">
        <is>
          <t>Hoạt động trải nghiệm, hướng nghiệp</t>
        </is>
      </c>
      <c r="E54" s="45" t="inlineStr">
        <is>
          <t>Ngữ văn</t>
        </is>
      </c>
      <c r="F54" s="45" t="inlineStr">
        <is>
          <t>Ngữ văn</t>
        </is>
      </c>
      <c r="G54" s="45" t="inlineStr">
        <is>
          <t>Nghệ thuật (Mỹ thuật)</t>
        </is>
      </c>
      <c r="H54" s="45" t="inlineStr">
        <is>
          <t>Khoa học tự nhiên (Hóa học)</t>
        </is>
      </c>
      <c r="I54" s="38" t="inlineStr"/>
      <c r="J54" s="38" t="n"/>
    </row>
    <row r="55" ht="18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45" t="inlineStr">
        <is>
          <t>Ngữ văn</t>
        </is>
      </c>
      <c r="E55" s="45" t="inlineStr">
        <is>
          <t>Ngoại ngữ</t>
        </is>
      </c>
      <c r="F55" s="45" t="inlineStr">
        <is>
          <t>Nội dung giáo dục của địa phương</t>
        </is>
      </c>
      <c r="G55" s="45" t="inlineStr">
        <is>
          <t>Khoa học tự nhiên (Hóa học)</t>
        </is>
      </c>
      <c r="H55" s="45" t="inlineStr">
        <is>
          <t>Ngữ văn</t>
        </is>
      </c>
      <c r="I55" s="38" t="inlineStr"/>
      <c r="J55" s="38" t="n"/>
    </row>
    <row r="56" ht="18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45" t="inlineStr">
        <is>
          <t>Khoa học tự nhiên (Hóa học)</t>
        </is>
      </c>
      <c r="E56" s="45" t="inlineStr">
        <is>
          <t>Giáo dục thể chất</t>
        </is>
      </c>
      <c r="F56" s="45" t="inlineStr">
        <is>
          <t>Toán học</t>
        </is>
      </c>
      <c r="G56" s="45" t="inlineStr">
        <is>
          <t>Lịch sử và Địa Lý (Lịch sử)</t>
        </is>
      </c>
      <c r="H56" s="45" t="inlineStr">
        <is>
          <t>Toán học</t>
        </is>
      </c>
      <c r="I56" s="38" t="inlineStr"/>
      <c r="J56" s="38" t="n"/>
    </row>
    <row r="57" ht="18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45" t="inlineStr">
        <is>
          <t>Khoa học tự nhiên (Sinh học)</t>
        </is>
      </c>
      <c r="E57" s="45" t="inlineStr">
        <is>
          <t>Toán học</t>
        </is>
      </c>
      <c r="F57" s="45" t="inlineStr">
        <is>
          <t>Ngoại ngữ</t>
        </is>
      </c>
      <c r="G57" s="45" t="inlineStr">
        <is>
          <t>Toán học</t>
        </is>
      </c>
      <c r="H57" s="45" t="inlineStr">
        <is>
          <t>Giáo dục thể chất</t>
        </is>
      </c>
      <c r="I57" s="38" t="inlineStr"/>
      <c r="J57" s="38" t="n"/>
    </row>
    <row r="58" ht="18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8" t="inlineStr"/>
      <c r="E58" s="38" t="inlineStr"/>
      <c r="F58" s="38" t="inlineStr"/>
      <c r="G58" s="38" t="inlineStr"/>
      <c r="H58" s="45" t="inlineStr">
        <is>
          <t>Hoạt động trải nghiệm, hướng nghiệp</t>
        </is>
      </c>
      <c r="I58" s="38" t="inlineStr"/>
      <c r="J58" s="38" t="n"/>
    </row>
    <row r="59" ht="18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45" t="inlineStr">
        <is>
          <t>Lịch sử và Địa Lý (Lịch sử)</t>
        </is>
      </c>
      <c r="E59" s="45" t="inlineStr">
        <is>
          <t>GDCD</t>
        </is>
      </c>
      <c r="F59" s="45" t="inlineStr">
        <is>
          <t>Tin học</t>
        </is>
      </c>
      <c r="G59" s="38" t="inlineStr"/>
      <c r="H59" s="38" t="inlineStr"/>
      <c r="I59" s="38" t="inlineStr"/>
      <c r="J59" s="38" t="n"/>
    </row>
    <row r="60" ht="18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45" t="inlineStr">
        <is>
          <t>Công nghệ</t>
        </is>
      </c>
      <c r="E60" s="45" t="inlineStr">
        <is>
          <t>Công nghệ</t>
        </is>
      </c>
      <c r="F60" s="45" t="inlineStr">
        <is>
          <t>Nghệ thuật (Âm nhạc)</t>
        </is>
      </c>
      <c r="G60" s="38" t="inlineStr"/>
      <c r="H60" s="38" t="inlineStr"/>
      <c r="I60" s="38" t="inlineStr"/>
      <c r="J60" s="38" t="n"/>
    </row>
    <row r="61" ht="18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45" t="inlineStr">
        <is>
          <t>Ngoại ngữ</t>
        </is>
      </c>
      <c r="E61" s="45" t="inlineStr">
        <is>
          <t>Hoạt động trải nghiệm, hướng nghiệp</t>
        </is>
      </c>
      <c r="F61" s="45" t="inlineStr">
        <is>
          <t>Lịch sử và Địa Lý (Địa lý)</t>
        </is>
      </c>
      <c r="G61" s="38" t="inlineStr"/>
      <c r="H61" s="38" t="inlineStr"/>
      <c r="I61" s="38" t="inlineStr"/>
      <c r="J61" s="38" t="n"/>
    </row>
    <row r="62" ht="27.75" customHeight="1">
      <c r="A62" s="36" t="n"/>
      <c r="B62" s="36" t="n"/>
      <c r="C62" s="36" t="n"/>
      <c r="D62" s="38" t="n"/>
      <c r="E62" s="38" t="n"/>
      <c r="F62" s="38" t="n"/>
      <c r="G62" s="38" t="n"/>
      <c r="H62" s="38" t="n"/>
      <c r="I62" s="38" t="n"/>
      <c r="J62" s="38" t="n"/>
    </row>
    <row r="63" ht="27.75" customHeight="1">
      <c r="A63" s="36" t="n"/>
      <c r="B63" s="36" t="n"/>
      <c r="C63" s="36" t="n"/>
      <c r="D63" s="38" t="n"/>
      <c r="E63" s="38" t="n"/>
      <c r="F63" s="38" t="n"/>
      <c r="G63" s="38" t="n"/>
      <c r="H63" s="38" t="n"/>
      <c r="I63" s="38" t="n"/>
      <c r="J63" s="38" t="n"/>
    </row>
    <row r="64" ht="27.75" customHeight="1">
      <c r="A64" s="36" t="n"/>
      <c r="B64" s="36" t="n"/>
      <c r="C64" s="36" t="n"/>
      <c r="D64" s="38" t="n"/>
      <c r="E64" s="38" t="n"/>
      <c r="F64" s="38" t="n"/>
      <c r="G64" s="38" t="n"/>
      <c r="H64" s="38" t="n"/>
      <c r="I64" s="38" t="n"/>
      <c r="J64" s="38" t="n"/>
    </row>
    <row r="65" ht="27.75" customHeight="1">
      <c r="A65" s="36" t="n"/>
      <c r="B65" s="36" t="n"/>
      <c r="C65" s="36" t="n"/>
      <c r="D65" s="38" t="n"/>
      <c r="E65" s="38" t="n"/>
      <c r="F65" s="38" t="n"/>
      <c r="G65" s="38" t="n"/>
      <c r="H65" s="38" t="n"/>
      <c r="I65" s="38" t="n"/>
      <c r="J65" s="38" t="n"/>
    </row>
    <row r="66" ht="27.75" customHeight="1">
      <c r="A66" s="30" t="n"/>
      <c r="B66" s="30" t="n"/>
      <c r="C66" s="30" t="n"/>
      <c r="D66" s="26" t="n"/>
      <c r="E66" s="26" t="n"/>
      <c r="F66" s="26" t="n"/>
      <c r="G66" s="26" t="n"/>
      <c r="H66" s="26" t="n"/>
      <c r="I66" s="26" t="n"/>
      <c r="J66" s="26" t="n"/>
    </row>
    <row r="67" ht="27.75" customHeight="1">
      <c r="A67" s="30" t="n"/>
      <c r="B67" s="30" t="n"/>
      <c r="C67" s="30" t="n"/>
      <c r="D67" s="26" t="n"/>
      <c r="E67" s="26" t="n"/>
      <c r="F67" s="26" t="n"/>
      <c r="G67" s="26" t="n"/>
      <c r="H67" s="26" t="n"/>
      <c r="I67" s="26" t="n"/>
      <c r="J67" s="26" t="n"/>
    </row>
    <row r="68" ht="27.75" customHeight="1">
      <c r="A68" s="30" t="n"/>
      <c r="B68" s="30" t="n"/>
      <c r="C68" s="30" t="n"/>
      <c r="D68" s="26" t="n"/>
      <c r="E68" s="26" t="n"/>
      <c r="F68" s="26" t="n"/>
      <c r="G68" s="26" t="n"/>
      <c r="H68" s="26" t="n"/>
      <c r="I68" s="26" t="n"/>
      <c r="J68" s="26" t="n"/>
    </row>
    <row r="69" ht="27.75" customHeight="1">
      <c r="A69" s="30" t="n"/>
      <c r="B69" s="30" t="n"/>
      <c r="C69" s="30" t="n"/>
      <c r="D69" s="26" t="n"/>
      <c r="E69" s="26" t="n"/>
      <c r="F69" s="26" t="n"/>
      <c r="G69" s="26" t="n"/>
      <c r="H69" s="26" t="n"/>
      <c r="I69" s="26" t="n"/>
      <c r="J69" s="26" t="n"/>
    </row>
    <row r="70" ht="27.75" customHeight="1">
      <c r="A70" s="30" t="n"/>
      <c r="B70" s="30" t="n"/>
      <c r="C70" s="30" t="n"/>
      <c r="D70" s="26" t="n"/>
      <c r="E70" s="26" t="n"/>
      <c r="F70" s="26" t="n"/>
      <c r="G70" s="26" t="n"/>
      <c r="H70" s="26" t="n"/>
      <c r="I70" s="26" t="n"/>
      <c r="J70" s="26" t="n"/>
    </row>
    <row r="71" ht="27.75" customHeight="1">
      <c r="A71" s="30" t="n"/>
      <c r="B71" s="30" t="n"/>
      <c r="C71" s="30" t="n"/>
      <c r="D71" s="26" t="n"/>
      <c r="E71" s="26" t="n"/>
      <c r="F71" s="26" t="n"/>
      <c r="G71" s="26" t="n"/>
      <c r="H71" s="26" t="n"/>
      <c r="I71" s="26" t="n"/>
      <c r="J71" s="26" t="n"/>
    </row>
    <row r="72" ht="27.75" customHeight="1">
      <c r="A72" s="30" t="n"/>
      <c r="B72" s="30" t="n"/>
      <c r="C72" s="30" t="n"/>
      <c r="D72" s="26" t="n"/>
      <c r="E72" s="26" t="n"/>
      <c r="F72" s="26" t="n"/>
      <c r="G72" s="26" t="n"/>
      <c r="H72" s="26" t="n"/>
      <c r="I72" s="26" t="n"/>
      <c r="J72" s="26" t="n"/>
    </row>
    <row r="73" ht="27.75" customHeight="1">
      <c r="A73" s="30" t="n"/>
      <c r="B73" s="30" t="n"/>
      <c r="C73" s="30" t="n"/>
      <c r="D73" s="26" t="n"/>
      <c r="E73" s="26" t="n"/>
      <c r="F73" s="26" t="n"/>
      <c r="G73" s="26" t="n"/>
      <c r="H73" s="26" t="n"/>
      <c r="I73" s="26" t="n"/>
      <c r="J73" s="26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9">
    <outlinePr summaryBelow="1" summaryRight="1"/>
    <pageSetUpPr/>
  </sheetPr>
  <dimension ref="A1:R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10" customWidth="1" min="1" max="1"/>
    <col width="8" customWidth="1" min="2" max="3"/>
    <col width="11" customWidth="1" min="3" max="3"/>
    <col width="12" customWidth="1" min="4" max="10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1" customWidth="1" min="10" max="10"/>
    <col hidden="1" width="21" customWidth="1" min="12" max="18"/>
  </cols>
  <sheetData>
    <row r="1" ht="18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  <c r="L1" s="33" t="inlineStr">
        <is>
          <t>Cờ trùng GV (ẩn) →</t>
        </is>
      </c>
    </row>
    <row r="2" ht="18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44" t="inlineStr">
        <is>
          <t>Giang</t>
        </is>
      </c>
      <c r="E2" s="44" t="inlineStr">
        <is>
          <t>Hoa</t>
        </is>
      </c>
      <c r="F2" s="44" t="inlineStr">
        <is>
          <t>Minh Anh</t>
        </is>
      </c>
      <c r="G2" s="44" t="inlineStr">
        <is>
          <t>Nhung</t>
        </is>
      </c>
      <c r="H2" s="44" t="inlineStr">
        <is>
          <t>Giang</t>
        </is>
      </c>
      <c r="I2" s="30" t="inlineStr"/>
      <c r="J2" s="30" t="n"/>
      <c r="L2" s="39" t="n"/>
      <c r="M2" s="39" t="n"/>
      <c r="N2" s="39" t="n"/>
      <c r="O2" s="39" t="n"/>
      <c r="P2" s="39" t="n"/>
      <c r="Q2" s="39" t="n"/>
      <c r="R2" s="39" t="n"/>
    </row>
    <row r="3" ht="18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44" t="inlineStr">
        <is>
          <t>Giang</t>
        </is>
      </c>
      <c r="E3" s="44" t="inlineStr">
        <is>
          <t>Lan Ly</t>
        </is>
      </c>
      <c r="F3" s="44" t="inlineStr">
        <is>
          <t>Nhung</t>
        </is>
      </c>
      <c r="G3" s="44" t="inlineStr">
        <is>
          <t>Hồng</t>
        </is>
      </c>
      <c r="H3" s="44" t="inlineStr">
        <is>
          <t>Huyền Ly</t>
        </is>
      </c>
      <c r="I3" s="30" t="inlineStr"/>
      <c r="J3" s="30" t="n"/>
      <c r="L3" s="39" t="n"/>
      <c r="M3" s="39" t="n"/>
      <c r="N3" s="39" t="n"/>
      <c r="O3" s="39" t="n"/>
      <c r="P3" s="39" t="n"/>
      <c r="Q3" s="39" t="n"/>
      <c r="R3" s="39" t="n"/>
    </row>
    <row r="4" ht="18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44" t="inlineStr">
        <is>
          <t>Huyền Ly</t>
        </is>
      </c>
      <c r="E4" s="44" t="inlineStr">
        <is>
          <t>Huyền Ly</t>
        </is>
      </c>
      <c r="F4" s="44" t="inlineStr">
        <is>
          <t>Sơn</t>
        </is>
      </c>
      <c r="G4" s="44" t="inlineStr">
        <is>
          <t>Hoa</t>
        </is>
      </c>
      <c r="H4" s="44" t="inlineStr">
        <is>
          <t>Hoa</t>
        </is>
      </c>
      <c r="I4" s="30" t="inlineStr"/>
      <c r="J4" s="30" t="n"/>
      <c r="L4" s="39" t="n"/>
      <c r="M4" s="39" t="n"/>
      <c r="N4" s="39" t="n"/>
      <c r="O4" s="39" t="n"/>
      <c r="P4" s="39" t="n"/>
      <c r="Q4" s="39" t="n"/>
      <c r="R4" s="39" t="n"/>
    </row>
    <row r="5" ht="18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44" t="inlineStr">
        <is>
          <t>Hồng</t>
        </is>
      </c>
      <c r="E5" s="44" t="inlineStr">
        <is>
          <t>Khu</t>
        </is>
      </c>
      <c r="F5" s="44" t="inlineStr">
        <is>
          <t>Hoa</t>
        </is>
      </c>
      <c r="G5" s="44" t="inlineStr">
        <is>
          <t>Huyền Ly</t>
        </is>
      </c>
      <c r="H5" s="44" t="inlineStr">
        <is>
          <t>Giang</t>
        </is>
      </c>
      <c r="I5" s="30" t="inlineStr"/>
      <c r="J5" s="30" t="n"/>
      <c r="L5" s="39" t="n"/>
      <c r="M5" s="39" t="n"/>
      <c r="N5" s="39" t="n"/>
      <c r="O5" s="39" t="n"/>
      <c r="P5" s="39" t="n"/>
      <c r="Q5" s="39" t="n"/>
      <c r="R5" s="39" t="n"/>
    </row>
    <row r="6" ht="18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44" t="inlineStr">
        <is>
          <t>Hoa</t>
        </is>
      </c>
      <c r="E6" s="44" t="inlineStr">
        <is>
          <t>Hà</t>
        </is>
      </c>
      <c r="F6" s="44" t="inlineStr">
        <is>
          <t>Giang</t>
        </is>
      </c>
      <c r="G6" s="30" t="inlineStr"/>
      <c r="H6" s="30" t="inlineStr"/>
      <c r="I6" s="30" t="inlineStr"/>
      <c r="J6" s="30" t="n"/>
      <c r="L6" s="39" t="n"/>
      <c r="M6" s="39" t="n"/>
      <c r="N6" s="39" t="n"/>
      <c r="O6" s="39" t="n"/>
      <c r="P6" s="39" t="n"/>
      <c r="Q6" s="39" t="n"/>
      <c r="R6" s="39" t="n"/>
    </row>
    <row r="7" ht="18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44" t="inlineStr">
        <is>
          <t>Sơn</t>
        </is>
      </c>
      <c r="E7" s="44" t="inlineStr">
        <is>
          <t>Lan</t>
        </is>
      </c>
      <c r="F7" s="44" t="inlineStr">
        <is>
          <t>Sơn</t>
        </is>
      </c>
      <c r="G7" s="30" t="inlineStr"/>
      <c r="H7" s="30" t="inlineStr"/>
      <c r="I7" s="30" t="inlineStr"/>
      <c r="J7" s="30" t="n"/>
      <c r="L7" s="39" t="n"/>
      <c r="M7" s="39" t="n"/>
      <c r="N7" s="39" t="n"/>
      <c r="O7" s="39" t="n"/>
      <c r="P7" s="39" t="n"/>
      <c r="Q7" s="39" t="n"/>
      <c r="R7" s="39" t="n"/>
    </row>
    <row r="8" ht="18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44" t="inlineStr">
        <is>
          <t>Huyền Ly</t>
        </is>
      </c>
      <c r="E8" s="44" t="inlineStr">
        <is>
          <t>Sơn</t>
        </is>
      </c>
      <c r="F8" s="44" t="inlineStr">
        <is>
          <t>Giang</t>
        </is>
      </c>
      <c r="G8" s="30" t="inlineStr"/>
      <c r="H8" s="30" t="inlineStr"/>
      <c r="I8" s="30" t="inlineStr"/>
      <c r="J8" s="30" t="n"/>
      <c r="L8" s="39" t="n"/>
      <c r="M8" s="39" t="n"/>
      <c r="N8" s="39" t="n"/>
      <c r="O8" s="39" t="n"/>
      <c r="P8" s="39" t="n"/>
      <c r="Q8" s="39" t="n"/>
      <c r="R8" s="39" t="n"/>
    </row>
    <row r="9" ht="18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45" t="inlineStr">
        <is>
          <t>Hoa</t>
        </is>
      </c>
      <c r="E9" s="45" t="inlineStr">
        <is>
          <t>Trung</t>
        </is>
      </c>
      <c r="F9" s="45" t="inlineStr">
        <is>
          <t>Trung</t>
        </is>
      </c>
      <c r="G9" s="45" t="inlineStr">
        <is>
          <t>Hoa</t>
        </is>
      </c>
      <c r="H9" s="45" t="inlineStr">
        <is>
          <t>Huyền Ly</t>
        </is>
      </c>
      <c r="I9" s="36" t="inlineStr"/>
      <c r="J9" s="36" t="n"/>
      <c r="L9" s="39" t="n"/>
      <c r="M9" s="39" t="n"/>
      <c r="N9" s="39" t="n"/>
      <c r="O9" s="39" t="n"/>
      <c r="P9" s="39" t="n"/>
      <c r="Q9" s="39" t="n"/>
      <c r="R9" s="39" t="n"/>
    </row>
    <row r="10" ht="18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45" t="inlineStr">
        <is>
          <t>Hoa</t>
        </is>
      </c>
      <c r="E10" s="45" t="inlineStr">
        <is>
          <t>Hồng</t>
        </is>
      </c>
      <c r="F10" s="45" t="inlineStr">
        <is>
          <t>Hoa</t>
        </is>
      </c>
      <c r="G10" s="45" t="inlineStr">
        <is>
          <t>Huyền Ly</t>
        </is>
      </c>
      <c r="H10" s="45" t="inlineStr">
        <is>
          <t>Sơn</t>
        </is>
      </c>
      <c r="I10" s="36" t="inlineStr"/>
      <c r="J10" s="36" t="n"/>
      <c r="L10" s="39" t="n"/>
      <c r="M10" s="39" t="n"/>
      <c r="N10" s="39" t="n"/>
      <c r="O10" s="39" t="n"/>
      <c r="P10" s="39" t="n"/>
      <c r="Q10" s="39" t="n"/>
      <c r="R10" s="39" t="n"/>
    </row>
    <row r="11" ht="18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45" t="inlineStr">
        <is>
          <t>Trung</t>
        </is>
      </c>
      <c r="E11" s="45" t="inlineStr">
        <is>
          <t>Hoa</t>
        </is>
      </c>
      <c r="F11" s="45" t="inlineStr">
        <is>
          <t>Khu</t>
        </is>
      </c>
      <c r="G11" s="45" t="inlineStr">
        <is>
          <t>Sơn</t>
        </is>
      </c>
      <c r="H11" s="45" t="inlineStr">
        <is>
          <t>Hồng</t>
        </is>
      </c>
      <c r="I11" s="36" t="inlineStr"/>
      <c r="J11" s="36" t="n"/>
      <c r="L11" s="39" t="n"/>
      <c r="M11" s="39" t="n"/>
      <c r="N11" s="39" t="n"/>
      <c r="O11" s="39" t="n"/>
      <c r="P11" s="39" t="n"/>
      <c r="Q11" s="39" t="n"/>
      <c r="R11" s="39" t="n"/>
    </row>
    <row r="12" ht="18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45" t="inlineStr">
        <is>
          <t>Huyền Ly</t>
        </is>
      </c>
      <c r="E12" s="45" t="inlineStr">
        <is>
          <t>Huyền Ly</t>
        </is>
      </c>
      <c r="F12" s="45" t="inlineStr">
        <is>
          <t>Sơn</t>
        </is>
      </c>
      <c r="G12" s="45" t="inlineStr">
        <is>
          <t>Lan Ly</t>
        </is>
      </c>
      <c r="H12" s="45" t="inlineStr">
        <is>
          <t>Hoa</t>
        </is>
      </c>
      <c r="I12" s="36" t="inlineStr"/>
      <c r="J12" s="36" t="n"/>
      <c r="L12" s="39" t="n"/>
      <c r="M12" s="39" t="n"/>
      <c r="N12" s="39" t="n"/>
      <c r="O12" s="39" t="n"/>
      <c r="P12" s="39" t="n"/>
      <c r="Q12" s="39" t="n"/>
      <c r="R12" s="39" t="n"/>
    </row>
    <row r="13" ht="18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45" t="inlineStr">
        <is>
          <t>Huyền Ly</t>
        </is>
      </c>
      <c r="E13" s="45" t="inlineStr">
        <is>
          <t>Lan</t>
        </is>
      </c>
      <c r="F13" s="45" t="inlineStr">
        <is>
          <t>Hà</t>
        </is>
      </c>
      <c r="G13" s="36" t="inlineStr"/>
      <c r="H13" s="36" t="inlineStr"/>
      <c r="I13" s="36" t="inlineStr"/>
      <c r="J13" s="36" t="n"/>
      <c r="L13" s="39" t="n"/>
      <c r="M13" s="39" t="n"/>
      <c r="N13" s="39" t="n"/>
      <c r="O13" s="39" t="n"/>
      <c r="P13" s="39" t="n"/>
      <c r="Q13" s="39" t="n"/>
      <c r="R13" s="39" t="n"/>
    </row>
    <row r="14" ht="18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45" t="inlineStr">
        <is>
          <t>Hoa</t>
        </is>
      </c>
      <c r="E14" s="45" t="inlineStr">
        <is>
          <t>Sơn</t>
        </is>
      </c>
      <c r="F14" s="45" t="inlineStr">
        <is>
          <t>Nhung</t>
        </is>
      </c>
      <c r="G14" s="36" t="inlineStr"/>
      <c r="H14" s="36" t="inlineStr"/>
      <c r="I14" s="36" t="inlineStr"/>
      <c r="J14" s="36" t="n"/>
      <c r="L14" s="39" t="n"/>
      <c r="M14" s="39" t="n"/>
      <c r="N14" s="39" t="n"/>
      <c r="O14" s="39" t="n"/>
      <c r="P14" s="39" t="n"/>
      <c r="Q14" s="39" t="n"/>
      <c r="R14" s="39" t="n"/>
    </row>
    <row r="15" ht="18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45" t="inlineStr">
        <is>
          <t>Nhung</t>
        </is>
      </c>
      <c r="E15" s="45" t="inlineStr">
        <is>
          <t>Hoa</t>
        </is>
      </c>
      <c r="F15" s="45" t="inlineStr">
        <is>
          <t>Sơn</t>
        </is>
      </c>
      <c r="G15" s="36" t="inlineStr"/>
      <c r="H15" s="36" t="inlineStr"/>
      <c r="I15" s="36" t="inlineStr"/>
      <c r="J15" s="36" t="n"/>
      <c r="L15" s="39" t="n"/>
      <c r="M15" s="39" t="n"/>
      <c r="N15" s="39" t="n"/>
      <c r="O15" s="39" t="n"/>
      <c r="P15" s="39" t="n"/>
      <c r="Q15" s="39" t="n"/>
      <c r="R15" s="39" t="n"/>
    </row>
    <row r="16" ht="18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44" t="inlineStr">
        <is>
          <t>Lệ</t>
        </is>
      </c>
      <c r="E16" s="44" t="inlineStr">
        <is>
          <t>Nhung</t>
        </is>
      </c>
      <c r="F16" s="44" t="inlineStr">
        <is>
          <t>Lệ</t>
        </is>
      </c>
      <c r="G16" s="44" t="inlineStr">
        <is>
          <t>Khu</t>
        </is>
      </c>
      <c r="H16" s="44" t="inlineStr">
        <is>
          <t>Sơn</t>
        </is>
      </c>
      <c r="I16" s="30" t="inlineStr"/>
      <c r="J16" s="30" t="n"/>
      <c r="L16" s="39" t="n"/>
      <c r="M16" s="39" t="n"/>
      <c r="N16" s="39" t="n"/>
      <c r="O16" s="39" t="n"/>
      <c r="P16" s="39" t="n"/>
      <c r="Q16" s="39" t="n"/>
      <c r="R16" s="39" t="n"/>
    </row>
    <row r="17" ht="18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44" t="inlineStr">
        <is>
          <t>Hồng</t>
        </is>
      </c>
      <c r="E17" s="44" t="inlineStr">
        <is>
          <t>Nhung</t>
        </is>
      </c>
      <c r="F17" s="44" t="inlineStr">
        <is>
          <t>Huyền Ly</t>
        </is>
      </c>
      <c r="G17" s="44" t="inlineStr">
        <is>
          <t>Lệ</t>
        </is>
      </c>
      <c r="H17" s="44" t="inlineStr">
        <is>
          <t>Nhung</t>
        </is>
      </c>
      <c r="I17" s="30" t="inlineStr"/>
      <c r="J17" s="30" t="n"/>
      <c r="L17" s="39" t="n"/>
      <c r="M17" s="39" t="n"/>
      <c r="N17" s="39" t="n"/>
      <c r="O17" s="39" t="n"/>
      <c r="P17" s="39" t="n"/>
      <c r="Q17" s="39" t="n"/>
      <c r="R17" s="39" t="n"/>
    </row>
    <row r="18" ht="18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44" t="inlineStr">
        <is>
          <t>Nhung</t>
        </is>
      </c>
      <c r="E18" s="44" t="inlineStr">
        <is>
          <t>Lệ</t>
        </is>
      </c>
      <c r="F18" s="44" t="inlineStr">
        <is>
          <t>Thành</t>
        </is>
      </c>
      <c r="G18" s="44" t="inlineStr">
        <is>
          <t>Hồng</t>
        </is>
      </c>
      <c r="H18" s="44" t="inlineStr">
        <is>
          <t>Lệ</t>
        </is>
      </c>
      <c r="I18" s="30" t="inlineStr"/>
      <c r="J18" s="30" t="n"/>
      <c r="L18" s="39" t="n"/>
      <c r="M18" s="39" t="n"/>
      <c r="N18" s="39" t="n"/>
      <c r="O18" s="39" t="n"/>
      <c r="P18" s="39" t="n"/>
      <c r="Q18" s="39" t="n"/>
      <c r="R18" s="39" t="n"/>
    </row>
    <row r="19" ht="18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44" t="inlineStr">
        <is>
          <t>Trung</t>
        </is>
      </c>
      <c r="E19" s="44" t="inlineStr">
        <is>
          <t>Trung</t>
        </is>
      </c>
      <c r="F19" s="44" t="inlineStr">
        <is>
          <t>Lệ</t>
        </is>
      </c>
      <c r="G19" s="44" t="inlineStr">
        <is>
          <t>Nhung</t>
        </is>
      </c>
      <c r="H19" s="44" t="inlineStr">
        <is>
          <t>Lệ</t>
        </is>
      </c>
      <c r="I19" s="30" t="inlineStr"/>
      <c r="J19" s="30" t="n"/>
      <c r="L19" s="39" t="n"/>
      <c r="M19" s="39" t="n"/>
      <c r="N19" s="39" t="n"/>
      <c r="O19" s="39" t="n"/>
      <c r="P19" s="39" t="n"/>
      <c r="Q19" s="39" t="n"/>
      <c r="R19" s="39" t="n"/>
    </row>
    <row r="20" ht="18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44" t="inlineStr">
        <is>
          <t>Lan Ly</t>
        </is>
      </c>
      <c r="E20" s="44" t="inlineStr">
        <is>
          <t>Hoà</t>
        </is>
      </c>
      <c r="F20" s="44" t="inlineStr">
        <is>
          <t>Trung</t>
        </is>
      </c>
      <c r="G20" s="30" t="inlineStr"/>
      <c r="H20" s="30" t="inlineStr"/>
      <c r="I20" s="30" t="inlineStr"/>
      <c r="J20" s="30" t="n"/>
      <c r="L20" s="39" t="n"/>
      <c r="M20" s="39" t="n"/>
      <c r="N20" s="39" t="n"/>
      <c r="O20" s="39" t="n"/>
      <c r="P20" s="39" t="n"/>
      <c r="Q20" s="39" t="n"/>
      <c r="R20" s="39" t="n"/>
    </row>
    <row r="21" ht="18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44" t="inlineStr">
        <is>
          <t>Hoà</t>
        </is>
      </c>
      <c r="E21" s="44" t="inlineStr">
        <is>
          <t>Lan Ly</t>
        </is>
      </c>
      <c r="F21" s="44" t="inlineStr">
        <is>
          <t>Hoà</t>
        </is>
      </c>
      <c r="G21" s="30" t="inlineStr"/>
      <c r="H21" s="30" t="inlineStr"/>
      <c r="I21" s="30" t="inlineStr"/>
      <c r="J21" s="30" t="n"/>
      <c r="L21" s="39" t="n"/>
      <c r="M21" s="39" t="n"/>
      <c r="N21" s="39" t="n"/>
      <c r="O21" s="39" t="n"/>
      <c r="P21" s="39" t="n"/>
      <c r="Q21" s="39" t="n"/>
      <c r="R21" s="39" t="n"/>
    </row>
    <row r="22" ht="18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44" t="inlineStr">
        <is>
          <t>Khu</t>
        </is>
      </c>
      <c r="E22" s="44" t="inlineStr">
        <is>
          <t>Thành</t>
        </is>
      </c>
      <c r="F22" s="44" t="inlineStr">
        <is>
          <t>Lan Ly</t>
        </is>
      </c>
      <c r="G22" s="30" t="inlineStr"/>
      <c r="H22" s="30" t="inlineStr"/>
      <c r="I22" s="30" t="inlineStr"/>
      <c r="J22" s="30" t="n"/>
      <c r="L22" s="39" t="n"/>
      <c r="M22" s="39" t="n"/>
      <c r="N22" s="39" t="n"/>
      <c r="O22" s="39" t="n"/>
      <c r="P22" s="39" t="n"/>
      <c r="Q22" s="39" t="n"/>
      <c r="R22" s="39" t="n"/>
    </row>
    <row r="23" ht="18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45" t="inlineStr">
        <is>
          <t>Hoà</t>
        </is>
      </c>
      <c r="E23" s="45" t="inlineStr">
        <is>
          <t>Hồng</t>
        </is>
      </c>
      <c r="F23" s="45" t="inlineStr">
        <is>
          <t>Thành</t>
        </is>
      </c>
      <c r="G23" s="45" t="inlineStr">
        <is>
          <t>Trung</t>
        </is>
      </c>
      <c r="H23" s="45" t="inlineStr">
        <is>
          <t>Lan Ly</t>
        </is>
      </c>
      <c r="I23" s="36" t="inlineStr"/>
      <c r="J23" s="36" t="n"/>
      <c r="L23" s="39" t="n"/>
      <c r="M23" s="39" t="n"/>
      <c r="N23" s="39" t="n"/>
      <c r="O23" s="39" t="n"/>
      <c r="P23" s="39" t="n"/>
      <c r="Q23" s="39" t="n"/>
      <c r="R23" s="39" t="n"/>
    </row>
    <row r="24" ht="18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45" t="inlineStr">
        <is>
          <t>Thành</t>
        </is>
      </c>
      <c r="E24" s="45" t="inlineStr">
        <is>
          <t>Trung</t>
        </is>
      </c>
      <c r="F24" s="45" t="inlineStr">
        <is>
          <t>Lệ</t>
        </is>
      </c>
      <c r="G24" s="45" t="inlineStr">
        <is>
          <t>Thành</t>
        </is>
      </c>
      <c r="H24" s="45" t="inlineStr">
        <is>
          <t>Lệ</t>
        </is>
      </c>
      <c r="I24" s="36" t="inlineStr"/>
      <c r="J24" s="36" t="n"/>
      <c r="L24" s="39" t="n"/>
      <c r="M24" s="39" t="n"/>
      <c r="N24" s="39" t="n"/>
      <c r="O24" s="39" t="n"/>
      <c r="P24" s="39" t="n"/>
      <c r="Q24" s="39" t="n"/>
      <c r="R24" s="39" t="n"/>
    </row>
    <row r="25" ht="18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45" t="inlineStr">
        <is>
          <t>Lệ</t>
        </is>
      </c>
      <c r="E25" s="45" t="inlineStr">
        <is>
          <t>Thành</t>
        </is>
      </c>
      <c r="F25" s="45" t="inlineStr">
        <is>
          <t>Huyền Ly</t>
        </is>
      </c>
      <c r="G25" s="45" t="inlineStr">
        <is>
          <t>Lệ</t>
        </is>
      </c>
      <c r="H25" s="45" t="inlineStr">
        <is>
          <t>Khu</t>
        </is>
      </c>
      <c r="I25" s="36" t="inlineStr"/>
      <c r="J25" s="36" t="n"/>
      <c r="L25" s="39" t="n"/>
      <c r="M25" s="39" t="n"/>
      <c r="N25" s="39" t="n"/>
      <c r="O25" s="39" t="n"/>
      <c r="P25" s="39" t="n"/>
      <c r="Q25" s="39" t="n"/>
      <c r="R25" s="39" t="n"/>
    </row>
    <row r="26" ht="18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45" t="inlineStr">
        <is>
          <t>Thành</t>
        </is>
      </c>
      <c r="E26" s="45" t="inlineStr">
        <is>
          <t>Lan Ly</t>
        </is>
      </c>
      <c r="F26" s="45" t="inlineStr">
        <is>
          <t>Khu</t>
        </is>
      </c>
      <c r="G26" s="45" t="inlineStr">
        <is>
          <t>Hồng</t>
        </is>
      </c>
      <c r="H26" s="45" t="inlineStr">
        <is>
          <t>Hoà</t>
        </is>
      </c>
      <c r="I26" s="36" t="inlineStr"/>
      <c r="J26" s="36" t="n"/>
      <c r="L26" s="39" t="n"/>
      <c r="M26" s="39" t="n"/>
      <c r="N26" s="39" t="n"/>
      <c r="O26" s="39" t="n"/>
      <c r="P26" s="39" t="n"/>
      <c r="Q26" s="39" t="n"/>
      <c r="R26" s="39" t="n"/>
    </row>
    <row r="27" ht="18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45" t="inlineStr">
        <is>
          <t>Hoà</t>
        </is>
      </c>
      <c r="E27" s="45" t="inlineStr">
        <is>
          <t>Sơn</t>
        </is>
      </c>
      <c r="F27" s="45" t="inlineStr">
        <is>
          <t>Hoà</t>
        </is>
      </c>
      <c r="G27" s="36" t="inlineStr"/>
      <c r="H27" s="36" t="inlineStr"/>
      <c r="I27" s="36" t="inlineStr"/>
      <c r="J27" s="36" t="n"/>
      <c r="L27" s="39" t="n"/>
      <c r="M27" s="39" t="n"/>
      <c r="N27" s="39" t="n"/>
      <c r="O27" s="39" t="n"/>
      <c r="P27" s="39" t="n"/>
      <c r="Q27" s="39" t="n"/>
      <c r="R27" s="39" t="n"/>
    </row>
    <row r="28" ht="18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45" t="inlineStr">
        <is>
          <t>Nhung</t>
        </is>
      </c>
      <c r="E28" s="45" t="inlineStr">
        <is>
          <t>Thành</t>
        </is>
      </c>
      <c r="F28" s="45" t="inlineStr">
        <is>
          <t>Lan Ly</t>
        </is>
      </c>
      <c r="G28" s="36" t="inlineStr"/>
      <c r="H28" s="36" t="inlineStr"/>
      <c r="I28" s="36" t="inlineStr"/>
      <c r="J28" s="36" t="n"/>
      <c r="L28" s="39" t="n"/>
      <c r="M28" s="39" t="n"/>
      <c r="N28" s="39" t="n"/>
      <c r="O28" s="39" t="n"/>
      <c r="P28" s="39" t="n"/>
      <c r="Q28" s="39" t="n"/>
      <c r="R28" s="39" t="n"/>
    </row>
    <row r="29" ht="18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45" t="inlineStr">
        <is>
          <t>Hoà</t>
        </is>
      </c>
      <c r="E29" s="45" t="inlineStr">
        <is>
          <t>Trung</t>
        </is>
      </c>
      <c r="F29" s="45" t="inlineStr">
        <is>
          <t>Hoà</t>
        </is>
      </c>
      <c r="G29" s="36" t="inlineStr"/>
      <c r="H29" s="36" t="inlineStr"/>
      <c r="I29" s="36" t="inlineStr"/>
      <c r="J29" s="36" t="n"/>
      <c r="L29" s="39" t="n"/>
      <c r="M29" s="39" t="n"/>
      <c r="N29" s="39" t="n"/>
      <c r="O29" s="39" t="n"/>
      <c r="P29" s="39" t="n"/>
      <c r="Q29" s="39" t="n"/>
      <c r="R29" s="39" t="n"/>
    </row>
    <row r="30" ht="18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44" t="inlineStr">
        <is>
          <t>Minh Anh</t>
        </is>
      </c>
      <c r="E30" s="44" t="inlineStr">
        <is>
          <t>Khu</t>
        </is>
      </c>
      <c r="F30" s="44" t="inlineStr">
        <is>
          <t>Uyên</t>
        </is>
      </c>
      <c r="G30" s="44" t="inlineStr">
        <is>
          <t>Minh Anh</t>
        </is>
      </c>
      <c r="H30" s="44" t="inlineStr">
        <is>
          <t>Nhung</t>
        </is>
      </c>
      <c r="I30" s="30" t="inlineStr"/>
      <c r="J30" s="30" t="n"/>
      <c r="L30" s="39" t="n"/>
      <c r="M30" s="39" t="n"/>
      <c r="N30" s="39" t="n"/>
      <c r="O30" s="39" t="n"/>
      <c r="P30" s="39" t="n"/>
      <c r="Q30" s="39" t="n"/>
      <c r="R30" s="39" t="n"/>
    </row>
    <row r="31" ht="18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44" t="inlineStr">
        <is>
          <t>Minh Anh</t>
        </is>
      </c>
      <c r="E31" s="44" t="inlineStr">
        <is>
          <t>Uyên</t>
        </is>
      </c>
      <c r="F31" s="44" t="inlineStr">
        <is>
          <t>Khu</t>
        </is>
      </c>
      <c r="G31" s="44" t="inlineStr">
        <is>
          <t>Minh Anh</t>
        </is>
      </c>
      <c r="H31" s="44" t="inlineStr">
        <is>
          <t>Minh Anh</t>
        </is>
      </c>
      <c r="I31" s="30" t="inlineStr"/>
      <c r="J31" s="30" t="n"/>
      <c r="L31" s="39" t="n"/>
      <c r="M31" s="39" t="n"/>
      <c r="N31" s="39" t="n"/>
      <c r="O31" s="39" t="n"/>
      <c r="P31" s="39" t="n"/>
      <c r="Q31" s="39" t="n"/>
      <c r="R31" s="39" t="n"/>
    </row>
    <row r="32" ht="18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44" t="inlineStr">
        <is>
          <t>Hồng</t>
        </is>
      </c>
      <c r="E32" s="44" t="inlineStr">
        <is>
          <t>Minh Anh</t>
        </is>
      </c>
      <c r="F32" s="44" t="inlineStr">
        <is>
          <t>Nhung</t>
        </is>
      </c>
      <c r="G32" s="44" t="inlineStr">
        <is>
          <t>Trung</t>
        </is>
      </c>
      <c r="H32" s="44" t="inlineStr">
        <is>
          <t>Sơn</t>
        </is>
      </c>
      <c r="I32" s="30" t="inlineStr"/>
      <c r="J32" s="30" t="n"/>
      <c r="L32" s="39" t="n"/>
      <c r="M32" s="39" t="n"/>
      <c r="N32" s="39" t="n"/>
      <c r="O32" s="39" t="n"/>
      <c r="P32" s="39" t="n"/>
      <c r="Q32" s="39" t="n"/>
      <c r="R32" s="39" t="n"/>
    </row>
    <row r="33" ht="18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44" t="inlineStr">
        <is>
          <t>Uyên</t>
        </is>
      </c>
      <c r="E33" s="44" t="inlineStr">
        <is>
          <t>Nhung</t>
        </is>
      </c>
      <c r="F33" s="44" t="inlineStr">
        <is>
          <t>Thành</t>
        </is>
      </c>
      <c r="G33" s="44" t="inlineStr">
        <is>
          <t>Khu</t>
        </is>
      </c>
      <c r="H33" s="44" t="inlineStr">
        <is>
          <t>Uyên</t>
        </is>
      </c>
      <c r="I33" s="30" t="inlineStr"/>
      <c r="J33" s="30" t="n"/>
      <c r="L33" s="39" t="n"/>
      <c r="M33" s="39" t="n"/>
      <c r="N33" s="39" t="n"/>
      <c r="O33" s="39" t="n"/>
      <c r="P33" s="39" t="n"/>
      <c r="Q33" s="39" t="n"/>
      <c r="R33" s="39" t="n"/>
    </row>
    <row r="34" ht="18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30" t="inlineStr"/>
      <c r="E34" s="30" t="inlineStr"/>
      <c r="F34" s="30" t="inlineStr"/>
      <c r="G34" s="30" t="inlineStr"/>
      <c r="H34" s="44" t="inlineStr">
        <is>
          <t>Minh Anh</t>
        </is>
      </c>
      <c r="I34" s="30" t="inlineStr"/>
      <c r="J34" s="30" t="n"/>
      <c r="L34" s="39" t="n"/>
      <c r="M34" s="39" t="n"/>
      <c r="N34" s="39" t="n"/>
      <c r="O34" s="39" t="n"/>
      <c r="P34" s="39" t="n"/>
      <c r="Q34" s="39" t="n"/>
      <c r="R34" s="39" t="n"/>
    </row>
    <row r="35" ht="18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44" t="inlineStr">
        <is>
          <t>Sơn</t>
        </is>
      </c>
      <c r="E35" s="44" t="inlineStr">
        <is>
          <t>Trung</t>
        </is>
      </c>
      <c r="F35" s="44" t="inlineStr">
        <is>
          <t>Lệ</t>
        </is>
      </c>
      <c r="G35" s="30" t="inlineStr"/>
      <c r="H35" s="30" t="inlineStr"/>
      <c r="I35" s="30" t="inlineStr"/>
      <c r="J35" s="30" t="n"/>
      <c r="L35" s="39" t="n"/>
      <c r="M35" s="39" t="n"/>
      <c r="N35" s="39" t="n"/>
      <c r="O35" s="39" t="n"/>
      <c r="P35" s="39" t="n"/>
      <c r="Q35" s="39" t="n"/>
      <c r="R35" s="39" t="n"/>
    </row>
    <row r="36" ht="18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44" t="inlineStr">
        <is>
          <t>Lan Ly</t>
        </is>
      </c>
      <c r="E36" s="44" t="inlineStr">
        <is>
          <t>Hoà</t>
        </is>
      </c>
      <c r="F36" s="44" t="inlineStr">
        <is>
          <t>Trung</t>
        </is>
      </c>
      <c r="G36" s="30" t="inlineStr"/>
      <c r="H36" s="30" t="inlineStr"/>
      <c r="I36" s="30" t="inlineStr"/>
      <c r="J36" s="30" t="n"/>
      <c r="L36" s="39" t="n"/>
      <c r="M36" s="39" t="n"/>
      <c r="N36" s="39" t="n"/>
      <c r="O36" s="39" t="n"/>
      <c r="P36" s="39" t="n"/>
      <c r="Q36" s="39" t="n"/>
      <c r="R36" s="39" t="n"/>
    </row>
    <row r="37" ht="18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44" t="inlineStr">
        <is>
          <t>Lan Ly</t>
        </is>
      </c>
      <c r="E37" s="44" t="inlineStr">
        <is>
          <t>Nguyễn Ly</t>
        </is>
      </c>
      <c r="F37" s="44" t="inlineStr">
        <is>
          <t>Hồng</t>
        </is>
      </c>
      <c r="G37" s="30" t="inlineStr"/>
      <c r="H37" s="30" t="inlineStr"/>
      <c r="I37" s="30" t="inlineStr"/>
      <c r="J37" s="30" t="n"/>
      <c r="L37" s="39" t="n"/>
      <c r="M37" s="39" t="n"/>
      <c r="N37" s="39" t="n"/>
      <c r="O37" s="39" t="n"/>
      <c r="P37" s="39" t="n"/>
      <c r="Q37" s="39" t="n"/>
      <c r="R37" s="39" t="n"/>
    </row>
    <row r="38" ht="18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45" t="inlineStr">
        <is>
          <t>Uyên</t>
        </is>
      </c>
      <c r="E38" s="45" t="inlineStr">
        <is>
          <t>Minh Anh</t>
        </is>
      </c>
      <c r="F38" s="45" t="inlineStr">
        <is>
          <t>Khu</t>
        </is>
      </c>
      <c r="G38" s="45" t="inlineStr">
        <is>
          <t>Hồng</t>
        </is>
      </c>
      <c r="H38" s="45" t="inlineStr">
        <is>
          <t>Uyên</t>
        </is>
      </c>
      <c r="I38" s="36" t="inlineStr"/>
      <c r="J38" s="36" t="n"/>
      <c r="L38" s="39" t="n"/>
      <c r="M38" s="39" t="n"/>
      <c r="N38" s="39" t="n"/>
      <c r="O38" s="39" t="n"/>
      <c r="P38" s="39" t="n"/>
      <c r="Q38" s="39" t="n"/>
      <c r="R38" s="39" t="n"/>
    </row>
    <row r="39" ht="18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45" t="inlineStr">
        <is>
          <t>Uyên</t>
        </is>
      </c>
      <c r="E39" s="45" t="inlineStr">
        <is>
          <t>Khu</t>
        </is>
      </c>
      <c r="F39" s="45" t="inlineStr">
        <is>
          <t>Minh Anh</t>
        </is>
      </c>
      <c r="G39" s="45" t="inlineStr">
        <is>
          <t>Lan Ly</t>
        </is>
      </c>
      <c r="H39" s="45" t="inlineStr">
        <is>
          <t>Khu</t>
        </is>
      </c>
      <c r="I39" s="36" t="inlineStr"/>
      <c r="J39" s="36" t="n"/>
      <c r="L39" s="39" t="n"/>
      <c r="M39" s="39" t="n"/>
      <c r="N39" s="39" t="n"/>
      <c r="O39" s="39" t="n"/>
      <c r="P39" s="39" t="n"/>
      <c r="Q39" s="39" t="n"/>
      <c r="R39" s="39" t="n"/>
    </row>
    <row r="40" ht="18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45" t="inlineStr">
        <is>
          <t>Lan Ly</t>
        </is>
      </c>
      <c r="E40" s="45" t="inlineStr">
        <is>
          <t>Uyên</t>
        </is>
      </c>
      <c r="F40" s="45" t="inlineStr">
        <is>
          <t>Uyên</t>
        </is>
      </c>
      <c r="G40" s="45" t="inlineStr">
        <is>
          <t>Minh Anh</t>
        </is>
      </c>
      <c r="H40" s="45" t="inlineStr">
        <is>
          <t>Nhung</t>
        </is>
      </c>
      <c r="I40" s="36" t="inlineStr"/>
      <c r="J40" s="36" t="n"/>
      <c r="L40" s="39" t="n"/>
      <c r="M40" s="39" t="n"/>
      <c r="N40" s="39" t="n"/>
      <c r="O40" s="39" t="n"/>
      <c r="P40" s="39" t="n"/>
      <c r="Q40" s="39" t="n"/>
      <c r="R40" s="39" t="n"/>
    </row>
    <row r="41" ht="18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45" t="inlineStr">
        <is>
          <t>Minh Anh</t>
        </is>
      </c>
      <c r="E41" s="45" t="inlineStr">
        <is>
          <t>Hồng</t>
        </is>
      </c>
      <c r="F41" s="45" t="inlineStr">
        <is>
          <t>Trung</t>
        </is>
      </c>
      <c r="G41" s="45" t="inlineStr">
        <is>
          <t>Trung</t>
        </is>
      </c>
      <c r="H41" s="45" t="inlineStr">
        <is>
          <t>Nhung</t>
        </is>
      </c>
      <c r="I41" s="36" t="inlineStr"/>
      <c r="J41" s="36" t="n"/>
      <c r="L41" s="39" t="n"/>
      <c r="M41" s="39" t="n"/>
      <c r="N41" s="39" t="n"/>
      <c r="O41" s="39" t="n"/>
      <c r="P41" s="39" t="n"/>
      <c r="Q41" s="39" t="n"/>
      <c r="R41" s="39" t="n"/>
    </row>
    <row r="42" ht="18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6" t="inlineStr"/>
      <c r="E42" s="36" t="inlineStr"/>
      <c r="F42" s="36" t="inlineStr"/>
      <c r="G42" s="36" t="inlineStr"/>
      <c r="H42" s="45" t="inlineStr">
        <is>
          <t>Uyên</t>
        </is>
      </c>
      <c r="I42" s="36" t="inlineStr"/>
      <c r="J42" s="36" t="n"/>
      <c r="L42" s="39" t="n"/>
      <c r="M42" s="39" t="n"/>
      <c r="N42" s="39" t="n"/>
      <c r="O42" s="39" t="n"/>
      <c r="P42" s="39" t="n"/>
      <c r="Q42" s="39" t="n"/>
      <c r="R42" s="39" t="n"/>
    </row>
    <row r="43" ht="18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45" t="inlineStr">
        <is>
          <t>Nhung</t>
        </is>
      </c>
      <c r="E43" s="45" t="inlineStr">
        <is>
          <t>Nguyễn Ly</t>
        </is>
      </c>
      <c r="F43" s="45" t="inlineStr">
        <is>
          <t>Sơn</t>
        </is>
      </c>
      <c r="G43" s="36" t="inlineStr"/>
      <c r="H43" s="36" t="inlineStr"/>
      <c r="I43" s="36" t="inlineStr"/>
      <c r="J43" s="36" t="n"/>
      <c r="L43" s="39" t="n"/>
      <c r="M43" s="39" t="n"/>
      <c r="N43" s="39" t="n"/>
      <c r="O43" s="39" t="n"/>
      <c r="P43" s="39" t="n"/>
      <c r="Q43" s="39" t="n"/>
      <c r="R43" s="39" t="n"/>
    </row>
    <row r="44" ht="18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45" t="inlineStr">
        <is>
          <t>Thành</t>
        </is>
      </c>
      <c r="E44" s="45" t="inlineStr">
        <is>
          <t>Uyên</t>
        </is>
      </c>
      <c r="F44" s="45" t="inlineStr">
        <is>
          <t>Lệ</t>
        </is>
      </c>
      <c r="G44" s="36" t="inlineStr"/>
      <c r="H44" s="36" t="inlineStr"/>
      <c r="I44" s="36" t="inlineStr"/>
      <c r="J44" s="36" t="n"/>
      <c r="L44" s="39" t="n"/>
      <c r="M44" s="39" t="n"/>
      <c r="N44" s="39" t="n"/>
      <c r="O44" s="39" t="n"/>
      <c r="P44" s="39" t="n"/>
      <c r="Q44" s="39" t="n"/>
      <c r="R44" s="39" t="n"/>
    </row>
    <row r="45" ht="18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45" t="inlineStr">
        <is>
          <t>Sơn</t>
        </is>
      </c>
      <c r="E45" s="45" t="inlineStr">
        <is>
          <t>Uyên</t>
        </is>
      </c>
      <c r="F45" s="45" t="inlineStr">
        <is>
          <t>Trung</t>
        </is>
      </c>
      <c r="G45" s="36" t="inlineStr"/>
      <c r="H45" s="36" t="inlineStr"/>
      <c r="I45" s="36" t="inlineStr"/>
      <c r="J45" s="36" t="n"/>
      <c r="L45" s="39" t="n"/>
      <c r="M45" s="39" t="n"/>
      <c r="N45" s="39" t="n"/>
      <c r="O45" s="39" t="n"/>
      <c r="P45" s="39" t="n"/>
      <c r="Q45" s="39" t="n"/>
      <c r="R45" s="39" t="n"/>
    </row>
    <row r="46" ht="18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44" t="inlineStr">
        <is>
          <t>Nguyễn Ly</t>
        </is>
      </c>
      <c r="E46" s="44" t="inlineStr">
        <is>
          <t>Thành</t>
        </is>
      </c>
      <c r="F46" s="44" t="inlineStr">
        <is>
          <t>Giang</t>
        </is>
      </c>
      <c r="G46" s="44" t="inlineStr">
        <is>
          <t>Thành</t>
        </is>
      </c>
      <c r="H46" s="44" t="inlineStr">
        <is>
          <t>Nguyễn Ly</t>
        </is>
      </c>
      <c r="I46" s="30" t="inlineStr"/>
      <c r="J46" s="30" t="n"/>
      <c r="L46" s="39" t="n"/>
      <c r="M46" s="39" t="n"/>
      <c r="N46" s="39" t="n"/>
      <c r="O46" s="39" t="n"/>
      <c r="P46" s="39" t="n"/>
      <c r="Q46" s="39" t="n"/>
      <c r="R46" s="39" t="n"/>
    </row>
    <row r="47" ht="18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44" t="inlineStr">
        <is>
          <t>Nguyễn Ly</t>
        </is>
      </c>
      <c r="E47" s="44" t="inlineStr">
        <is>
          <t>Lan</t>
        </is>
      </c>
      <c r="F47" s="44" t="inlineStr">
        <is>
          <t>Nguyễn Ly</t>
        </is>
      </c>
      <c r="G47" s="44" t="inlineStr">
        <is>
          <t>Nguyễn Ly</t>
        </is>
      </c>
      <c r="H47" s="44" t="inlineStr">
        <is>
          <t>Hồng</t>
        </is>
      </c>
      <c r="I47" s="30" t="inlineStr"/>
      <c r="J47" s="30" t="n"/>
      <c r="L47" s="39" t="n"/>
      <c r="M47" s="39" t="n"/>
      <c r="N47" s="39" t="n"/>
      <c r="O47" s="39" t="n"/>
      <c r="P47" s="39" t="n"/>
      <c r="Q47" s="39" t="n"/>
      <c r="R47" s="39" t="n"/>
    </row>
    <row r="48" ht="18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44" t="inlineStr">
        <is>
          <t>Lan</t>
        </is>
      </c>
      <c r="E48" s="44" t="inlineStr">
        <is>
          <t>Nguyễn Ly</t>
        </is>
      </c>
      <c r="F48" s="44" t="inlineStr">
        <is>
          <t>Lan</t>
        </is>
      </c>
      <c r="G48" s="44" t="inlineStr">
        <is>
          <t>Khu</t>
        </is>
      </c>
      <c r="H48" s="44" t="inlineStr">
        <is>
          <t>Lan</t>
        </is>
      </c>
      <c r="I48" s="30" t="inlineStr"/>
      <c r="J48" s="30" t="n"/>
      <c r="L48" s="39" t="n"/>
      <c r="M48" s="39" t="n"/>
      <c r="N48" s="39" t="n"/>
      <c r="O48" s="39" t="n"/>
      <c r="P48" s="39" t="n"/>
      <c r="Q48" s="39" t="n"/>
      <c r="R48" s="39" t="n"/>
    </row>
    <row r="49" ht="18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44" t="inlineStr">
        <is>
          <t>Khu</t>
        </is>
      </c>
      <c r="E49" s="44" t="inlineStr">
        <is>
          <t>Giang</t>
        </is>
      </c>
      <c r="F49" s="44" t="inlineStr">
        <is>
          <t>Uyên</t>
        </is>
      </c>
      <c r="G49" s="44" t="inlineStr">
        <is>
          <t>Sơn</t>
        </is>
      </c>
      <c r="H49" s="44" t="inlineStr">
        <is>
          <t>Khu</t>
        </is>
      </c>
      <c r="I49" s="30" t="inlineStr"/>
      <c r="J49" s="30" t="n"/>
      <c r="L49" s="39" t="n"/>
      <c r="M49" s="39" t="n"/>
      <c r="N49" s="39" t="n"/>
      <c r="O49" s="39" t="n"/>
      <c r="P49" s="39" t="n"/>
      <c r="Q49" s="39" t="n"/>
      <c r="R49" s="39" t="n"/>
    </row>
    <row r="50" ht="18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30" t="inlineStr"/>
      <c r="E50" s="30" t="inlineStr"/>
      <c r="F50" s="30" t="inlineStr"/>
      <c r="G50" s="30" t="inlineStr"/>
      <c r="H50" s="44" t="inlineStr">
        <is>
          <t>Nguyễn Ly</t>
        </is>
      </c>
      <c r="I50" s="30" t="inlineStr"/>
      <c r="J50" s="30" t="n"/>
      <c r="L50" s="39" t="n"/>
      <c r="M50" s="39" t="n"/>
      <c r="N50" s="39" t="n"/>
      <c r="O50" s="39" t="n"/>
      <c r="P50" s="39" t="n"/>
      <c r="Q50" s="39" t="n"/>
      <c r="R50" s="39" t="n"/>
    </row>
    <row r="51" ht="18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44" t="inlineStr">
        <is>
          <t>Khu</t>
        </is>
      </c>
      <c r="E51" s="44" t="inlineStr">
        <is>
          <t>Khu</t>
        </is>
      </c>
      <c r="F51" s="44" t="inlineStr">
        <is>
          <t>Nhung</t>
        </is>
      </c>
      <c r="G51" s="30" t="inlineStr"/>
      <c r="H51" s="30" t="inlineStr"/>
      <c r="I51" s="30" t="inlineStr"/>
      <c r="J51" s="30" t="n"/>
      <c r="L51" s="39" t="n"/>
      <c r="M51" s="39" t="n"/>
      <c r="N51" s="39" t="n"/>
      <c r="O51" s="39" t="n"/>
      <c r="P51" s="39" t="n"/>
      <c r="Q51" s="39" t="n"/>
      <c r="R51" s="39" t="n"/>
    </row>
    <row r="52" ht="18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44" t="inlineStr">
        <is>
          <t>Giang</t>
        </is>
      </c>
      <c r="E52" s="44" t="inlineStr">
        <is>
          <t>Hà</t>
        </is>
      </c>
      <c r="F52" s="44" t="inlineStr">
        <is>
          <t>Hồng</t>
        </is>
      </c>
      <c r="G52" s="30" t="inlineStr"/>
      <c r="H52" s="30" t="inlineStr"/>
      <c r="I52" s="30" t="inlineStr"/>
      <c r="J52" s="30" t="n"/>
      <c r="L52" s="39" t="n"/>
      <c r="M52" s="39" t="n"/>
      <c r="N52" s="39" t="n"/>
      <c r="O52" s="39" t="n"/>
      <c r="P52" s="39" t="n"/>
      <c r="Q52" s="39" t="n"/>
      <c r="R52" s="39" t="n"/>
    </row>
    <row r="53" ht="18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44" t="inlineStr">
        <is>
          <t>Thành</t>
        </is>
      </c>
      <c r="E53" s="44" t="inlineStr">
        <is>
          <t>Lan Ly</t>
        </is>
      </c>
      <c r="F53" s="44" t="inlineStr">
        <is>
          <t>Minh Anh</t>
        </is>
      </c>
      <c r="G53" s="30" t="inlineStr"/>
      <c r="H53" s="30" t="inlineStr"/>
      <c r="I53" s="30" t="inlineStr"/>
      <c r="J53" s="30" t="n"/>
      <c r="L53" s="39" t="n"/>
      <c r="M53" s="39" t="n"/>
      <c r="N53" s="39" t="n"/>
      <c r="O53" s="39" t="n"/>
      <c r="P53" s="39" t="n"/>
      <c r="Q53" s="39" t="n"/>
      <c r="R53" s="39" t="n"/>
    </row>
    <row r="54" ht="18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45" t="inlineStr">
        <is>
          <t>Lan</t>
        </is>
      </c>
      <c r="E54" s="45" t="inlineStr">
        <is>
          <t>Lan</t>
        </is>
      </c>
      <c r="F54" s="45" t="inlineStr">
        <is>
          <t>Lan</t>
        </is>
      </c>
      <c r="G54" s="45" t="inlineStr">
        <is>
          <t>Lan Ly</t>
        </is>
      </c>
      <c r="H54" s="45" t="inlineStr">
        <is>
          <t>Khu</t>
        </is>
      </c>
      <c r="I54" s="36" t="inlineStr"/>
      <c r="J54" s="36" t="n"/>
      <c r="L54" s="39" t="n"/>
      <c r="M54" s="39" t="n"/>
      <c r="N54" s="39" t="n"/>
      <c r="O54" s="39" t="n"/>
      <c r="P54" s="39" t="n"/>
      <c r="Q54" s="39" t="n"/>
      <c r="R54" s="39" t="n"/>
    </row>
    <row r="55" ht="18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45" t="inlineStr">
        <is>
          <t>Lan</t>
        </is>
      </c>
      <c r="E55" s="45" t="inlineStr">
        <is>
          <t>Giang</t>
        </is>
      </c>
      <c r="F55" s="45" t="inlineStr">
        <is>
          <t>Thành</t>
        </is>
      </c>
      <c r="G55" s="45" t="inlineStr">
        <is>
          <t>Khu</t>
        </is>
      </c>
      <c r="H55" s="45" t="inlineStr">
        <is>
          <t>Lan</t>
        </is>
      </c>
      <c r="I55" s="36" t="inlineStr"/>
      <c r="J55" s="36" t="n"/>
      <c r="L55" s="39" t="n"/>
      <c r="M55" s="39" t="n"/>
      <c r="N55" s="39" t="n"/>
      <c r="O55" s="39" t="n"/>
      <c r="P55" s="39" t="n"/>
      <c r="Q55" s="39" t="n"/>
      <c r="R55" s="39" t="n"/>
    </row>
    <row r="56" ht="18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45" t="inlineStr">
        <is>
          <t>Khu</t>
        </is>
      </c>
      <c r="E56" s="45" t="inlineStr">
        <is>
          <t>Hồng</t>
        </is>
      </c>
      <c r="F56" s="45" t="inlineStr">
        <is>
          <t>Nguyễn Ly</t>
        </is>
      </c>
      <c r="G56" s="45" t="inlineStr">
        <is>
          <t>Thành</t>
        </is>
      </c>
      <c r="H56" s="45" t="inlineStr">
        <is>
          <t>Nguyễn Ly</t>
        </is>
      </c>
      <c r="I56" s="36" t="inlineStr"/>
      <c r="J56" s="36" t="n"/>
      <c r="L56" s="39" t="n"/>
      <c r="M56" s="39" t="n"/>
      <c r="N56" s="39" t="n"/>
      <c r="O56" s="39" t="n"/>
      <c r="P56" s="39" t="n"/>
      <c r="Q56" s="39" t="n"/>
      <c r="R56" s="39" t="n"/>
    </row>
    <row r="57" ht="18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45" t="inlineStr">
        <is>
          <t>Sơn</t>
        </is>
      </c>
      <c r="E57" s="45" t="inlineStr">
        <is>
          <t>Nguyễn Ly</t>
        </is>
      </c>
      <c r="F57" s="45" t="inlineStr">
        <is>
          <t>Giang</t>
        </is>
      </c>
      <c r="G57" s="45" t="inlineStr">
        <is>
          <t>Nguyễn Ly</t>
        </is>
      </c>
      <c r="H57" s="45" t="inlineStr">
        <is>
          <t>Hồng</t>
        </is>
      </c>
      <c r="I57" s="36" t="inlineStr"/>
      <c r="J57" s="36" t="n"/>
      <c r="L57" s="39" t="n"/>
      <c r="M57" s="39" t="n"/>
      <c r="N57" s="39" t="n"/>
      <c r="O57" s="39" t="n"/>
      <c r="P57" s="39" t="n"/>
      <c r="Q57" s="39" t="n"/>
      <c r="R57" s="39" t="n"/>
    </row>
    <row r="58" ht="18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6" t="inlineStr"/>
      <c r="E58" s="36" t="inlineStr"/>
      <c r="F58" s="36" t="inlineStr"/>
      <c r="G58" s="36" t="inlineStr"/>
      <c r="H58" s="45" t="inlineStr">
        <is>
          <t>Lan</t>
        </is>
      </c>
      <c r="I58" s="36" t="inlineStr"/>
      <c r="J58" s="36" t="n"/>
      <c r="L58" s="39" t="n"/>
      <c r="M58" s="39" t="n"/>
      <c r="N58" s="39" t="n"/>
      <c r="O58" s="39" t="n"/>
      <c r="P58" s="39" t="n"/>
      <c r="Q58" s="39" t="n"/>
      <c r="R58" s="39" t="n"/>
    </row>
    <row r="59" ht="18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45" t="inlineStr">
        <is>
          <t>Thành</t>
        </is>
      </c>
      <c r="E59" s="45" t="inlineStr">
        <is>
          <t>Uyên</t>
        </is>
      </c>
      <c r="F59" s="45" t="inlineStr">
        <is>
          <t>Minh Anh</t>
        </is>
      </c>
      <c r="G59" s="36" t="inlineStr"/>
      <c r="H59" s="36" t="inlineStr"/>
      <c r="I59" s="36" t="inlineStr"/>
      <c r="J59" s="36" t="n"/>
      <c r="L59" s="39" t="n"/>
      <c r="M59" s="39" t="n"/>
      <c r="N59" s="39" t="n"/>
      <c r="O59" s="39" t="n"/>
      <c r="P59" s="39" t="n"/>
      <c r="Q59" s="39" t="n"/>
      <c r="R59" s="39" t="n"/>
    </row>
    <row r="60" ht="18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45" t="inlineStr">
        <is>
          <t>Khu</t>
        </is>
      </c>
      <c r="E60" s="45" t="inlineStr">
        <is>
          <t>Khu</t>
        </is>
      </c>
      <c r="F60" s="45" t="inlineStr">
        <is>
          <t>Hà</t>
        </is>
      </c>
      <c r="G60" s="36" t="inlineStr"/>
      <c r="H60" s="36" t="inlineStr"/>
      <c r="I60" s="36" t="inlineStr"/>
      <c r="J60" s="36" t="n"/>
      <c r="L60" s="39" t="n"/>
      <c r="M60" s="39" t="n"/>
      <c r="N60" s="39" t="n"/>
      <c r="O60" s="39" t="n"/>
      <c r="P60" s="39" t="n"/>
      <c r="Q60" s="39" t="n"/>
      <c r="R60" s="39" t="n"/>
    </row>
    <row r="61" ht="18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45" t="inlineStr">
        <is>
          <t>Giang</t>
        </is>
      </c>
      <c r="E61" s="45" t="inlineStr">
        <is>
          <t>Lan</t>
        </is>
      </c>
      <c r="F61" s="45" t="inlineStr">
        <is>
          <t>Nhung</t>
        </is>
      </c>
      <c r="G61" s="36" t="inlineStr"/>
      <c r="H61" s="36" t="inlineStr"/>
      <c r="I61" s="36" t="inlineStr"/>
      <c r="J61" s="36" t="n"/>
      <c r="L61" s="39" t="n"/>
      <c r="M61" s="39" t="n"/>
      <c r="N61" s="39" t="n"/>
      <c r="O61" s="39" t="n"/>
      <c r="P61" s="39" t="n"/>
      <c r="Q61" s="39" t="n"/>
      <c r="R61" s="39" t="n"/>
    </row>
    <row r="62" ht="15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L62" s="39" t="n"/>
      <c r="M62" s="39" t="n"/>
      <c r="N62" s="39" t="n"/>
      <c r="O62" s="39" t="n"/>
      <c r="P62" s="39" t="n"/>
      <c r="Q62" s="39" t="n"/>
      <c r="R62" s="39" t="n"/>
    </row>
    <row r="63" ht="15" customHeight="1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L63" s="39" t="n"/>
      <c r="M63" s="39" t="n"/>
      <c r="N63" s="39" t="n"/>
      <c r="O63" s="39" t="n"/>
      <c r="P63" s="39" t="n"/>
      <c r="Q63" s="39" t="n"/>
      <c r="R63" s="39" t="n"/>
    </row>
    <row r="64" ht="15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L64" s="39" t="n"/>
      <c r="M64" s="39" t="n"/>
      <c r="N64" s="39" t="n"/>
      <c r="O64" s="39" t="n"/>
      <c r="P64" s="39" t="n"/>
      <c r="Q64" s="39" t="n"/>
      <c r="R64" s="39" t="n"/>
    </row>
    <row r="65" ht="15" customHeight="1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L65" s="39" t="n"/>
      <c r="M65" s="39" t="n"/>
      <c r="N65" s="39" t="n"/>
      <c r="O65" s="39" t="n"/>
      <c r="P65" s="39" t="n"/>
      <c r="Q65" s="39" t="n"/>
      <c r="R65" s="39" t="n"/>
    </row>
    <row r="66" ht="15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L66" s="39" t="n"/>
      <c r="M66" s="39" t="n"/>
      <c r="N66" s="39" t="n"/>
      <c r="O66" s="39" t="n"/>
      <c r="P66" s="39" t="n"/>
      <c r="Q66" s="39" t="n"/>
      <c r="R66" s="39" t="n"/>
    </row>
    <row r="67" ht="15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L67" s="39" t="n"/>
      <c r="M67" s="39" t="n"/>
      <c r="N67" s="39" t="n"/>
      <c r="O67" s="39" t="n"/>
      <c r="P67" s="39" t="n"/>
      <c r="Q67" s="39" t="n"/>
      <c r="R67" s="39" t="n"/>
    </row>
    <row r="68" ht="15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L68" s="39" t="n"/>
      <c r="M68" s="39" t="n"/>
      <c r="N68" s="39" t="n"/>
      <c r="O68" s="39" t="n"/>
      <c r="P68" s="39" t="n"/>
      <c r="Q68" s="39" t="n"/>
      <c r="R68" s="39" t="n"/>
    </row>
    <row r="69" ht="15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L69" s="39" t="n"/>
      <c r="M69" s="39" t="n"/>
      <c r="N69" s="39" t="n"/>
      <c r="O69" s="39" t="n"/>
      <c r="P69" s="39" t="n"/>
      <c r="Q69" s="39" t="n"/>
      <c r="R69" s="39" t="n"/>
    </row>
    <row r="70" ht="15" customHeight="1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L70" s="39" t="n"/>
      <c r="M70" s="39" t="n"/>
      <c r="N70" s="39" t="n"/>
      <c r="O70" s="39" t="n"/>
      <c r="P70" s="39" t="n"/>
      <c r="Q70" s="39" t="n"/>
      <c r="R70" s="39" t="n"/>
    </row>
    <row r="71" ht="15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L71" s="39" t="n"/>
      <c r="M71" s="39" t="n"/>
      <c r="N71" s="39" t="n"/>
      <c r="O71" s="39" t="n"/>
      <c r="P71" s="39" t="n"/>
      <c r="Q71" s="39" t="n"/>
      <c r="R71" s="39" t="n"/>
    </row>
    <row r="72" ht="15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L72" s="39" t="n"/>
      <c r="M72" s="39" t="n"/>
      <c r="N72" s="39" t="n"/>
      <c r="O72" s="39" t="n"/>
      <c r="P72" s="39" t="n"/>
      <c r="Q72" s="39" t="n"/>
      <c r="R72" s="39" t="n"/>
    </row>
    <row r="73" ht="15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L73" s="39" t="n"/>
      <c r="M73" s="39" t="n"/>
      <c r="N73" s="39" t="n"/>
      <c r="O73" s="39" t="n"/>
      <c r="P73" s="39" t="n"/>
      <c r="Q73" s="39" t="n"/>
      <c r="R73" s="39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conditionalFormatting sqref="D2:J73">
    <cfRule type="expression" priority="2" dxfId="0">
      <formula>L2=1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2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45" customWidth="1" min="1" max="1"/>
    <col width="11" customWidth="1" min="2" max="11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1" max="11"/>
    <col width="7" customWidth="1" min="12" max="12"/>
    <col width="6" customWidth="1" min="13" max="14"/>
    <col width="42" customWidth="1" min="15" max="15"/>
  </cols>
  <sheetData>
    <row r="1" ht="18" customHeight="1">
      <c r="A1" s="2" t="inlineStr">
        <is>
          <t>PHÂN CÔNG CHUYÊN MÔN — 8 lớp (2 lớp/khối, khối 6–9)</t>
        </is>
      </c>
    </row>
    <row r="2" ht="18" customHeight="1">
      <c r="A2" s="11" t="n"/>
      <c r="B2" s="11" t="inlineStr">
        <is>
          <t>6A5</t>
        </is>
      </c>
      <c r="C2" s="11" t="inlineStr">
        <is>
          <t>6A6</t>
        </is>
      </c>
      <c r="D2" s="11" t="inlineStr">
        <is>
          <t>7A4</t>
        </is>
      </c>
      <c r="E2" s="11" t="inlineStr">
        <is>
          <t>7A5</t>
        </is>
      </c>
      <c r="F2" s="11" t="inlineStr">
        <is>
          <t>8A5</t>
        </is>
      </c>
      <c r="G2" s="11" t="inlineStr">
        <is>
          <t>8A6</t>
        </is>
      </c>
      <c r="H2" s="11" t="inlineStr">
        <is>
          <t>9A5</t>
        </is>
      </c>
      <c r="I2" s="11" t="inlineStr">
        <is>
          <t>9A6</t>
        </is>
      </c>
      <c r="J2" s="11" t="n"/>
      <c r="K2" s="12" t="inlineStr">
        <is>
          <t>MÃ VAI TRÒ</t>
        </is>
      </c>
      <c r="L2" s="13" t="n"/>
      <c r="M2" s="12" t="n"/>
      <c r="N2" s="12" t="n"/>
      <c r="O2" s="14" t="n"/>
    </row>
    <row r="3" ht="18" customHeight="1">
      <c r="A3" s="15" t="inlineStr">
        <is>
          <t>Toán học</t>
        </is>
      </c>
      <c r="B3" s="16" t="inlineStr">
        <is>
          <t>Huyền Ly</t>
        </is>
      </c>
      <c r="C3" s="16" t="inlineStr">
        <is>
          <t>Huyền Ly</t>
        </is>
      </c>
      <c r="D3" s="16" t="inlineStr">
        <is>
          <t>Lệ</t>
        </is>
      </c>
      <c r="E3" s="16" t="inlineStr">
        <is>
          <t>Lệ</t>
        </is>
      </c>
      <c r="F3" s="16" t="inlineStr">
        <is>
          <t>Minh Anh</t>
        </is>
      </c>
      <c r="G3" s="16" t="inlineStr">
        <is>
          <t>Minh Anh</t>
        </is>
      </c>
      <c r="H3" s="16" t="inlineStr">
        <is>
          <t>Nguyễn Ly</t>
        </is>
      </c>
      <c r="I3" s="16" t="inlineStr">
        <is>
          <t>Nguyễn Ly</t>
        </is>
      </c>
      <c r="J3" s="16" t="n"/>
      <c r="K3" s="17" t="n">
        <v>1</v>
      </c>
      <c r="L3" s="18" t="n"/>
      <c r="M3" s="19" t="n"/>
      <c r="N3" s="19" t="n"/>
      <c r="O3" s="20" t="n"/>
    </row>
    <row r="4" ht="18" customHeight="1">
      <c r="A4" s="15" t="inlineStr">
        <is>
          <t>Ngữ văn</t>
        </is>
      </c>
      <c r="B4" s="16" t="inlineStr">
        <is>
          <t>Hoa</t>
        </is>
      </c>
      <c r="C4" s="16" t="inlineStr">
        <is>
          <t>Hoa</t>
        </is>
      </c>
      <c r="D4" s="16" t="inlineStr">
        <is>
          <t>Nhung</t>
        </is>
      </c>
      <c r="E4" s="16" t="inlineStr">
        <is>
          <t>Thành</t>
        </is>
      </c>
      <c r="F4" s="16" t="inlineStr">
        <is>
          <t>Uyên</t>
        </is>
      </c>
      <c r="G4" s="16" t="inlineStr">
        <is>
          <t>Uyên</t>
        </is>
      </c>
      <c r="H4" s="16" t="inlineStr">
        <is>
          <t>Lan</t>
        </is>
      </c>
      <c r="I4" s="16" t="inlineStr">
        <is>
          <t>Lan</t>
        </is>
      </c>
      <c r="J4" s="16" t="n"/>
      <c r="K4" s="17" t="n">
        <v>1</v>
      </c>
      <c r="L4" s="18" t="n"/>
      <c r="M4" s="19" t="n"/>
      <c r="N4" s="19" t="n"/>
      <c r="O4" s="20" t="n"/>
    </row>
    <row r="5" ht="18" customHeight="1">
      <c r="A5" s="15" t="inlineStr">
        <is>
          <t>Ngoại ngữ</t>
        </is>
      </c>
      <c r="B5" s="16" t="inlineStr">
        <is>
          <t>Giang</t>
        </is>
      </c>
      <c r="C5" s="16" t="inlineStr">
        <is>
          <t>Trung</t>
        </is>
      </c>
      <c r="D5" s="16" t="inlineStr">
        <is>
          <t>Trung</t>
        </is>
      </c>
      <c r="E5" s="16" t="inlineStr">
        <is>
          <t>Trung</t>
        </is>
      </c>
      <c r="F5" s="16" t="inlineStr">
        <is>
          <t>Trung</t>
        </is>
      </c>
      <c r="G5" s="16" t="inlineStr">
        <is>
          <t>Trung</t>
        </is>
      </c>
      <c r="H5" s="16" t="inlineStr">
        <is>
          <t>Giang</t>
        </is>
      </c>
      <c r="I5" s="16" t="inlineStr">
        <is>
          <t>Giang</t>
        </is>
      </c>
      <c r="J5" s="16" t="n"/>
      <c r="K5" s="17" t="n">
        <v>1</v>
      </c>
      <c r="L5" s="18" t="n"/>
      <c r="M5" s="19" t="n"/>
      <c r="N5" s="19" t="n"/>
      <c r="O5" s="20" t="n"/>
    </row>
    <row r="6" ht="18" customHeight="1">
      <c r="A6" s="15" t="inlineStr">
        <is>
          <t>Khoa học tự nhiên (Vật lý)</t>
        </is>
      </c>
      <c r="B6" s="16" t="inlineStr"/>
      <c r="C6" s="16" t="inlineStr"/>
      <c r="D6" s="16" t="inlineStr">
        <is>
          <t>Huyền Ly</t>
        </is>
      </c>
      <c r="E6" s="16" t="inlineStr">
        <is>
          <t>Huyền Ly</t>
        </is>
      </c>
      <c r="F6" s="16" t="inlineStr">
        <is>
          <t>Nguyễn Ly</t>
        </is>
      </c>
      <c r="G6" s="16" t="inlineStr">
        <is>
          <t>Nguyễn Ly</t>
        </is>
      </c>
      <c r="H6" s="16" t="inlineStr"/>
      <c r="I6" s="16" t="inlineStr"/>
      <c r="J6" s="16" t="n"/>
      <c r="K6" s="17" t="n">
        <v>0</v>
      </c>
      <c r="L6" s="18" t="n"/>
      <c r="M6" s="19" t="n"/>
      <c r="N6" s="19" t="n"/>
      <c r="O6" s="20" t="n"/>
    </row>
    <row r="7" ht="18" customHeight="1">
      <c r="A7" s="15" t="inlineStr">
        <is>
          <t>Khoa học tự nhiên (Hóa học)</t>
        </is>
      </c>
      <c r="B7" s="16" t="inlineStr">
        <is>
          <t>Sơn</t>
        </is>
      </c>
      <c r="C7" s="16" t="inlineStr">
        <is>
          <t>Sơn</t>
        </is>
      </c>
      <c r="D7" s="16" t="inlineStr">
        <is>
          <t>Hoà</t>
        </is>
      </c>
      <c r="E7" s="16" t="inlineStr">
        <is>
          <t>Hoà</t>
        </is>
      </c>
      <c r="F7" s="16" t="inlineStr">
        <is>
          <t>Khu</t>
        </is>
      </c>
      <c r="G7" s="16" t="inlineStr">
        <is>
          <t>Khu</t>
        </is>
      </c>
      <c r="H7" s="16" t="inlineStr">
        <is>
          <t>Khu</t>
        </is>
      </c>
      <c r="I7" s="16" t="inlineStr">
        <is>
          <t>Khu</t>
        </is>
      </c>
      <c r="J7" s="16" t="n"/>
      <c r="K7" s="17" t="n">
        <v>0</v>
      </c>
      <c r="L7" s="18" t="n"/>
      <c r="M7" s="19" t="n"/>
      <c r="N7" s="19" t="n"/>
      <c r="O7" s="20" t="n"/>
    </row>
    <row r="8" ht="18" customHeight="1">
      <c r="A8" s="15" t="inlineStr">
        <is>
          <t>Khoa học tự nhiên (Sinh học)</t>
        </is>
      </c>
      <c r="B8" s="16" t="inlineStr"/>
      <c r="C8" s="16" t="inlineStr"/>
      <c r="D8" s="16" t="inlineStr">
        <is>
          <t>Hoà</t>
        </is>
      </c>
      <c r="E8" s="16" t="inlineStr">
        <is>
          <t>Hoà</t>
        </is>
      </c>
      <c r="F8" s="16" t="inlineStr"/>
      <c r="G8" s="16" t="inlineStr"/>
      <c r="H8" s="16" t="inlineStr">
        <is>
          <t>Sơn</t>
        </is>
      </c>
      <c r="I8" s="16" t="inlineStr">
        <is>
          <t>Sơn</t>
        </is>
      </c>
      <c r="J8" s="16" t="n"/>
      <c r="K8" s="17" t="n">
        <v>0</v>
      </c>
      <c r="L8" s="18" t="n"/>
      <c r="M8" s="19" t="n"/>
      <c r="N8" s="19" t="n"/>
      <c r="O8" s="20" t="n"/>
    </row>
    <row r="9" ht="18" customHeight="1">
      <c r="A9" s="15" t="inlineStr">
        <is>
          <t>Lịch sử và Địa Lý (Lịch sử)</t>
        </is>
      </c>
      <c r="B9" s="16" t="inlineStr">
        <is>
          <t>Hoa</t>
        </is>
      </c>
      <c r="C9" s="16" t="inlineStr">
        <is>
          <t>Hoa</t>
        </is>
      </c>
      <c r="D9" s="16" t="inlineStr">
        <is>
          <t>Thành</t>
        </is>
      </c>
      <c r="E9" s="16" t="inlineStr">
        <is>
          <t>Thành</t>
        </is>
      </c>
      <c r="F9" s="16" t="inlineStr">
        <is>
          <t>Thành</t>
        </is>
      </c>
      <c r="G9" s="16" t="inlineStr">
        <is>
          <t>Thành</t>
        </is>
      </c>
      <c r="H9" s="16" t="inlineStr">
        <is>
          <t>Thành</t>
        </is>
      </c>
      <c r="I9" s="16" t="inlineStr">
        <is>
          <t>Thành</t>
        </is>
      </c>
      <c r="J9" s="16" t="n"/>
      <c r="K9" s="17" t="n">
        <v>0</v>
      </c>
      <c r="L9" s="18" t="n"/>
    </row>
    <row r="10" ht="18" customHeight="1">
      <c r="A10" s="15" t="inlineStr">
        <is>
          <t>Lịch sử và Địa Lý (Địa lý)</t>
        </is>
      </c>
      <c r="B10" s="16" t="inlineStr">
        <is>
          <t>Nhung</t>
        </is>
      </c>
      <c r="C10" s="16" t="inlineStr">
        <is>
          <t>Nhung</t>
        </is>
      </c>
      <c r="D10" s="16" t="inlineStr">
        <is>
          <t>Nhung</t>
        </is>
      </c>
      <c r="E10" s="16" t="inlineStr">
        <is>
          <t>Nhung</t>
        </is>
      </c>
      <c r="F10" s="16" t="inlineStr">
        <is>
          <t>Nhung</t>
        </is>
      </c>
      <c r="G10" s="16" t="inlineStr">
        <is>
          <t>Nhung</t>
        </is>
      </c>
      <c r="H10" s="16" t="inlineStr">
        <is>
          <t>Nhung</t>
        </is>
      </c>
      <c r="I10" s="16" t="inlineStr">
        <is>
          <t>Nhung</t>
        </is>
      </c>
      <c r="J10" s="16" t="n"/>
      <c r="K10" s="17" t="n">
        <v>0</v>
      </c>
      <c r="L10" s="18" t="n"/>
    </row>
    <row r="11" ht="18" customHeight="1">
      <c r="A11" s="15" t="inlineStr">
        <is>
          <t>GDCD</t>
        </is>
      </c>
      <c r="B11" s="16" t="inlineStr">
        <is>
          <t>Khu</t>
        </is>
      </c>
      <c r="C11" s="16" t="inlineStr">
        <is>
          <t>Khu</t>
        </is>
      </c>
      <c r="D11" s="16" t="inlineStr">
        <is>
          <t>Lan Ly</t>
        </is>
      </c>
      <c r="E11" s="16" t="inlineStr">
        <is>
          <t>Lan Ly</t>
        </is>
      </c>
      <c r="F11" s="16" t="inlineStr">
        <is>
          <t>Hoà</t>
        </is>
      </c>
      <c r="G11" s="16" t="inlineStr">
        <is>
          <t>Uyên</t>
        </is>
      </c>
      <c r="H11" s="16" t="inlineStr">
        <is>
          <t>Uyên</t>
        </is>
      </c>
      <c r="I11" s="16" t="inlineStr">
        <is>
          <t>Uyên</t>
        </is>
      </c>
      <c r="J11" s="16" t="n"/>
      <c r="K11" s="17" t="n">
        <v>0</v>
      </c>
      <c r="L11" s="18" t="n"/>
    </row>
    <row r="12" ht="18" customHeight="1">
      <c r="A12" s="15" t="inlineStr">
        <is>
          <t>Công nghệ</t>
        </is>
      </c>
      <c r="B12" s="16" t="inlineStr">
        <is>
          <t>Huyền Ly</t>
        </is>
      </c>
      <c r="C12" s="16" t="inlineStr">
        <is>
          <t>Huyền Ly</t>
        </is>
      </c>
      <c r="D12" s="16" t="inlineStr">
        <is>
          <t>Sơn</t>
        </is>
      </c>
      <c r="E12" s="16" t="inlineStr">
        <is>
          <t>Sơn</t>
        </is>
      </c>
      <c r="F12" s="16" t="inlineStr">
        <is>
          <t>Sơn</t>
        </is>
      </c>
      <c r="G12" s="16" t="inlineStr">
        <is>
          <t>Sơn</t>
        </is>
      </c>
      <c r="H12" s="16" t="inlineStr">
        <is>
          <t>Khu</t>
        </is>
      </c>
      <c r="I12" s="16" t="inlineStr">
        <is>
          <t>Khu</t>
        </is>
      </c>
      <c r="J12" s="16" t="n"/>
      <c r="K12" s="17" t="n">
        <v>0</v>
      </c>
      <c r="L12" s="18" t="n"/>
    </row>
    <row r="13" ht="18" customHeight="1">
      <c r="A13" s="15" t="inlineStr">
        <is>
          <t>Tin học</t>
        </is>
      </c>
      <c r="B13" s="16" t="inlineStr">
        <is>
          <t>Minh Anh</t>
        </is>
      </c>
      <c r="C13" s="16" t="inlineStr">
        <is>
          <t>Sơn</t>
        </is>
      </c>
      <c r="D13" s="16" t="inlineStr">
        <is>
          <t>Khu</t>
        </is>
      </c>
      <c r="E13" s="16" t="inlineStr">
        <is>
          <t>Khu</t>
        </is>
      </c>
      <c r="F13" s="16" t="inlineStr">
        <is>
          <t>Lệ</t>
        </is>
      </c>
      <c r="G13" s="16" t="inlineStr">
        <is>
          <t>Lệ</t>
        </is>
      </c>
      <c r="H13" s="16" t="inlineStr">
        <is>
          <t>Minh Anh</t>
        </is>
      </c>
      <c r="I13" s="16" t="inlineStr">
        <is>
          <t>Minh Anh</t>
        </is>
      </c>
      <c r="J13" s="16" t="n"/>
      <c r="K13" s="17" t="n">
        <v>0</v>
      </c>
      <c r="L13" s="18" t="n"/>
    </row>
    <row r="14" ht="18" customHeight="1">
      <c r="A14" s="15" t="inlineStr">
        <is>
          <t>Giáo dục thể chất</t>
        </is>
      </c>
      <c r="B14" s="16" t="inlineStr">
        <is>
          <t>Hồng</t>
        </is>
      </c>
      <c r="C14" s="16" t="inlineStr">
        <is>
          <t>Hồng</t>
        </is>
      </c>
      <c r="D14" s="16" t="inlineStr">
        <is>
          <t>Hồng</t>
        </is>
      </c>
      <c r="E14" s="16" t="inlineStr">
        <is>
          <t>Hồng</t>
        </is>
      </c>
      <c r="F14" s="16" t="inlineStr">
        <is>
          <t>Hồng</t>
        </is>
      </c>
      <c r="G14" s="16" t="inlineStr">
        <is>
          <t>Hồng</t>
        </is>
      </c>
      <c r="H14" s="16" t="inlineStr">
        <is>
          <t>Hồng</t>
        </is>
      </c>
      <c r="I14" s="16" t="inlineStr">
        <is>
          <t>Hồng</t>
        </is>
      </c>
      <c r="J14" s="16" t="n"/>
      <c r="K14" s="17" t="n">
        <v>4</v>
      </c>
      <c r="L14" s="18" t="n"/>
    </row>
    <row r="15" ht="18" customHeight="1">
      <c r="A15" s="15" t="inlineStr">
        <is>
          <t>Nội dung giáo dục của địa phương</t>
        </is>
      </c>
      <c r="B15" s="16" t="inlineStr">
        <is>
          <t>Lan</t>
        </is>
      </c>
      <c r="C15" s="16" t="inlineStr">
        <is>
          <t>Lan</t>
        </is>
      </c>
      <c r="D15" s="16" t="inlineStr">
        <is>
          <t>Khu</t>
        </is>
      </c>
      <c r="E15" s="16" t="inlineStr">
        <is>
          <t>Khu</t>
        </is>
      </c>
      <c r="F15" s="16" t="inlineStr">
        <is>
          <t>Nhung</t>
        </is>
      </c>
      <c r="G15" s="16" t="inlineStr">
        <is>
          <t>Nhung</t>
        </is>
      </c>
      <c r="H15" s="16" t="inlineStr">
        <is>
          <t>Thành</t>
        </is>
      </c>
      <c r="I15" s="16" t="inlineStr">
        <is>
          <t>Thành</t>
        </is>
      </c>
      <c r="J15" s="16" t="n"/>
      <c r="K15" s="17" t="n">
        <v>0</v>
      </c>
      <c r="L15" s="18" t="n"/>
    </row>
    <row r="16" ht="18" customHeight="1">
      <c r="A16" s="15" t="inlineStr">
        <is>
          <t>Hoạt động trải nghiệm, hướng nghiệp</t>
        </is>
      </c>
      <c r="B16" s="16" t="inlineStr">
        <is>
          <t>Giang</t>
        </is>
      </c>
      <c r="C16" s="16" t="inlineStr">
        <is>
          <t>Hoa</t>
        </is>
      </c>
      <c r="D16" s="16" t="inlineStr">
        <is>
          <t>Lệ</t>
        </is>
      </c>
      <c r="E16" s="16" t="inlineStr">
        <is>
          <t>Hoà</t>
        </is>
      </c>
      <c r="F16" s="16" t="inlineStr">
        <is>
          <t>Minh Anh</t>
        </is>
      </c>
      <c r="G16" s="16" t="inlineStr">
        <is>
          <t>Uyên</t>
        </is>
      </c>
      <c r="H16" s="16" t="inlineStr">
        <is>
          <t>Nguyễn Ly</t>
        </is>
      </c>
      <c r="I16" s="16" t="inlineStr">
        <is>
          <t>Lan</t>
        </is>
      </c>
      <c r="J16" s="16" t="n"/>
      <c r="K16" s="17" t="n">
        <v>5</v>
      </c>
      <c r="L16" s="18" t="n"/>
    </row>
    <row r="17" ht="18" customHeight="1">
      <c r="A17" s="15" t="inlineStr">
        <is>
          <t>Nghệ thuật (Âm nhạc)</t>
        </is>
      </c>
      <c r="B17" s="16" t="inlineStr">
        <is>
          <t>Hà</t>
        </is>
      </c>
      <c r="C17" s="16" t="inlineStr">
        <is>
          <t>Hà</t>
        </is>
      </c>
      <c r="D17" s="16" t="inlineStr">
        <is>
          <t>Lan Ly</t>
        </is>
      </c>
      <c r="E17" s="16" t="inlineStr">
        <is>
          <t>Lan Ly</t>
        </is>
      </c>
      <c r="F17" s="16" t="inlineStr">
        <is>
          <t>Lan Ly</t>
        </is>
      </c>
      <c r="G17" s="16" t="inlineStr">
        <is>
          <t>Lan Ly</t>
        </is>
      </c>
      <c r="H17" s="16" t="inlineStr">
        <is>
          <t>Hà</t>
        </is>
      </c>
      <c r="I17" s="16" t="inlineStr">
        <is>
          <t>Hà</t>
        </is>
      </c>
      <c r="J17" s="16" t="n"/>
      <c r="K17" s="17" t="n">
        <v>0</v>
      </c>
      <c r="L17" s="18" t="n"/>
    </row>
    <row r="18" ht="18" customHeight="1">
      <c r="A18" s="15" t="inlineStr">
        <is>
          <t>Nghệ thuật (Mỹ thuật)</t>
        </is>
      </c>
      <c r="B18" s="16" t="inlineStr">
        <is>
          <t>Lan Ly</t>
        </is>
      </c>
      <c r="C18" s="16" t="inlineStr">
        <is>
          <t>Lan Ly</t>
        </is>
      </c>
      <c r="D18" s="16" t="inlineStr">
        <is>
          <t>Lan Ly</t>
        </is>
      </c>
      <c r="E18" s="16" t="inlineStr">
        <is>
          <t>Lan Ly</t>
        </is>
      </c>
      <c r="F18" s="16" t="inlineStr">
        <is>
          <t>Lan Ly</t>
        </is>
      </c>
      <c r="G18" s="16" t="inlineStr">
        <is>
          <t>Lan Ly</t>
        </is>
      </c>
      <c r="H18" s="16" t="inlineStr">
        <is>
          <t>Lan Ly</t>
        </is>
      </c>
      <c r="I18" s="16" t="inlineStr">
        <is>
          <t>Lan Ly</t>
        </is>
      </c>
      <c r="J18" s="16" t="n"/>
      <c r="K18" s="17" t="n">
        <v>0</v>
      </c>
      <c r="L18" s="18" t="n"/>
    </row>
    <row r="19" ht="15" customHeight="1">
      <c r="A19" s="2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17" t="n"/>
      <c r="L19" s="17" t="n"/>
    </row>
    <row r="20" ht="15" customHeight="1"/>
    <row r="21" ht="15" customHeight="1">
      <c r="A21" s="23" t="n"/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J1"/>
  </mergeCells>
  <dataValidations count="1">
    <dataValidation sqref="L3:L18" showDropDown="0" showInputMessage="0" showErrorMessage="0" allowBlank="0" type="whole">
      <formula1>0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T2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45" customWidth="1" min="1" max="1"/>
    <col width="8" customWidth="1" min="2" max="20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8" customHeight="1">
      <c r="A1" s="2" t="inlineStr">
        <is>
          <t>ĐỊNH MỨC TIẾT/TUẦN — (C)=chẵn, (L)=lẻ. Môn .5: chẵn=2 lẻ=1</t>
        </is>
      </c>
    </row>
    <row r="2" ht="18" customHeight="1">
      <c r="A2" s="11" t="n"/>
      <c r="B2" s="24" t="inlineStr">
        <is>
          <t>6A5 C</t>
        </is>
      </c>
      <c r="C2" s="24" t="inlineStr">
        <is>
          <t>6A6 C</t>
        </is>
      </c>
      <c r="D2" s="24" t="inlineStr">
        <is>
          <t>7A4 C</t>
        </is>
      </c>
      <c r="E2" s="24" t="inlineStr">
        <is>
          <t>7A5 C</t>
        </is>
      </c>
      <c r="F2" s="24" t="inlineStr">
        <is>
          <t>8A5 C</t>
        </is>
      </c>
      <c r="G2" s="24" t="inlineStr">
        <is>
          <t>8A6 C</t>
        </is>
      </c>
      <c r="H2" s="24" t="inlineStr">
        <is>
          <t>9A5 C</t>
        </is>
      </c>
      <c r="I2" s="24" t="inlineStr">
        <is>
          <t>9A6 C</t>
        </is>
      </c>
      <c r="J2" s="24" t="n"/>
      <c r="K2" s="12" t="inlineStr">
        <is>
          <t>6A5 L</t>
        </is>
      </c>
      <c r="L2" s="25" t="inlineStr">
        <is>
          <t>6A6 L</t>
        </is>
      </c>
      <c r="M2" s="25" t="inlineStr">
        <is>
          <t>7A4 L</t>
        </is>
      </c>
      <c r="N2" s="25" t="inlineStr">
        <is>
          <t>7A5 L</t>
        </is>
      </c>
      <c r="O2" s="25" t="inlineStr">
        <is>
          <t>8A5 L</t>
        </is>
      </c>
      <c r="P2" s="25" t="inlineStr">
        <is>
          <t>8A6 L</t>
        </is>
      </c>
      <c r="Q2" s="25" t="inlineStr">
        <is>
          <t>9A5 L</t>
        </is>
      </c>
      <c r="R2" s="25" t="inlineStr">
        <is>
          <t>9A6 L</t>
        </is>
      </c>
      <c r="S2" s="25" t="n"/>
      <c r="T2" s="25" t="n"/>
    </row>
    <row r="3" ht="18" customHeight="1">
      <c r="A3" s="26" t="inlineStr">
        <is>
          <t>Toán học</t>
        </is>
      </c>
      <c r="B3" s="16" t="n">
        <v>4</v>
      </c>
      <c r="C3" s="16" t="n">
        <v>4</v>
      </c>
      <c r="D3" s="16" t="n">
        <v>4</v>
      </c>
      <c r="E3" s="16" t="n">
        <v>4</v>
      </c>
      <c r="F3" s="16" t="n">
        <v>4</v>
      </c>
      <c r="G3" s="16" t="n">
        <v>4</v>
      </c>
      <c r="H3" s="16" t="n">
        <v>4</v>
      </c>
      <c r="I3" s="16" t="n">
        <v>4</v>
      </c>
      <c r="J3" s="16" t="n"/>
      <c r="K3" s="22" t="n">
        <v>4</v>
      </c>
      <c r="L3" s="16" t="n">
        <v>4</v>
      </c>
      <c r="M3" s="16" t="n">
        <v>4</v>
      </c>
      <c r="N3" s="16" t="n">
        <v>4</v>
      </c>
      <c r="O3" s="16" t="n">
        <v>4</v>
      </c>
      <c r="P3" s="16" t="n">
        <v>4</v>
      </c>
      <c r="Q3" s="16" t="n">
        <v>4</v>
      </c>
      <c r="R3" s="16" t="n">
        <v>4</v>
      </c>
      <c r="S3" s="16" t="n"/>
      <c r="T3" s="16" t="n"/>
    </row>
    <row r="4" ht="18" customHeight="1">
      <c r="A4" s="26" t="inlineStr">
        <is>
          <t>Ngữ văn</t>
        </is>
      </c>
      <c r="B4" s="16" t="n">
        <v>4</v>
      </c>
      <c r="C4" s="16" t="n">
        <v>4</v>
      </c>
      <c r="D4" s="16" t="n">
        <v>4</v>
      </c>
      <c r="E4" s="16" t="n">
        <v>4</v>
      </c>
      <c r="F4" s="16" t="n">
        <v>4</v>
      </c>
      <c r="G4" s="16" t="n">
        <v>4</v>
      </c>
      <c r="H4" s="16" t="n">
        <v>4</v>
      </c>
      <c r="I4" s="16" t="n">
        <v>4</v>
      </c>
      <c r="J4" s="16" t="n"/>
      <c r="K4" s="22" t="n">
        <v>4</v>
      </c>
      <c r="L4" s="16" t="n">
        <v>4</v>
      </c>
      <c r="M4" s="16" t="n">
        <v>4</v>
      </c>
      <c r="N4" s="16" t="n">
        <v>4</v>
      </c>
      <c r="O4" s="16" t="n">
        <v>4</v>
      </c>
      <c r="P4" s="16" t="n">
        <v>4</v>
      </c>
      <c r="Q4" s="16" t="n">
        <v>4</v>
      </c>
      <c r="R4" s="16" t="n">
        <v>4</v>
      </c>
      <c r="S4" s="16" t="n"/>
      <c r="T4" s="16" t="n"/>
    </row>
    <row r="5" ht="18" customHeight="1">
      <c r="A5" s="26" t="inlineStr">
        <is>
          <t>Ngoại ngữ</t>
        </is>
      </c>
      <c r="B5" s="16" t="n">
        <v>3</v>
      </c>
      <c r="C5" s="16" t="n">
        <v>3</v>
      </c>
      <c r="D5" s="16" t="n">
        <v>3</v>
      </c>
      <c r="E5" s="16" t="n">
        <v>3</v>
      </c>
      <c r="F5" s="16" t="n">
        <v>3</v>
      </c>
      <c r="G5" s="16" t="n">
        <v>3</v>
      </c>
      <c r="H5" s="16" t="n">
        <v>3</v>
      </c>
      <c r="I5" s="16" t="n">
        <v>3</v>
      </c>
      <c r="J5" s="16" t="n"/>
      <c r="K5" s="22" t="n">
        <v>3</v>
      </c>
      <c r="L5" s="16" t="n">
        <v>3</v>
      </c>
      <c r="M5" s="16" t="n">
        <v>3</v>
      </c>
      <c r="N5" s="16" t="n">
        <v>3</v>
      </c>
      <c r="O5" s="16" t="n">
        <v>3</v>
      </c>
      <c r="P5" s="16" t="n">
        <v>3</v>
      </c>
      <c r="Q5" s="16" t="n">
        <v>3</v>
      </c>
      <c r="R5" s="16" t="n">
        <v>3</v>
      </c>
      <c r="S5" s="16" t="n"/>
      <c r="T5" s="16" t="n"/>
    </row>
    <row r="6" ht="18" customHeight="1">
      <c r="A6" s="26" t="inlineStr">
        <is>
          <t>Khoa học tự nhiên (Vật lý)</t>
        </is>
      </c>
      <c r="B6" s="16" t="n">
        <v>0</v>
      </c>
      <c r="C6" s="16" t="n">
        <v>0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0</v>
      </c>
      <c r="I6" s="16" t="n">
        <v>0</v>
      </c>
      <c r="J6" s="16" t="n"/>
      <c r="K6" s="22" t="n">
        <v>0</v>
      </c>
      <c r="L6" s="16" t="n">
        <v>0</v>
      </c>
      <c r="M6" s="16" t="n">
        <v>1</v>
      </c>
      <c r="N6" s="16" t="n">
        <v>1</v>
      </c>
      <c r="O6" s="16" t="n">
        <v>1</v>
      </c>
      <c r="P6" s="16" t="n">
        <v>1</v>
      </c>
      <c r="Q6" s="16" t="n">
        <v>0</v>
      </c>
      <c r="R6" s="16" t="n">
        <v>0</v>
      </c>
      <c r="S6" s="16" t="n"/>
      <c r="T6" s="16" t="n"/>
    </row>
    <row r="7" ht="18" customHeight="1">
      <c r="A7" s="26" t="inlineStr">
        <is>
          <t>Khoa học tự nhiên (Hóa học)</t>
        </is>
      </c>
      <c r="B7" s="16" t="n">
        <v>4</v>
      </c>
      <c r="C7" s="16" t="n">
        <v>4</v>
      </c>
      <c r="D7" s="16" t="n">
        <v>1</v>
      </c>
      <c r="E7" s="16" t="n">
        <v>1</v>
      </c>
      <c r="F7" s="16" t="n">
        <v>3</v>
      </c>
      <c r="G7" s="16" t="n">
        <v>3</v>
      </c>
      <c r="H7" s="16" t="n">
        <v>3</v>
      </c>
      <c r="I7" s="16" t="n">
        <v>3</v>
      </c>
      <c r="J7" s="16" t="n"/>
      <c r="K7" s="22" t="n">
        <v>4</v>
      </c>
      <c r="L7" s="16" t="n">
        <v>4</v>
      </c>
      <c r="M7" s="16" t="n">
        <v>1</v>
      </c>
      <c r="N7" s="16" t="n">
        <v>1</v>
      </c>
      <c r="O7" s="16" t="n">
        <v>3</v>
      </c>
      <c r="P7" s="16" t="n">
        <v>3</v>
      </c>
      <c r="Q7" s="16" t="n">
        <v>3</v>
      </c>
      <c r="R7" s="16" t="n">
        <v>3</v>
      </c>
      <c r="S7" s="16" t="n"/>
      <c r="T7" s="16" t="n"/>
    </row>
    <row r="8" ht="18" customHeight="1">
      <c r="A8" s="26" t="inlineStr">
        <is>
          <t>Khoa học tự nhiên (Sinh học)</t>
        </is>
      </c>
      <c r="B8" s="16" t="n">
        <v>0</v>
      </c>
      <c r="C8" s="16" t="n">
        <v>0</v>
      </c>
      <c r="D8" s="16" t="n">
        <v>2</v>
      </c>
      <c r="E8" s="16" t="n">
        <v>2</v>
      </c>
      <c r="F8" s="16" t="n">
        <v>0</v>
      </c>
      <c r="G8" s="16" t="n">
        <v>0</v>
      </c>
      <c r="H8" s="16" t="n">
        <v>1</v>
      </c>
      <c r="I8" s="16" t="n">
        <v>1</v>
      </c>
      <c r="J8" s="16" t="n"/>
      <c r="K8" s="22" t="n">
        <v>0</v>
      </c>
      <c r="L8" s="16" t="n">
        <v>0</v>
      </c>
      <c r="M8" s="16" t="n">
        <v>2</v>
      </c>
      <c r="N8" s="16" t="n">
        <v>2</v>
      </c>
      <c r="O8" s="16" t="n">
        <v>0</v>
      </c>
      <c r="P8" s="16" t="n">
        <v>0</v>
      </c>
      <c r="Q8" s="16" t="n">
        <v>1</v>
      </c>
      <c r="R8" s="16" t="n">
        <v>1</v>
      </c>
      <c r="S8" s="16" t="n"/>
      <c r="T8" s="16" t="n"/>
    </row>
    <row r="9" ht="18" customHeight="1">
      <c r="A9" s="26" t="inlineStr">
        <is>
          <t>Lịch sử và Địa Lý (Lịch sử)</t>
        </is>
      </c>
      <c r="B9" s="16" t="n">
        <v>1</v>
      </c>
      <c r="C9" s="16" t="n">
        <v>1</v>
      </c>
      <c r="D9" s="16" t="n">
        <v>2</v>
      </c>
      <c r="E9" s="16" t="n">
        <v>2</v>
      </c>
      <c r="F9" s="16" t="n">
        <v>1</v>
      </c>
      <c r="G9" s="16" t="n">
        <v>1</v>
      </c>
      <c r="H9" s="16" t="n">
        <v>2</v>
      </c>
      <c r="I9" s="16" t="n">
        <v>2</v>
      </c>
      <c r="J9" s="16" t="n"/>
      <c r="K9" s="22" t="n">
        <v>1</v>
      </c>
      <c r="L9" s="16" t="n">
        <v>1</v>
      </c>
      <c r="M9" s="16" t="n">
        <v>2</v>
      </c>
      <c r="N9" s="16" t="n">
        <v>2</v>
      </c>
      <c r="O9" s="16" t="n">
        <v>1</v>
      </c>
      <c r="P9" s="16" t="n">
        <v>1</v>
      </c>
      <c r="Q9" s="16" t="n">
        <v>2</v>
      </c>
      <c r="R9" s="16" t="n">
        <v>2</v>
      </c>
      <c r="S9" s="16" t="n"/>
      <c r="T9" s="16" t="n"/>
    </row>
    <row r="10" ht="18" customHeight="1">
      <c r="A10" s="26" t="inlineStr">
        <is>
          <t>Lịch sử và Địa Lý (Địa lý)</t>
        </is>
      </c>
      <c r="B10" s="16" t="n">
        <v>2</v>
      </c>
      <c r="C10" s="16" t="n">
        <v>2</v>
      </c>
      <c r="D10" s="16" t="n">
        <v>1</v>
      </c>
      <c r="E10" s="16" t="n">
        <v>1</v>
      </c>
      <c r="F10" s="16" t="n">
        <v>2</v>
      </c>
      <c r="G10" s="16" t="n">
        <v>2</v>
      </c>
      <c r="H10" s="16" t="n">
        <v>1</v>
      </c>
      <c r="I10" s="16" t="n">
        <v>1</v>
      </c>
      <c r="J10" s="16" t="n"/>
      <c r="K10" s="22" t="n">
        <v>2</v>
      </c>
      <c r="L10" s="16" t="n">
        <v>2</v>
      </c>
      <c r="M10" s="16" t="n">
        <v>1</v>
      </c>
      <c r="N10" s="16" t="n">
        <v>1</v>
      </c>
      <c r="O10" s="16" t="n">
        <v>2</v>
      </c>
      <c r="P10" s="16" t="n">
        <v>2</v>
      </c>
      <c r="Q10" s="16" t="n">
        <v>1</v>
      </c>
      <c r="R10" s="16" t="n">
        <v>1</v>
      </c>
      <c r="S10" s="16" t="n"/>
      <c r="T10" s="16" t="n"/>
    </row>
    <row r="11" ht="18" customHeight="1">
      <c r="A11" s="26" t="inlineStr">
        <is>
          <t>GDCD</t>
        </is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/>
      <c r="K11" s="22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/>
      <c r="T11" s="16" t="n"/>
    </row>
    <row r="12" ht="18" customHeight="1">
      <c r="A12" s="26" t="inlineStr">
        <is>
          <t>Công nghệ</t>
        </is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2</v>
      </c>
      <c r="G12" s="16" t="n">
        <v>2</v>
      </c>
      <c r="H12" s="16" t="n">
        <v>2</v>
      </c>
      <c r="I12" s="16" t="n">
        <v>2</v>
      </c>
      <c r="J12" s="16" t="n"/>
      <c r="K12" s="22" t="n">
        <v>1</v>
      </c>
      <c r="L12" s="16" t="n">
        <v>1</v>
      </c>
      <c r="M12" s="16" t="n">
        <v>1</v>
      </c>
      <c r="N12" s="16" t="n">
        <v>1</v>
      </c>
      <c r="O12" s="16" t="n">
        <v>2</v>
      </c>
      <c r="P12" s="16" t="n">
        <v>2</v>
      </c>
      <c r="Q12" s="16" t="n">
        <v>2</v>
      </c>
      <c r="R12" s="16" t="n">
        <v>2</v>
      </c>
      <c r="S12" s="16" t="n"/>
      <c r="T12" s="16" t="n"/>
    </row>
    <row r="13" ht="18" customHeight="1">
      <c r="A13" s="26" t="inlineStr">
        <is>
          <t>Tin học</t>
        </is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/>
      <c r="K13" s="22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/>
      <c r="T13" s="16" t="n"/>
    </row>
    <row r="14" ht="18" customHeight="1">
      <c r="A14" s="26" t="inlineStr">
        <is>
          <t>Giáo dục thể chất</t>
        </is>
      </c>
      <c r="B14" s="16" t="n">
        <v>2</v>
      </c>
      <c r="C14" s="16" t="n">
        <v>2</v>
      </c>
      <c r="D14" s="16" t="n">
        <v>2</v>
      </c>
      <c r="E14" s="16" t="n">
        <v>2</v>
      </c>
      <c r="F14" s="16" t="n">
        <v>2</v>
      </c>
      <c r="G14" s="16" t="n">
        <v>2</v>
      </c>
      <c r="H14" s="16" t="n">
        <v>2</v>
      </c>
      <c r="I14" s="16" t="n">
        <v>2</v>
      </c>
      <c r="J14" s="16" t="n"/>
      <c r="K14" s="22" t="n">
        <v>2</v>
      </c>
      <c r="L14" s="16" t="n">
        <v>2</v>
      </c>
      <c r="M14" s="16" t="n">
        <v>2</v>
      </c>
      <c r="N14" s="16" t="n">
        <v>2</v>
      </c>
      <c r="O14" s="16" t="n">
        <v>2</v>
      </c>
      <c r="P14" s="16" t="n">
        <v>2</v>
      </c>
      <c r="Q14" s="16" t="n">
        <v>2</v>
      </c>
      <c r="R14" s="16" t="n">
        <v>2</v>
      </c>
      <c r="S14" s="16" t="n"/>
      <c r="T14" s="16" t="n"/>
    </row>
    <row r="15" ht="18" customHeight="1">
      <c r="A15" s="26" t="inlineStr">
        <is>
          <t>Nội dung giáo dục của địa phương</t>
        </is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/>
      <c r="K15" s="22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/>
      <c r="T15" s="16" t="n"/>
    </row>
    <row r="16" ht="18" customHeight="1">
      <c r="A16" s="26" t="inlineStr">
        <is>
          <t>Hoạt động trải nghiệm, hướng nghiệp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3</v>
      </c>
      <c r="I16" s="16" t="n">
        <v>3</v>
      </c>
      <c r="J16" s="16" t="n"/>
      <c r="K16" s="22" t="n">
        <v>3</v>
      </c>
      <c r="L16" s="16" t="n">
        <v>3</v>
      </c>
      <c r="M16" s="16" t="n">
        <v>3</v>
      </c>
      <c r="N16" s="16" t="n">
        <v>3</v>
      </c>
      <c r="O16" s="16" t="n">
        <v>3</v>
      </c>
      <c r="P16" s="16" t="n">
        <v>3</v>
      </c>
      <c r="Q16" s="16" t="n">
        <v>3</v>
      </c>
      <c r="R16" s="16" t="n">
        <v>3</v>
      </c>
      <c r="S16" s="16" t="n"/>
      <c r="T16" s="16" t="n"/>
    </row>
    <row r="17" ht="18" customHeight="1">
      <c r="A17" s="26" t="inlineStr">
        <is>
          <t>Nghệ thuật (Âm nhạc)</t>
        </is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/>
      <c r="K17" s="22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/>
      <c r="T17" s="16" t="n"/>
    </row>
    <row r="18" ht="18" customHeight="1">
      <c r="A18" s="26" t="inlineStr">
        <is>
          <t>Nghệ thuật (Mỹ thuật)</t>
        </is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/>
      <c r="K18" s="22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/>
      <c r="T18" s="16" t="n"/>
    </row>
    <row r="19" ht="15" customHeight="1">
      <c r="A19" s="15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 ht="15" customHeight="1">
      <c r="A20" s="5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T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O24"/>
  <sheetViews>
    <sheetView zoomScaleNormal="100" workbookViewId="0">
      <selection activeCell="A1" sqref="A1:F1"/>
    </sheetView>
  </sheetViews>
  <sheetFormatPr baseColWidth="8" defaultColWidth="8.7109375" defaultRowHeight="15"/>
  <cols>
    <col width="45" customWidth="1" min="1" max="2"/>
    <col width="18" customWidth="1" min="2" max="2"/>
    <col width="12" customWidth="1" min="3" max="7"/>
    <col width="14" customWidth="1" min="8" max="9"/>
    <col width="13" customWidth="1" min="9" max="9"/>
    <col width="18" customWidth="1" min="11" max="11"/>
    <col width="8" customWidth="1" min="12" max="12"/>
    <col width="17" customWidth="1" min="14" max="14"/>
    <col width="8" customWidth="1" min="15" max="15"/>
  </cols>
  <sheetData>
    <row r="1" ht="18" customHeight="1">
      <c r="A1" s="2" t="inlineStr">
        <is>
          <t>ĐỊNH MỨC GIÁO VIÊN — Vượt&gt;0 (đỏ)=quá tải. Chức vụ điền sẵn từ Sheet2.</t>
        </is>
      </c>
      <c r="H1" s="5" t="inlineStr">
        <is>
          <t>Chuẩn:</t>
        </is>
      </c>
      <c r="I1" s="18" t="n">
        <v>19</v>
      </c>
      <c r="K1" s="28" t="inlineStr">
        <is>
          <t>Chức vụ</t>
        </is>
      </c>
      <c r="L1" s="28" t="inlineStr">
        <is>
          <t>Giảm</t>
        </is>
      </c>
      <c r="N1" t="inlineStr">
        <is>
          <t>Sàn tối thiểu:</t>
        </is>
      </c>
      <c r="O1" t="n">
        <v>0</v>
      </c>
    </row>
    <row r="2" ht="18" customHeight="1">
      <c r="A2" s="11" t="inlineStr">
        <is>
          <t>Tên GV</t>
        </is>
      </c>
      <c r="B2" s="11" t="inlineStr">
        <is>
          <t>Chức vụ</t>
        </is>
      </c>
      <c r="C2" s="11" t="n"/>
      <c r="D2" s="11" t="n"/>
      <c r="E2" s="11" t="n"/>
      <c r="F2" s="11" t="n"/>
      <c r="G2" s="11" t="n"/>
      <c r="H2" s="11" t="inlineStr">
        <is>
          <t>Đi T2 (1/0)</t>
        </is>
      </c>
      <c r="I2" s="11" t="inlineStr">
        <is>
          <t>GVCN (1/0)</t>
        </is>
      </c>
      <c r="K2" s="29" t="inlineStr">
        <is>
          <t>GVCN</t>
        </is>
      </c>
      <c r="L2" s="30" t="n">
        <v>4</v>
      </c>
    </row>
    <row r="3" ht="18" customHeight="1">
      <c r="A3" s="29" t="inlineStr">
        <is>
          <t>Huyền Ly</t>
        </is>
      </c>
      <c r="B3" s="16" t="inlineStr"/>
      <c r="C3" s="30" t="n"/>
      <c r="D3" s="31" t="n"/>
      <c r="E3" s="30" t="n"/>
      <c r="F3" s="30" t="n"/>
      <c r="G3" s="31" t="n"/>
      <c r="H3" s="16" t="n">
        <v>1</v>
      </c>
      <c r="I3" s="16" t="n">
        <v>0</v>
      </c>
      <c r="K3" s="29" t="inlineStr">
        <is>
          <t>Tổ trưởng</t>
        </is>
      </c>
      <c r="L3" s="30" t="n">
        <v>3</v>
      </c>
    </row>
    <row r="4" ht="18" customHeight="1">
      <c r="A4" s="29" t="inlineStr">
        <is>
          <t>Lệ</t>
        </is>
      </c>
      <c r="B4" s="16" t="inlineStr">
        <is>
          <t>GVCN</t>
        </is>
      </c>
      <c r="C4" s="30" t="n"/>
      <c r="D4" s="31" t="n"/>
      <c r="E4" s="30" t="n"/>
      <c r="F4" s="30" t="n"/>
      <c r="G4" s="31" t="n"/>
      <c r="H4" s="16" t="n">
        <v>1</v>
      </c>
      <c r="I4" s="16" t="n">
        <v>1</v>
      </c>
      <c r="K4" s="29" t="inlineStr">
        <is>
          <t>Tổ phó</t>
        </is>
      </c>
      <c r="L4" s="30" t="n">
        <v>1</v>
      </c>
    </row>
    <row r="5" ht="18" customHeight="1">
      <c r="A5" s="29" t="inlineStr">
        <is>
          <t>Minh Anh</t>
        </is>
      </c>
      <c r="B5" s="16" t="inlineStr">
        <is>
          <t>GVCN</t>
        </is>
      </c>
      <c r="C5" s="30" t="n"/>
      <c r="D5" s="31" t="n"/>
      <c r="E5" s="30" t="n"/>
      <c r="F5" s="30" t="n"/>
      <c r="G5" s="31" t="n"/>
      <c r="H5" s="16" t="n">
        <v>1</v>
      </c>
      <c r="I5" s="16" t="n">
        <v>1</v>
      </c>
      <c r="K5" s="29" t="inlineStr">
        <is>
          <t>Tổng phụ trách</t>
        </is>
      </c>
      <c r="L5" s="30" t="n">
        <v>8</v>
      </c>
    </row>
    <row r="6" ht="18" customHeight="1">
      <c r="A6" s="29" t="inlineStr">
        <is>
          <t>Nguyễn Ly</t>
        </is>
      </c>
      <c r="B6" s="16" t="inlineStr">
        <is>
          <t>GVCN</t>
        </is>
      </c>
      <c r="C6" s="30" t="n"/>
      <c r="D6" s="31" t="n"/>
      <c r="E6" s="30" t="n"/>
      <c r="F6" s="30" t="n"/>
      <c r="G6" s="31" t="n"/>
      <c r="H6" s="16" t="n">
        <v>1</v>
      </c>
      <c r="I6" s="16" t="n">
        <v>1</v>
      </c>
      <c r="K6" t="inlineStr">
        <is>
          <t>Phó hiệu trưởng</t>
        </is>
      </c>
      <c r="L6" t="n">
        <v>15</v>
      </c>
    </row>
    <row r="7" ht="18" customHeight="1">
      <c r="A7" s="29" t="inlineStr">
        <is>
          <t>Hoa</t>
        </is>
      </c>
      <c r="B7" s="16" t="inlineStr">
        <is>
          <t>GVCN</t>
        </is>
      </c>
      <c r="C7" s="30" t="n"/>
      <c r="D7" s="31" t="n"/>
      <c r="E7" s="30" t="n"/>
      <c r="F7" s="30" t="n"/>
      <c r="G7" s="31" t="n"/>
      <c r="H7" s="16" t="n">
        <v>1</v>
      </c>
      <c r="I7" s="16" t="n">
        <v>1</v>
      </c>
      <c r="K7" t="inlineStr">
        <is>
          <t>Hỗ trợ TPT</t>
        </is>
      </c>
      <c r="L7" t="n">
        <v>5</v>
      </c>
    </row>
    <row r="8" ht="18" customHeight="1">
      <c r="A8" s="29" t="inlineStr">
        <is>
          <t>Nhung</t>
        </is>
      </c>
      <c r="B8" s="16" t="inlineStr"/>
      <c r="C8" s="30" t="n"/>
      <c r="D8" s="31" t="n"/>
      <c r="E8" s="30" t="n"/>
      <c r="F8" s="30" t="n"/>
      <c r="G8" s="31" t="n"/>
      <c r="H8" s="16" t="n">
        <v>1</v>
      </c>
      <c r="I8" s="16" t="n">
        <v>0</v>
      </c>
      <c r="K8" t="inlineStr">
        <is>
          <t>Thư ký HĐ</t>
        </is>
      </c>
      <c r="L8" t="n">
        <v>2</v>
      </c>
    </row>
    <row r="9" ht="18" customHeight="1">
      <c r="A9" s="29" t="inlineStr">
        <is>
          <t>Thành</t>
        </is>
      </c>
      <c r="B9" s="16" t="inlineStr"/>
      <c r="C9" s="30" t="n"/>
      <c r="D9" s="31" t="n"/>
      <c r="E9" s="30" t="n"/>
      <c r="F9" s="30" t="n"/>
      <c r="G9" s="31" t="n"/>
      <c r="H9" s="16" t="n">
        <v>1</v>
      </c>
      <c r="I9" s="16" t="n">
        <v>0</v>
      </c>
    </row>
    <row r="10" ht="18" customHeight="1">
      <c r="A10" s="29" t="inlineStr">
        <is>
          <t>Uyên</t>
        </is>
      </c>
      <c r="B10" s="16" t="inlineStr">
        <is>
          <t>GVCN</t>
        </is>
      </c>
      <c r="C10" s="30" t="n"/>
      <c r="D10" s="31" t="n"/>
      <c r="E10" s="30" t="n"/>
      <c r="F10" s="30" t="n"/>
      <c r="G10" s="31" t="n"/>
      <c r="H10" s="16" t="n">
        <v>1</v>
      </c>
      <c r="I10" s="16" t="n">
        <v>1</v>
      </c>
    </row>
    <row r="11" ht="18" customHeight="1">
      <c r="A11" s="29" t="inlineStr">
        <is>
          <t>Lan</t>
        </is>
      </c>
      <c r="B11" s="16" t="inlineStr">
        <is>
          <t>GVCN</t>
        </is>
      </c>
      <c r="C11" s="30" t="n"/>
      <c r="D11" s="31" t="n"/>
      <c r="E11" s="30" t="n"/>
      <c r="F11" s="30" t="n"/>
      <c r="G11" s="31" t="n"/>
      <c r="H11" s="16" t="n">
        <v>1</v>
      </c>
      <c r="I11" s="16" t="n">
        <v>1</v>
      </c>
    </row>
    <row r="12" ht="18" customHeight="1">
      <c r="A12" s="29" t="inlineStr">
        <is>
          <t>Giang</t>
        </is>
      </c>
      <c r="B12" s="16" t="inlineStr">
        <is>
          <t>GVCN</t>
        </is>
      </c>
      <c r="C12" s="30" t="n"/>
      <c r="D12" s="31" t="n"/>
      <c r="E12" s="30" t="n"/>
      <c r="F12" s="30" t="n"/>
      <c r="G12" s="31" t="n"/>
      <c r="H12" s="16" t="n">
        <v>1</v>
      </c>
      <c r="I12" s="16" t="n">
        <v>1</v>
      </c>
    </row>
    <row r="13" ht="18" customHeight="1">
      <c r="A13" s="29" t="inlineStr">
        <is>
          <t>Trung</t>
        </is>
      </c>
      <c r="B13" s="16" t="inlineStr"/>
      <c r="C13" s="30" t="n"/>
      <c r="D13" s="31" t="n"/>
      <c r="E13" s="30" t="n"/>
      <c r="F13" s="30" t="n"/>
      <c r="G13" s="31" t="n"/>
      <c r="H13" s="16" t="n">
        <v>1</v>
      </c>
      <c r="I13" s="16" t="n">
        <v>0</v>
      </c>
    </row>
    <row r="14" ht="18" customHeight="1">
      <c r="A14" s="29" t="inlineStr">
        <is>
          <t>Sơn</t>
        </is>
      </c>
      <c r="B14" s="16" t="inlineStr"/>
      <c r="C14" s="30" t="n"/>
      <c r="D14" s="31" t="n"/>
      <c r="E14" s="30" t="n"/>
      <c r="F14" s="30" t="n"/>
      <c r="G14" s="31" t="n"/>
      <c r="H14" s="16" t="n">
        <v>1</v>
      </c>
      <c r="I14" s="16" t="n">
        <v>0</v>
      </c>
    </row>
    <row r="15" ht="18" customHeight="1">
      <c r="A15" s="29" t="inlineStr">
        <is>
          <t>Hoà</t>
        </is>
      </c>
      <c r="B15" s="16" t="inlineStr">
        <is>
          <t>GVCN</t>
        </is>
      </c>
      <c r="C15" s="30" t="n"/>
      <c r="D15" s="31" t="n"/>
      <c r="E15" s="30" t="n"/>
      <c r="F15" s="30" t="n"/>
      <c r="G15" s="31" t="n"/>
      <c r="H15" s="16" t="n">
        <v>1</v>
      </c>
      <c r="I15" s="16" t="n">
        <v>1</v>
      </c>
    </row>
    <row r="16" ht="18" customHeight="1">
      <c r="A16" s="29" t="inlineStr">
        <is>
          <t>Khu</t>
        </is>
      </c>
      <c r="B16" s="16" t="inlineStr">
        <is>
          <t>Thư ký HĐ</t>
        </is>
      </c>
      <c r="C16" s="30" t="n"/>
      <c r="D16" s="31" t="n"/>
      <c r="E16" s="30" t="n"/>
      <c r="F16" s="30" t="n"/>
      <c r="G16" s="31" t="n"/>
      <c r="H16" s="16" t="n">
        <v>1</v>
      </c>
      <c r="I16" s="16" t="n">
        <v>0</v>
      </c>
    </row>
    <row r="17" ht="18" customHeight="1">
      <c r="A17" s="29" t="inlineStr">
        <is>
          <t>Lan Ly</t>
        </is>
      </c>
      <c r="B17" s="16" t="inlineStr"/>
      <c r="C17" s="30" t="n"/>
      <c r="D17" s="31" t="n"/>
      <c r="E17" s="30" t="n"/>
      <c r="F17" s="30" t="n"/>
      <c r="G17" s="31" t="n"/>
      <c r="H17" s="16" t="n">
        <v>1</v>
      </c>
      <c r="I17" s="16" t="n">
        <v>0</v>
      </c>
    </row>
    <row r="18" ht="18" customHeight="1">
      <c r="A18" s="29" t="inlineStr">
        <is>
          <t>Hồng</t>
        </is>
      </c>
      <c r="B18" s="16" t="inlineStr"/>
      <c r="C18" s="30" t="n"/>
      <c r="D18" s="31" t="n"/>
      <c r="E18" s="30" t="n"/>
      <c r="F18" s="30" t="n"/>
      <c r="G18" s="31" t="n"/>
      <c r="H18" s="16" t="n">
        <v>0</v>
      </c>
      <c r="I18" s="16" t="n">
        <v>0</v>
      </c>
    </row>
    <row r="19" ht="18" customHeight="1">
      <c r="A19" s="29" t="inlineStr">
        <is>
          <t>Hà</t>
        </is>
      </c>
      <c r="B19" s="16" t="inlineStr">
        <is>
          <t>Phó hiệu trưởng</t>
        </is>
      </c>
      <c r="C19" s="30" t="n"/>
      <c r="D19" s="31" t="n"/>
      <c r="E19" s="30" t="n"/>
      <c r="F19" s="30" t="n"/>
      <c r="G19" s="31" t="n"/>
      <c r="H19" s="16" t="n">
        <v>1</v>
      </c>
      <c r="I19" s="16" t="n">
        <v>0</v>
      </c>
    </row>
    <row r="20" ht="15" customHeight="1">
      <c r="A20" s="29" t="n"/>
      <c r="B20" s="16" t="n"/>
      <c r="C20" s="30" t="n"/>
      <c r="D20" s="31" t="n"/>
      <c r="E20" s="30" t="n"/>
      <c r="F20" s="30" t="n"/>
      <c r="G20" s="31" t="n"/>
      <c r="H20" s="16" t="n"/>
      <c r="I20" s="16" t="n"/>
    </row>
    <row r="21" ht="15" customHeight="1">
      <c r="A21" s="29" t="n"/>
      <c r="B21" s="16" t="n"/>
      <c r="C21" s="30" t="n"/>
      <c r="D21" s="31" t="n"/>
      <c r="E21" s="30" t="n"/>
      <c r="F21" s="30" t="n"/>
      <c r="G21" s="31" t="n"/>
      <c r="H21" s="16" t="n"/>
      <c r="I21" s="16" t="n"/>
    </row>
    <row r="22" ht="15" customHeight="1">
      <c r="B22" s="32" t="n"/>
      <c r="D22" s="5" t="n"/>
      <c r="E22" s="5" t="n"/>
    </row>
    <row r="23" ht="15" customHeight="1">
      <c r="A23" s="23" t="n"/>
      <c r="D23" s="5" t="n"/>
      <c r="E23" s="5" t="n"/>
      <c r="H23" s="33" t="n"/>
    </row>
    <row r="24" ht="15" customHeight="1">
      <c r="A24" s="23" t="n"/>
      <c r="D24" s="5" t="n"/>
      <c r="E24" s="5" t="n"/>
      <c r="H24" s="33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</sheetData>
  <mergeCells count="1">
    <mergeCell ref="A1:F1"/>
  </mergeCells>
  <conditionalFormatting sqref="E22:E24">
    <cfRule type="expression" priority="3" dxfId="0">
      <formula>E22&gt;E21</formula>
    </cfRule>
  </conditionalFormatting>
  <conditionalFormatting sqref="F3:G20">
    <cfRule type="expression" priority="2" dxfId="0">
      <formula>F3&gt;0</formula>
    </cfRule>
  </conditionalFormatting>
  <conditionalFormatting sqref="G3:G20">
    <cfRule type="expression" priority="5" dxfId="4">
      <formula>G3&lt;=0</formula>
    </cfRule>
  </conditionalFormatting>
  <conditionalFormatting sqref="G3:G21">
    <cfRule type="expression" priority="7" dxfId="0">
      <formula>G3&gt;0</formula>
    </cfRule>
    <cfRule type="expression" priority="8" dxfId="4">
      <formula>G3&lt;=0</formula>
    </cfRule>
    <cfRule type="expression" priority="9" dxfId="0">
      <formula>G3&gt;0</formula>
    </cfRule>
    <cfRule type="expression" priority="10" dxfId="4">
      <formula>G3&lt;=0</formula>
    </cfRule>
  </conditionalFormatting>
  <dataValidations count="1">
    <dataValidation sqref="B3:B21" showDropDown="0" showInputMessage="0" showErrorMessage="0" allowBlank="1" type="list">
      <formula1>"GVCN,Tổ trưởng,Tổ phó,Tổng phụ trách"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D37"/>
  <sheetViews>
    <sheetView zoomScaleNormal="100" workbookViewId="0">
      <selection activeCell="A1" sqref="A1"/>
    </sheetView>
  </sheetViews>
  <sheetFormatPr baseColWidth="8" defaultColWidth="8.7109375" defaultRowHeight="15"/>
  <cols>
    <col width="45" customWidth="1" min="1" max="1"/>
    <col width="8" customWidth="1" min="2" max="4"/>
    <col width="8" customWidth="1" min="3" max="3"/>
    <col width="8" customWidth="1" min="4" max="4"/>
  </cols>
  <sheetData>
    <row r="1" ht="18" customHeight="1">
      <c r="A1" s="1" t="inlineStr">
        <is>
          <t>GIÁO VIÊN BẬN / XIN NGHỈ — macro né các khung giờ này, chỉ đổi tối thiểu số tiết</t>
        </is>
      </c>
    </row>
    <row r="2" ht="18" customHeight="1">
      <c r="A2" s="11" t="inlineStr">
        <is>
          <t>Giáo viên</t>
        </is>
      </c>
      <c r="B2" s="11" t="inlineStr">
        <is>
          <t>Thứ</t>
        </is>
      </c>
      <c r="C2" s="11" t="inlineStr">
        <is>
          <t>Buổi</t>
        </is>
      </c>
      <c r="D2" s="11" t="inlineStr">
        <is>
          <t>Tiết</t>
        </is>
      </c>
    </row>
    <row r="3" ht="18" customHeight="1">
      <c r="A3" s="27" t="inlineStr">
        <is>
          <t>Hà</t>
        </is>
      </c>
      <c r="B3" s="27" t="inlineStr">
        <is>
          <t>2</t>
        </is>
      </c>
      <c r="C3" s="27" t="inlineStr">
        <is>
          <t>C</t>
        </is>
      </c>
      <c r="D3" s="27" t="inlineStr">
        <is>
          <t>1</t>
        </is>
      </c>
    </row>
    <row r="4" ht="18" customHeight="1">
      <c r="A4" s="27" t="inlineStr">
        <is>
          <t>Hà</t>
        </is>
      </c>
      <c r="B4" s="27" t="inlineStr">
        <is>
          <t>2</t>
        </is>
      </c>
      <c r="C4" s="27" t="inlineStr">
        <is>
          <t>C</t>
        </is>
      </c>
      <c r="D4" s="27" t="inlineStr">
        <is>
          <t>2</t>
        </is>
      </c>
    </row>
    <row r="5" ht="18" customHeight="1">
      <c r="A5" s="27" t="inlineStr">
        <is>
          <t>Hà</t>
        </is>
      </c>
      <c r="B5" s="27" t="inlineStr">
        <is>
          <t>2</t>
        </is>
      </c>
      <c r="C5" s="27" t="inlineStr">
        <is>
          <t>C</t>
        </is>
      </c>
      <c r="D5" s="27" t="inlineStr">
        <is>
          <t>3</t>
        </is>
      </c>
    </row>
    <row r="6" ht="18" customHeight="1">
      <c r="A6" s="27" t="inlineStr">
        <is>
          <t>Hà</t>
        </is>
      </c>
      <c r="B6" s="27" t="inlineStr">
        <is>
          <t>2</t>
        </is>
      </c>
      <c r="C6" s="27" t="inlineStr">
        <is>
          <t>S</t>
        </is>
      </c>
      <c r="D6" s="27" t="inlineStr">
        <is>
          <t>1</t>
        </is>
      </c>
    </row>
    <row r="7" ht="18" customHeight="1">
      <c r="A7" s="27" t="inlineStr">
        <is>
          <t>Hà</t>
        </is>
      </c>
      <c r="B7" s="27" t="inlineStr">
        <is>
          <t>2</t>
        </is>
      </c>
      <c r="C7" s="27" t="inlineStr">
        <is>
          <t>S</t>
        </is>
      </c>
      <c r="D7" s="27" t="inlineStr">
        <is>
          <t>2</t>
        </is>
      </c>
    </row>
    <row r="8" ht="18" customHeight="1">
      <c r="A8" s="27" t="inlineStr">
        <is>
          <t>Hà</t>
        </is>
      </c>
      <c r="B8" s="27" t="inlineStr">
        <is>
          <t>2</t>
        </is>
      </c>
      <c r="C8" s="27" t="inlineStr">
        <is>
          <t>S</t>
        </is>
      </c>
      <c r="D8" s="27" t="inlineStr">
        <is>
          <t>3</t>
        </is>
      </c>
    </row>
    <row r="9" ht="18" customHeight="1">
      <c r="A9" s="27" t="inlineStr">
        <is>
          <t>Hà</t>
        </is>
      </c>
      <c r="B9" s="27" t="inlineStr">
        <is>
          <t>2</t>
        </is>
      </c>
      <c r="C9" s="27" t="inlineStr">
        <is>
          <t>S</t>
        </is>
      </c>
      <c r="D9" s="27" t="inlineStr">
        <is>
          <t>4</t>
        </is>
      </c>
    </row>
    <row r="10" ht="18" customHeight="1">
      <c r="A10" s="27" t="inlineStr">
        <is>
          <t>Hà</t>
        </is>
      </c>
      <c r="B10" s="27" t="inlineStr">
        <is>
          <t>3</t>
        </is>
      </c>
      <c r="C10" s="27" t="inlineStr">
        <is>
          <t>S</t>
        </is>
      </c>
      <c r="D10" s="27" t="inlineStr">
        <is>
          <t>1</t>
        </is>
      </c>
    </row>
    <row r="11" ht="18" customHeight="1">
      <c r="A11" s="27" t="inlineStr">
        <is>
          <t>Hà</t>
        </is>
      </c>
      <c r="B11" s="27" t="inlineStr">
        <is>
          <t>3</t>
        </is>
      </c>
      <c r="C11" s="27" t="inlineStr">
        <is>
          <t>S</t>
        </is>
      </c>
      <c r="D11" s="27" t="inlineStr">
        <is>
          <t>2</t>
        </is>
      </c>
    </row>
    <row r="12" ht="18" customHeight="1">
      <c r="A12" s="27" t="inlineStr">
        <is>
          <t>Hà</t>
        </is>
      </c>
      <c r="B12" s="27" t="inlineStr">
        <is>
          <t>3</t>
        </is>
      </c>
      <c r="C12" s="27" t="inlineStr">
        <is>
          <t>S</t>
        </is>
      </c>
      <c r="D12" s="27" t="inlineStr">
        <is>
          <t>3</t>
        </is>
      </c>
    </row>
    <row r="13" ht="18" customHeight="1">
      <c r="A13" t="inlineStr">
        <is>
          <t>Hà</t>
        </is>
      </c>
      <c r="B13" t="inlineStr">
        <is>
          <t>3</t>
        </is>
      </c>
      <c r="C13" t="inlineStr">
        <is>
          <t>S</t>
        </is>
      </c>
      <c r="D13" t="inlineStr">
        <is>
          <t>4</t>
        </is>
      </c>
    </row>
    <row r="14" ht="18" customHeight="1">
      <c r="A14" s="23" t="inlineStr">
        <is>
          <t>Hà</t>
        </is>
      </c>
      <c r="B14" t="inlineStr">
        <is>
          <t>4</t>
        </is>
      </c>
      <c r="C14" t="inlineStr">
        <is>
          <t>C</t>
        </is>
      </c>
      <c r="D14" t="inlineStr">
        <is>
          <t>1</t>
        </is>
      </c>
    </row>
    <row r="15" ht="18" customHeight="1">
      <c r="A15" s="23" t="inlineStr">
        <is>
          <t>Hà</t>
        </is>
      </c>
      <c r="B15" t="inlineStr">
        <is>
          <t>4</t>
        </is>
      </c>
      <c r="C15" t="inlineStr">
        <is>
          <t>S</t>
        </is>
      </c>
      <c r="D15" t="inlineStr">
        <is>
          <t>1</t>
        </is>
      </c>
    </row>
    <row r="16" ht="18" customHeight="1">
      <c r="A16" t="inlineStr">
        <is>
          <t>Hà</t>
        </is>
      </c>
      <c r="B16" t="inlineStr">
        <is>
          <t>4</t>
        </is>
      </c>
      <c r="C16" t="inlineStr">
        <is>
          <t>S</t>
        </is>
      </c>
      <c r="D16" t="inlineStr">
        <is>
          <t>2</t>
        </is>
      </c>
    </row>
    <row r="17" ht="18" customHeight="1">
      <c r="A17" t="inlineStr">
        <is>
          <t>Hà</t>
        </is>
      </c>
      <c r="B17" t="inlineStr">
        <is>
          <t>4</t>
        </is>
      </c>
      <c r="C17" t="inlineStr">
        <is>
          <t>S</t>
        </is>
      </c>
      <c r="D17" t="inlineStr">
        <is>
          <t>3</t>
        </is>
      </c>
    </row>
    <row r="18" ht="18" customHeight="1">
      <c r="A18" t="inlineStr">
        <is>
          <t>Hà</t>
        </is>
      </c>
      <c r="B18" t="inlineStr">
        <is>
          <t>4</t>
        </is>
      </c>
      <c r="C18" t="inlineStr">
        <is>
          <t>S</t>
        </is>
      </c>
      <c r="D18" t="inlineStr">
        <is>
          <t>4</t>
        </is>
      </c>
    </row>
    <row r="19" ht="18" customHeight="1">
      <c r="A19" t="inlineStr">
        <is>
          <t>Hà</t>
        </is>
      </c>
      <c r="B19" t="inlineStr">
        <is>
          <t>5</t>
        </is>
      </c>
      <c r="C19" t="inlineStr">
        <is>
          <t>C</t>
        </is>
      </c>
      <c r="D19" t="inlineStr">
        <is>
          <t>1</t>
        </is>
      </c>
    </row>
    <row r="20" ht="18" customHeight="1">
      <c r="A20" t="inlineStr">
        <is>
          <t>Hà</t>
        </is>
      </c>
      <c r="B20" t="inlineStr">
        <is>
          <t>5</t>
        </is>
      </c>
      <c r="C20" t="inlineStr">
        <is>
          <t>C</t>
        </is>
      </c>
      <c r="D20" t="inlineStr">
        <is>
          <t>2</t>
        </is>
      </c>
    </row>
    <row r="21" ht="18" customHeight="1">
      <c r="A21" t="inlineStr">
        <is>
          <t>Hà</t>
        </is>
      </c>
      <c r="B21" t="inlineStr">
        <is>
          <t>5</t>
        </is>
      </c>
      <c r="C21" t="inlineStr">
        <is>
          <t>C</t>
        </is>
      </c>
      <c r="D21" t="inlineStr">
        <is>
          <t>3</t>
        </is>
      </c>
    </row>
    <row r="22" ht="18" customHeight="1">
      <c r="A22" t="inlineStr">
        <is>
          <t>Hà</t>
        </is>
      </c>
      <c r="B22" t="inlineStr">
        <is>
          <t>5</t>
        </is>
      </c>
      <c r="C22" t="inlineStr">
        <is>
          <t>S</t>
        </is>
      </c>
      <c r="D22" t="inlineStr">
        <is>
          <t>1</t>
        </is>
      </c>
    </row>
    <row r="23" ht="18" customHeight="1">
      <c r="A23" t="inlineStr">
        <is>
          <t>Hà</t>
        </is>
      </c>
      <c r="B23" t="inlineStr">
        <is>
          <t>5</t>
        </is>
      </c>
      <c r="C23" t="inlineStr">
        <is>
          <t>S</t>
        </is>
      </c>
      <c r="D23" t="inlineStr">
        <is>
          <t>2</t>
        </is>
      </c>
    </row>
    <row r="24" ht="18" customHeight="1">
      <c r="A24" t="inlineStr">
        <is>
          <t>Hà</t>
        </is>
      </c>
      <c r="B24" t="inlineStr">
        <is>
          <t>5</t>
        </is>
      </c>
      <c r="C24" t="inlineStr">
        <is>
          <t>S</t>
        </is>
      </c>
      <c r="D24" t="inlineStr">
        <is>
          <t>3</t>
        </is>
      </c>
    </row>
    <row r="25" ht="18" customHeight="1">
      <c r="A25" t="inlineStr">
        <is>
          <t>Hà</t>
        </is>
      </c>
      <c r="B25" t="inlineStr">
        <is>
          <t>5</t>
        </is>
      </c>
      <c r="C25" t="inlineStr">
        <is>
          <t>S</t>
        </is>
      </c>
      <c r="D25" t="inlineStr">
        <is>
          <t>4</t>
        </is>
      </c>
    </row>
    <row r="26" ht="18" customHeight="1">
      <c r="A26" t="inlineStr">
        <is>
          <t>Hà</t>
        </is>
      </c>
      <c r="B26" t="inlineStr">
        <is>
          <t>6</t>
        </is>
      </c>
      <c r="C26" t="inlineStr">
        <is>
          <t>C</t>
        </is>
      </c>
      <c r="D26" t="inlineStr">
        <is>
          <t>1</t>
        </is>
      </c>
    </row>
    <row r="27" ht="18" customHeight="1">
      <c r="A27" t="inlineStr">
        <is>
          <t>Hà</t>
        </is>
      </c>
      <c r="B27" t="inlineStr">
        <is>
          <t>6</t>
        </is>
      </c>
      <c r="C27" t="inlineStr">
        <is>
          <t>C</t>
        </is>
      </c>
      <c r="D27" t="inlineStr">
        <is>
          <t>2</t>
        </is>
      </c>
    </row>
    <row r="28" ht="18" customHeight="1">
      <c r="A28" t="inlineStr">
        <is>
          <t>Hà</t>
        </is>
      </c>
      <c r="B28" t="inlineStr">
        <is>
          <t>6</t>
        </is>
      </c>
      <c r="C28" t="inlineStr">
        <is>
          <t>C</t>
        </is>
      </c>
      <c r="D28" t="inlineStr">
        <is>
          <t>3</t>
        </is>
      </c>
    </row>
    <row r="29" ht="18" customHeight="1">
      <c r="A29" t="inlineStr">
        <is>
          <t>Hà</t>
        </is>
      </c>
      <c r="B29" t="inlineStr">
        <is>
          <t>6</t>
        </is>
      </c>
      <c r="C29" t="inlineStr">
        <is>
          <t>S</t>
        </is>
      </c>
      <c r="D29" t="inlineStr">
        <is>
          <t>1</t>
        </is>
      </c>
    </row>
    <row r="30" ht="18" customHeight="1">
      <c r="A30" t="inlineStr">
        <is>
          <t>Hà</t>
        </is>
      </c>
      <c r="B30" t="inlineStr">
        <is>
          <t>6</t>
        </is>
      </c>
      <c r="C30" t="inlineStr">
        <is>
          <t>S</t>
        </is>
      </c>
      <c r="D30" t="inlineStr">
        <is>
          <t>2</t>
        </is>
      </c>
    </row>
    <row r="31" ht="18" customHeight="1">
      <c r="A31" t="inlineStr">
        <is>
          <t>Hà</t>
        </is>
      </c>
      <c r="B31" t="inlineStr">
        <is>
          <t>6</t>
        </is>
      </c>
      <c r="C31" t="inlineStr">
        <is>
          <t>S</t>
        </is>
      </c>
      <c r="D31" t="inlineStr">
        <is>
          <t>3</t>
        </is>
      </c>
    </row>
    <row r="32" ht="18" customHeight="1">
      <c r="A32" t="inlineStr">
        <is>
          <t>Hà</t>
        </is>
      </c>
      <c r="B32" t="inlineStr">
        <is>
          <t>6</t>
        </is>
      </c>
      <c r="C32" t="inlineStr">
        <is>
          <t>S</t>
        </is>
      </c>
      <c r="D32" t="inlineStr">
        <is>
          <t>4</t>
        </is>
      </c>
    </row>
    <row r="33" ht="18" customHeight="1">
      <c r="A33" t="inlineStr">
        <is>
          <t>Lệ</t>
        </is>
      </c>
      <c r="B33" t="inlineStr">
        <is>
          <t>3</t>
        </is>
      </c>
      <c r="C33" t="inlineStr">
        <is>
          <t>S</t>
        </is>
      </c>
      <c r="D33" t="inlineStr">
        <is>
          <t>2</t>
        </is>
      </c>
    </row>
    <row r="34" ht="18" customHeight="1">
      <c r="A34" t="inlineStr">
        <is>
          <t>Lệ</t>
        </is>
      </c>
      <c r="B34" t="inlineStr">
        <is>
          <t>4</t>
        </is>
      </c>
      <c r="C34" t="inlineStr">
        <is>
          <t>S</t>
        </is>
      </c>
      <c r="D34" t="inlineStr">
        <is>
          <t>3</t>
        </is>
      </c>
    </row>
    <row r="35" ht="18" customHeight="1">
      <c r="A35" t="inlineStr">
        <is>
          <t>Hồng</t>
        </is>
      </c>
      <c r="B35" t="inlineStr">
        <is>
          <t>2</t>
        </is>
      </c>
      <c r="C35" t="inlineStr">
        <is>
          <t>C</t>
        </is>
      </c>
      <c r="D35" t="inlineStr">
        <is>
          <t>1</t>
        </is>
      </c>
    </row>
    <row r="36" ht="18" customHeight="1">
      <c r="A36" t="inlineStr">
        <is>
          <t>Hồng</t>
        </is>
      </c>
      <c r="B36" t="inlineStr">
        <is>
          <t>3</t>
        </is>
      </c>
      <c r="C36" t="inlineStr">
        <is>
          <t>C</t>
        </is>
      </c>
      <c r="D36" t="inlineStr">
        <is>
          <t>1</t>
        </is>
      </c>
    </row>
    <row r="37" ht="18" customHeight="1">
      <c r="A37" t="inlineStr">
        <is>
          <t>Hồng</t>
        </is>
      </c>
      <c r="B37" t="inlineStr">
        <is>
          <t>4</t>
        </is>
      </c>
      <c r="C37" t="inlineStr">
        <is>
          <t>C</t>
        </is>
      </c>
      <c r="D37" t="inlineStr">
        <is>
          <t>1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 codeName="Sheet11">
    <outlinePr summaryBelow="1" summaryRight="1"/>
    <pageSetUpPr/>
  </sheetPr>
  <dimension ref="A1:H61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/>
    <row r="2" ht="18" customHeight="1"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</row>
    <row r="3" ht="18" customHeight="1"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</row>
    <row r="4" ht="18" customHeight="1"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</row>
    <row r="5" ht="18" customHeight="1"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</row>
    <row r="6" ht="18" customHeight="1">
      <c r="D6" t="inlineStr">
        <is>
          <t>x</t>
        </is>
      </c>
      <c r="E6" t="inlineStr">
        <is>
          <t>x</t>
        </is>
      </c>
      <c r="F6" t="inlineStr">
        <is>
          <t>x</t>
        </is>
      </c>
    </row>
    <row r="7" ht="18" customHeight="1">
      <c r="D7" t="inlineStr">
        <is>
          <t>x</t>
        </is>
      </c>
      <c r="E7" t="inlineStr">
        <is>
          <t>x</t>
        </is>
      </c>
      <c r="F7" t="inlineStr">
        <is>
          <t>x</t>
        </is>
      </c>
    </row>
    <row r="8" ht="18" customHeight="1">
      <c r="D8" t="inlineStr">
        <is>
          <t>x</t>
        </is>
      </c>
      <c r="E8" t="inlineStr">
        <is>
          <t>x</t>
        </is>
      </c>
      <c r="F8" t="inlineStr">
        <is>
          <t>x</t>
        </is>
      </c>
    </row>
    <row r="9" ht="18" customHeight="1"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</row>
    <row r="10" ht="18" customHeight="1"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</row>
    <row r="11" ht="18" customHeight="1"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</row>
    <row r="12" ht="18" customHeight="1"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</row>
    <row r="13" ht="18" customHeight="1">
      <c r="D13" t="inlineStr">
        <is>
          <t>x</t>
        </is>
      </c>
      <c r="E13" t="inlineStr">
        <is>
          <t>x</t>
        </is>
      </c>
      <c r="F13" t="inlineStr">
        <is>
          <t>x</t>
        </is>
      </c>
    </row>
    <row r="14" ht="18" customHeight="1">
      <c r="D14" t="inlineStr">
        <is>
          <t>x</t>
        </is>
      </c>
      <c r="E14" t="inlineStr">
        <is>
          <t>x</t>
        </is>
      </c>
      <c r="F14" t="inlineStr">
        <is>
          <t>x</t>
        </is>
      </c>
    </row>
    <row r="15" ht="18" customHeight="1">
      <c r="D15" t="inlineStr">
        <is>
          <t>x</t>
        </is>
      </c>
      <c r="E15" t="inlineStr">
        <is>
          <t>x</t>
        </is>
      </c>
      <c r="F15" t="inlineStr">
        <is>
          <t>x</t>
        </is>
      </c>
    </row>
    <row r="16" ht="18" customHeight="1"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</row>
    <row r="17" ht="18" customHeight="1"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</row>
    <row r="18" ht="18" customHeight="1"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 ht="18" customHeight="1"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 ht="18" customHeight="1">
      <c r="D20" t="inlineStr">
        <is>
          <t>x</t>
        </is>
      </c>
      <c r="E20" t="inlineStr">
        <is>
          <t>x</t>
        </is>
      </c>
      <c r="F20" t="inlineStr">
        <is>
          <t>x</t>
        </is>
      </c>
    </row>
    <row r="21" ht="18" customHeight="1">
      <c r="D21" t="inlineStr">
        <is>
          <t>x</t>
        </is>
      </c>
      <c r="E21" t="inlineStr">
        <is>
          <t>x</t>
        </is>
      </c>
      <c r="F21" t="inlineStr">
        <is>
          <t>x</t>
        </is>
      </c>
    </row>
    <row r="22" ht="18" customHeight="1">
      <c r="D22" t="inlineStr">
        <is>
          <t>x</t>
        </is>
      </c>
      <c r="E22" t="inlineStr">
        <is>
          <t>x</t>
        </is>
      </c>
      <c r="F22" t="inlineStr">
        <is>
          <t>x</t>
        </is>
      </c>
    </row>
    <row r="23" ht="18" customHeight="1"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</row>
    <row r="24" ht="18" customHeight="1"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</row>
    <row r="25" ht="18" customHeight="1">
      <c r="D25" t="inlineStr">
        <is>
          <t>x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</row>
    <row r="26" ht="18" customHeight="1"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</row>
    <row r="27" ht="18" customHeight="1">
      <c r="D27" t="inlineStr">
        <is>
          <t>x</t>
        </is>
      </c>
      <c r="E27" t="inlineStr">
        <is>
          <t>x</t>
        </is>
      </c>
      <c r="F27" t="inlineStr">
        <is>
          <t>x</t>
        </is>
      </c>
    </row>
    <row r="28" ht="18" customHeight="1">
      <c r="D28" t="inlineStr">
        <is>
          <t>x</t>
        </is>
      </c>
      <c r="E28" t="inlineStr">
        <is>
          <t>x</t>
        </is>
      </c>
      <c r="F28" t="inlineStr">
        <is>
          <t>x</t>
        </is>
      </c>
    </row>
    <row r="29" ht="18" customHeight="1">
      <c r="D29" t="inlineStr">
        <is>
          <t>x</t>
        </is>
      </c>
      <c r="E29" t="inlineStr">
        <is>
          <t>x</t>
        </is>
      </c>
      <c r="F29" t="inlineStr">
        <is>
          <t>x</t>
        </is>
      </c>
    </row>
    <row r="30" ht="18" customHeight="1"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</row>
    <row r="31" ht="18" customHeight="1">
      <c r="D31" t="inlineStr">
        <is>
          <t>x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</row>
    <row r="32" ht="18" customHeight="1"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</row>
    <row r="33" ht="18" customHeight="1"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</row>
    <row r="34" ht="18" customHeight="1">
      <c r="H34" t="inlineStr">
        <is>
          <t>x</t>
        </is>
      </c>
    </row>
    <row r="35" ht="18" customHeight="1">
      <c r="D35" t="inlineStr">
        <is>
          <t>x</t>
        </is>
      </c>
      <c r="E35" t="inlineStr">
        <is>
          <t>x</t>
        </is>
      </c>
      <c r="F35" t="inlineStr">
        <is>
          <t>x</t>
        </is>
      </c>
    </row>
    <row r="36" ht="18" customHeight="1">
      <c r="D36" t="inlineStr">
        <is>
          <t>x</t>
        </is>
      </c>
      <c r="E36" t="inlineStr">
        <is>
          <t>x</t>
        </is>
      </c>
      <c r="F36" t="inlineStr">
        <is>
          <t>x</t>
        </is>
      </c>
    </row>
    <row r="37" ht="18" customHeight="1">
      <c r="D37" t="inlineStr">
        <is>
          <t>x</t>
        </is>
      </c>
      <c r="E37" t="inlineStr">
        <is>
          <t>x</t>
        </is>
      </c>
      <c r="F37" t="inlineStr">
        <is>
          <t>x</t>
        </is>
      </c>
    </row>
    <row r="38" ht="18" customHeight="1">
      <c r="D38" t="inlineStr">
        <is>
          <t>x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</row>
    <row r="39" ht="18" customHeight="1"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</row>
    <row r="40" ht="18" customHeight="1"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</row>
    <row r="41" ht="18" customHeight="1">
      <c r="D41" t="inlineStr">
        <is>
          <t>x</t>
        </is>
      </c>
      <c r="E41" t="inlineStr">
        <is>
          <t>x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</row>
    <row r="42" ht="18" customHeight="1">
      <c r="H42" t="inlineStr">
        <is>
          <t>x</t>
        </is>
      </c>
    </row>
    <row r="43" ht="18" customHeight="1">
      <c r="D43" t="inlineStr">
        <is>
          <t>x</t>
        </is>
      </c>
      <c r="E43" t="inlineStr">
        <is>
          <t>x</t>
        </is>
      </c>
      <c r="F43" t="inlineStr">
        <is>
          <t>x</t>
        </is>
      </c>
    </row>
    <row r="44" ht="18" customHeight="1">
      <c r="D44" t="inlineStr">
        <is>
          <t>x</t>
        </is>
      </c>
      <c r="E44" t="inlineStr">
        <is>
          <t>x</t>
        </is>
      </c>
      <c r="F44" t="inlineStr">
        <is>
          <t>x</t>
        </is>
      </c>
    </row>
    <row r="45" ht="18" customHeight="1">
      <c r="D45" t="inlineStr">
        <is>
          <t>x</t>
        </is>
      </c>
      <c r="E45" t="inlineStr">
        <is>
          <t>x</t>
        </is>
      </c>
      <c r="F45" t="inlineStr">
        <is>
          <t>x</t>
        </is>
      </c>
    </row>
    <row r="46" ht="18" customHeight="1"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</row>
    <row r="47" ht="18" customHeight="1"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</row>
    <row r="48" ht="18" customHeight="1">
      <c r="D48" t="inlineStr">
        <is>
          <t>x</t>
        </is>
      </c>
      <c r="E48" t="inlineStr">
        <is>
          <t>x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</row>
    <row r="49" ht="18" customHeight="1"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</row>
    <row r="50" ht="18" customHeight="1">
      <c r="H50" t="inlineStr">
        <is>
          <t>x</t>
        </is>
      </c>
    </row>
    <row r="51" ht="18" customHeight="1">
      <c r="D51" t="inlineStr">
        <is>
          <t>x</t>
        </is>
      </c>
      <c r="E51" t="inlineStr">
        <is>
          <t>x</t>
        </is>
      </c>
      <c r="F51" t="inlineStr">
        <is>
          <t>x</t>
        </is>
      </c>
    </row>
    <row r="52" ht="18" customHeight="1">
      <c r="D52" t="inlineStr">
        <is>
          <t>x</t>
        </is>
      </c>
      <c r="E52" t="inlineStr">
        <is>
          <t>x</t>
        </is>
      </c>
      <c r="F52" t="inlineStr">
        <is>
          <t>x</t>
        </is>
      </c>
    </row>
    <row r="53" ht="18" customHeight="1">
      <c r="D53" t="inlineStr">
        <is>
          <t>x</t>
        </is>
      </c>
      <c r="E53" t="inlineStr">
        <is>
          <t>x</t>
        </is>
      </c>
      <c r="F53" t="inlineStr">
        <is>
          <t>x</t>
        </is>
      </c>
    </row>
    <row r="54" ht="18" customHeight="1"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</row>
    <row r="55" ht="18" customHeight="1">
      <c r="D55" t="inlineStr">
        <is>
          <t>x</t>
        </is>
      </c>
      <c r="E55" t="inlineStr">
        <is>
          <t>x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</row>
    <row r="56" ht="18" customHeight="1"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</row>
    <row r="57" ht="18" customHeight="1"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</row>
    <row r="58" ht="18" customHeight="1">
      <c r="H58" t="inlineStr">
        <is>
          <t>x</t>
        </is>
      </c>
    </row>
    <row r="59" ht="18" customHeight="1">
      <c r="D59" t="inlineStr">
        <is>
          <t>x</t>
        </is>
      </c>
      <c r="E59" t="inlineStr">
        <is>
          <t>x</t>
        </is>
      </c>
      <c r="F59" t="inlineStr">
        <is>
          <t>x</t>
        </is>
      </c>
    </row>
    <row r="60" ht="18" customHeight="1">
      <c r="D60" t="inlineStr">
        <is>
          <t>x</t>
        </is>
      </c>
      <c r="E60" t="inlineStr">
        <is>
          <t>x</t>
        </is>
      </c>
      <c r="F60" t="inlineStr">
        <is>
          <t>x</t>
        </is>
      </c>
    </row>
    <row r="61" ht="18" customHeight="1">
      <c r="D61" t="inlineStr">
        <is>
          <t>x</t>
        </is>
      </c>
      <c r="E61" t="inlineStr">
        <is>
          <t>x</t>
        </is>
      </c>
      <c r="F61" t="inlineStr">
        <is>
          <t>x</t>
        </is>
      </c>
    </row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J73"/>
  <sheetViews>
    <sheetView tabSelected="1" zoomScaleNormal="100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10" customWidth="1" min="1" max="1"/>
    <col width="8" customWidth="1" min="2" max="3"/>
    <col width="11" customWidth="1" min="3" max="3"/>
    <col width="38" customWidth="1" min="4" max="10"/>
    <col width="38" customWidth="1" min="5" max="5"/>
    <col width="38" customWidth="1" min="6" max="6"/>
    <col width="38" customWidth="1" min="7" max="7"/>
    <col width="38" customWidth="1" min="8" max="8"/>
    <col width="8" customWidth="1" min="9" max="9"/>
    <col width="11" customWidth="1" min="10" max="10"/>
  </cols>
  <sheetData>
    <row r="1" ht="18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18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35" t="inlineStr">
        <is>
          <t>Hoạt động trải nghiệm, hướng nghiệp</t>
        </is>
      </c>
      <c r="E2" s="35" t="inlineStr">
        <is>
          <t>Ngữ văn</t>
        </is>
      </c>
      <c r="F2" s="35" t="inlineStr">
        <is>
          <t>Tin học</t>
        </is>
      </c>
      <c r="G2" s="35" t="inlineStr">
        <is>
          <t>Lịch sử và Địa Lý (Địa lý)</t>
        </is>
      </c>
      <c r="H2" s="35" t="inlineStr">
        <is>
          <t>Ngoại ngữ</t>
        </is>
      </c>
      <c r="I2" s="35" t="n"/>
      <c r="J2" s="35" t="n"/>
    </row>
    <row r="3" ht="18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35" t="inlineStr">
        <is>
          <t>Ngoại ngữ</t>
        </is>
      </c>
      <c r="E3" s="35" t="inlineStr">
        <is>
          <t>Nghệ thuật (Mỹ thuật)</t>
        </is>
      </c>
      <c r="F3" s="35" t="inlineStr">
        <is>
          <t>Lịch sử và Địa Lý (Địa lý)</t>
        </is>
      </c>
      <c r="G3" s="35" t="inlineStr">
        <is>
          <t>Giáo dục thể chất</t>
        </is>
      </c>
      <c r="H3" s="35" t="inlineStr">
        <is>
          <t>Toán học</t>
        </is>
      </c>
      <c r="I3" s="35" t="n"/>
      <c r="J3" s="35" t="n"/>
    </row>
    <row r="4" ht="18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35" t="inlineStr">
        <is>
          <t>Toán học</t>
        </is>
      </c>
      <c r="E4" s="35" t="inlineStr">
        <is>
          <t>Toán học</t>
        </is>
      </c>
      <c r="F4" s="35" t="inlineStr">
        <is>
          <t>Khoa học tự nhiên (Hóa học)</t>
        </is>
      </c>
      <c r="G4" s="35" t="inlineStr">
        <is>
          <t>Ngữ văn</t>
        </is>
      </c>
      <c r="H4" s="35" t="inlineStr">
        <is>
          <t>Ngữ văn</t>
        </is>
      </c>
      <c r="I4" s="35" t="n"/>
      <c r="J4" s="35" t="n"/>
    </row>
    <row r="5" ht="18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35" t="inlineStr">
        <is>
          <t>Giáo dục thể chất</t>
        </is>
      </c>
      <c r="E5" s="35" t="inlineStr">
        <is>
          <t>GDCD</t>
        </is>
      </c>
      <c r="F5" s="35" t="inlineStr">
        <is>
          <t>Ngữ văn</t>
        </is>
      </c>
      <c r="G5" s="35" t="inlineStr">
        <is>
          <t>Toán học</t>
        </is>
      </c>
      <c r="H5" s="35" t="inlineStr">
        <is>
          <t>Hoạt động trải nghiệm, hướng nghiệp</t>
        </is>
      </c>
      <c r="I5" s="35" t="n"/>
      <c r="J5" s="35" t="n"/>
    </row>
    <row r="6" ht="18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35" t="inlineStr">
        <is>
          <t>Lịch sử và Địa Lý (Lịch sử)</t>
        </is>
      </c>
      <c r="E6" s="35" t="inlineStr">
        <is>
          <t>Nghệ thuật (Âm nhạc)</t>
        </is>
      </c>
      <c r="F6" s="35" t="inlineStr">
        <is>
          <t>Ngoại ngữ</t>
        </is>
      </c>
      <c r="G6" s="35" t="n"/>
      <c r="H6" s="35" t="n"/>
      <c r="I6" s="35" t="n"/>
      <c r="J6" s="35" t="n"/>
    </row>
    <row r="7" ht="18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35" t="inlineStr">
        <is>
          <t>Khoa học tự nhiên (Hóa học)</t>
        </is>
      </c>
      <c r="E7" s="35" t="inlineStr">
        <is>
          <t>Nội dung giáo dục của địa phương</t>
        </is>
      </c>
      <c r="F7" s="35" t="inlineStr">
        <is>
          <t>Khoa học tự nhiên (Hóa học)</t>
        </is>
      </c>
      <c r="G7" s="35" t="n"/>
      <c r="H7" s="35" t="n"/>
      <c r="I7" s="35" t="n"/>
      <c r="J7" s="35" t="n"/>
    </row>
    <row r="8" ht="18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35" t="inlineStr">
        <is>
          <t>Công nghệ</t>
        </is>
      </c>
      <c r="E8" s="35" t="inlineStr">
        <is>
          <t>Khoa học tự nhiên (Hóa học)</t>
        </is>
      </c>
      <c r="F8" s="35" t="inlineStr">
        <is>
          <t>Hoạt động trải nghiệm, hướng nghiệp</t>
        </is>
      </c>
      <c r="G8" s="35" t="n"/>
      <c r="H8" s="35" t="n"/>
      <c r="I8" s="35" t="n"/>
      <c r="J8" s="35" t="n"/>
    </row>
    <row r="9" ht="18" customHeight="1">
      <c r="A9" s="30" t="inlineStr">
        <is>
          <t>6A6</t>
        </is>
      </c>
      <c r="B9" s="30" t="inlineStr">
        <is>
          <t>S</t>
        </is>
      </c>
      <c r="C9" s="30" t="n">
        <v>1</v>
      </c>
      <c r="D9" s="35" t="inlineStr">
        <is>
          <t>Hoạt động trải nghiệm, hướng nghiệp</t>
        </is>
      </c>
      <c r="E9" s="35" t="inlineStr">
        <is>
          <t>Ngoại ngữ</t>
        </is>
      </c>
      <c r="F9" s="35" t="inlineStr">
        <is>
          <t>Ngoại ngữ</t>
        </is>
      </c>
      <c r="G9" s="35" t="inlineStr">
        <is>
          <t>Ngữ văn</t>
        </is>
      </c>
      <c r="H9" s="35" t="inlineStr">
        <is>
          <t>Toán học</t>
        </is>
      </c>
      <c r="I9" s="35" t="n"/>
      <c r="J9" s="35" t="n"/>
    </row>
    <row r="10" ht="18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7" t="inlineStr">
        <is>
          <t>Ngữ văn</t>
        </is>
      </c>
      <c r="E10" s="37" t="inlineStr">
        <is>
          <t>Giáo dục thể chất</t>
        </is>
      </c>
      <c r="F10" s="37" t="inlineStr">
        <is>
          <t>Ngữ văn</t>
        </is>
      </c>
      <c r="G10" s="37" t="inlineStr">
        <is>
          <t>Toán học</t>
        </is>
      </c>
      <c r="H10" s="37" t="inlineStr">
        <is>
          <t>Khoa học tự nhiên (Hóa học)</t>
        </is>
      </c>
      <c r="I10" s="37" t="n"/>
      <c r="J10" s="37" t="n"/>
    </row>
    <row r="11" ht="18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7" t="inlineStr">
        <is>
          <t>Ngoại ngữ</t>
        </is>
      </c>
      <c r="E11" s="37" t="inlineStr">
        <is>
          <t>Ngữ văn</t>
        </is>
      </c>
      <c r="F11" s="37" t="inlineStr">
        <is>
          <t>GDCD</t>
        </is>
      </c>
      <c r="G11" s="37" t="inlineStr">
        <is>
          <t>Khoa học tự nhiên (Hóa học)</t>
        </is>
      </c>
      <c r="H11" s="37" t="inlineStr">
        <is>
          <t>Giáo dục thể chất</t>
        </is>
      </c>
      <c r="I11" s="37" t="n"/>
      <c r="J11" s="37" t="n"/>
    </row>
    <row r="12" ht="18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7" t="inlineStr">
        <is>
          <t>Toán học</t>
        </is>
      </c>
      <c r="E12" s="37" t="inlineStr">
        <is>
          <t>Toán học</t>
        </is>
      </c>
      <c r="F12" s="37" t="inlineStr">
        <is>
          <t>Tin học</t>
        </is>
      </c>
      <c r="G12" s="37" t="inlineStr">
        <is>
          <t>Nghệ thuật (Mỹ thuật)</t>
        </is>
      </c>
      <c r="H12" s="37" t="inlineStr">
        <is>
          <t>Hoạt động trải nghiệm, hướng nghiệp</t>
        </is>
      </c>
      <c r="I12" s="37" t="n"/>
      <c r="J12" s="37" t="n"/>
    </row>
    <row r="13" ht="18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7" t="inlineStr">
        <is>
          <t>Công nghệ</t>
        </is>
      </c>
      <c r="E13" s="37" t="inlineStr">
        <is>
          <t>Nội dung giáo dục của địa phương</t>
        </is>
      </c>
      <c r="F13" s="37" t="inlineStr">
        <is>
          <t>Nghệ thuật (Âm nhạc)</t>
        </is>
      </c>
      <c r="G13" s="37" t="n"/>
      <c r="H13" s="37" t="n"/>
      <c r="I13" s="37" t="n"/>
      <c r="J13" s="37" t="n"/>
    </row>
    <row r="14" ht="18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7" t="inlineStr">
        <is>
          <t>Lịch sử và Địa Lý (Lịch sử)</t>
        </is>
      </c>
      <c r="E14" s="37" t="inlineStr">
        <is>
          <t>Khoa học tự nhiên (Hóa học)</t>
        </is>
      </c>
      <c r="F14" s="37" t="inlineStr">
        <is>
          <t>Lịch sử và Địa Lý (Địa lý)</t>
        </is>
      </c>
      <c r="G14" s="37" t="n"/>
      <c r="H14" s="37" t="n"/>
      <c r="I14" s="37" t="n"/>
      <c r="J14" s="37" t="n"/>
    </row>
    <row r="15" ht="18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7" t="inlineStr">
        <is>
          <t>Lịch sử và Địa Lý (Địa lý)</t>
        </is>
      </c>
      <c r="E15" s="37" t="inlineStr">
        <is>
          <t>Hoạt động trải nghiệm, hướng nghiệp</t>
        </is>
      </c>
      <c r="F15" s="37" t="inlineStr">
        <is>
          <t>Khoa học tự nhiên (Hóa học)</t>
        </is>
      </c>
      <c r="G15" s="37" t="n"/>
      <c r="H15" s="37" t="n"/>
      <c r="I15" s="37" t="n"/>
      <c r="J15" s="37" t="n"/>
    </row>
    <row r="16" ht="18" customHeight="1">
      <c r="A16" s="36" t="inlineStr">
        <is>
          <t>7A4</t>
        </is>
      </c>
      <c r="B16" s="36" t="inlineStr">
        <is>
          <t>S</t>
        </is>
      </c>
      <c r="C16" s="36" t="n">
        <v>1</v>
      </c>
      <c r="D16" s="37" t="inlineStr">
        <is>
          <t>Hoạt động trải nghiệm, hướng nghiệp</t>
        </is>
      </c>
      <c r="E16" s="37" t="inlineStr">
        <is>
          <t>Lịch sử và Địa Lý (Địa lý)</t>
        </is>
      </c>
      <c r="F16" s="37" t="inlineStr">
        <is>
          <t>Toán học</t>
        </is>
      </c>
      <c r="G16" s="37" t="inlineStr">
        <is>
          <t>Tin học</t>
        </is>
      </c>
      <c r="H16" s="37" t="inlineStr">
        <is>
          <t>Công nghệ</t>
        </is>
      </c>
      <c r="I16" s="37" t="n"/>
      <c r="J16" s="37" t="n"/>
    </row>
    <row r="17" ht="18" customHeight="1">
      <c r="A17" s="36" t="inlineStr">
        <is>
          <t>7A4</t>
        </is>
      </c>
      <c r="B17" s="36" t="inlineStr">
        <is>
          <t>S</t>
        </is>
      </c>
      <c r="C17" s="36" t="n">
        <v>2</v>
      </c>
      <c r="D17" s="37" t="inlineStr">
        <is>
          <t>Giáo dục thể chất</t>
        </is>
      </c>
      <c r="E17" s="37" t="inlineStr">
        <is>
          <t>Ngữ văn</t>
        </is>
      </c>
      <c r="F17" s="37" t="inlineStr">
        <is>
          <t>Khoa học tự nhiên (Vật lý)</t>
        </is>
      </c>
      <c r="G17" s="37" t="inlineStr">
        <is>
          <t>Toán học</t>
        </is>
      </c>
      <c r="H17" s="37" t="inlineStr">
        <is>
          <t>Ngữ văn</t>
        </is>
      </c>
      <c r="I17" s="37" t="n"/>
      <c r="J17" s="37" t="n"/>
    </row>
    <row r="18" ht="18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35" t="inlineStr">
        <is>
          <t>Ngữ văn</t>
        </is>
      </c>
      <c r="E18" s="35" t="inlineStr">
        <is>
          <t>Toán học</t>
        </is>
      </c>
      <c r="F18" s="35" t="inlineStr">
        <is>
          <t>Lịch sử và Địa Lý (Lịch sử)</t>
        </is>
      </c>
      <c r="G18" s="35" t="inlineStr">
        <is>
          <t>Giáo dục thể chất</t>
        </is>
      </c>
      <c r="H18" s="35" t="inlineStr">
        <is>
          <t>Toán học</t>
        </is>
      </c>
      <c r="I18" s="35" t="n"/>
      <c r="J18" s="35" t="n"/>
    </row>
    <row r="19" ht="18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35" t="inlineStr">
        <is>
          <t>Ngoại ngữ</t>
        </is>
      </c>
      <c r="E19" s="35" t="inlineStr">
        <is>
          <t>Ngoại ngữ</t>
        </is>
      </c>
      <c r="F19" s="35" t="inlineStr">
        <is>
          <t>Hoạt động trải nghiệm, hướng nghiệp</t>
        </is>
      </c>
      <c r="G19" s="35" t="inlineStr">
        <is>
          <t>Ngữ văn</t>
        </is>
      </c>
      <c r="H19" s="35" t="inlineStr">
        <is>
          <t>Hoạt động trải nghiệm, hướng nghiệp</t>
        </is>
      </c>
      <c r="I19" s="35" t="n"/>
      <c r="J19" s="35" t="n"/>
    </row>
    <row r="20" ht="18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35" t="inlineStr">
        <is>
          <t>Nghệ thuật (Mỹ thuật)</t>
        </is>
      </c>
      <c r="E20" s="35" t="inlineStr">
        <is>
          <t>Khoa học tự nhiên (Hóa học)</t>
        </is>
      </c>
      <c r="F20" s="35" t="inlineStr">
        <is>
          <t>Ngoại ngữ</t>
        </is>
      </c>
      <c r="G20" s="35" t="n"/>
      <c r="H20" s="35" t="n"/>
      <c r="I20" s="35" t="n"/>
      <c r="J20" s="35" t="n"/>
    </row>
    <row r="21" ht="18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35" t="inlineStr">
        <is>
          <t>Khoa học tự nhiên (Sinh học)</t>
        </is>
      </c>
      <c r="E21" s="35" t="inlineStr">
        <is>
          <t>Nghệ thuật (Âm nhạc)</t>
        </is>
      </c>
      <c r="F21" s="35" t="inlineStr">
        <is>
          <t>Khoa học tự nhiên (Sinh học)</t>
        </is>
      </c>
      <c r="G21" s="35" t="n"/>
      <c r="H21" s="35" t="n"/>
      <c r="I21" s="35" t="n"/>
      <c r="J21" s="35" t="n"/>
    </row>
    <row r="22" ht="18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35" t="inlineStr">
        <is>
          <t>Nội dung giáo dục của địa phương</t>
        </is>
      </c>
      <c r="E22" s="35" t="inlineStr">
        <is>
          <t>Lịch sử và Địa Lý (Lịch sử)</t>
        </is>
      </c>
      <c r="F22" s="35" t="inlineStr">
        <is>
          <t>GDCD</t>
        </is>
      </c>
      <c r="G22" s="35" t="n"/>
      <c r="H22" s="35" t="n"/>
      <c r="I22" s="35" t="n"/>
      <c r="J22" s="35" t="n"/>
    </row>
    <row r="23" ht="18" customHeight="1">
      <c r="A23" s="30" t="inlineStr">
        <is>
          <t>7A5</t>
        </is>
      </c>
      <c r="B23" s="30" t="inlineStr">
        <is>
          <t>S</t>
        </is>
      </c>
      <c r="C23" s="30" t="n">
        <v>1</v>
      </c>
      <c r="D23" s="35" t="inlineStr">
        <is>
          <t>Hoạt động trải nghiệm, hướng nghiệp</t>
        </is>
      </c>
      <c r="E23" s="35" t="inlineStr">
        <is>
          <t>Giáo dục thể chất</t>
        </is>
      </c>
      <c r="F23" s="35" t="inlineStr">
        <is>
          <t>Ngữ văn</t>
        </is>
      </c>
      <c r="G23" s="35" t="inlineStr">
        <is>
          <t>Ngoại ngữ</t>
        </is>
      </c>
      <c r="H23" s="35" t="inlineStr">
        <is>
          <t>Nghệ thuật (Âm nhạc)</t>
        </is>
      </c>
      <c r="I23" s="35" t="n"/>
      <c r="J23" s="35" t="n"/>
    </row>
    <row r="24" ht="18" customHeight="1">
      <c r="A24" s="30" t="inlineStr">
        <is>
          <t>7A5</t>
        </is>
      </c>
      <c r="B24" s="30" t="inlineStr">
        <is>
          <t>S</t>
        </is>
      </c>
      <c r="C24" s="30" t="n">
        <v>2</v>
      </c>
      <c r="D24" s="35" t="inlineStr">
        <is>
          <t>Ngữ văn</t>
        </is>
      </c>
      <c r="E24" s="35" t="inlineStr">
        <is>
          <t>Ngoại ngữ</t>
        </is>
      </c>
      <c r="F24" s="35" t="inlineStr">
        <is>
          <t>Toán học</t>
        </is>
      </c>
      <c r="G24" s="35" t="inlineStr">
        <is>
          <t>Ngữ văn</t>
        </is>
      </c>
      <c r="H24" s="35" t="inlineStr">
        <is>
          <t>Toán học</t>
        </is>
      </c>
      <c r="I24" s="35" t="n"/>
      <c r="J24" s="35" t="n"/>
    </row>
    <row r="25" ht="18" customHeight="1">
      <c r="A25" s="30" t="inlineStr">
        <is>
          <t>7A5</t>
        </is>
      </c>
      <c r="B25" s="30" t="inlineStr">
        <is>
          <t>S</t>
        </is>
      </c>
      <c r="C25" s="30" t="n">
        <v>3</v>
      </c>
      <c r="D25" s="35" t="inlineStr">
        <is>
          <t>Toán học</t>
        </is>
      </c>
      <c r="E25" s="35" t="inlineStr">
        <is>
          <t>Ngữ văn</t>
        </is>
      </c>
      <c r="F25" s="35" t="inlineStr">
        <is>
          <t>Khoa học tự nhiên (Vật lý)</t>
        </is>
      </c>
      <c r="G25" s="35" t="inlineStr">
        <is>
          <t>Toán học</t>
        </is>
      </c>
      <c r="H25" s="35" t="inlineStr">
        <is>
          <t>Nội dung giáo dục của địa phương</t>
        </is>
      </c>
      <c r="I25" s="35" t="n"/>
      <c r="J25" s="35" t="n"/>
    </row>
    <row r="26" ht="18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7" t="inlineStr">
        <is>
          <t>Lịch sử và Địa Lý (Lịch sử)</t>
        </is>
      </c>
      <c r="E26" s="37" t="inlineStr">
        <is>
          <t>GDCD</t>
        </is>
      </c>
      <c r="F26" s="37" t="inlineStr">
        <is>
          <t>Tin học</t>
        </is>
      </c>
      <c r="G26" s="37" t="inlineStr">
        <is>
          <t>Giáo dục thể chất</t>
        </is>
      </c>
      <c r="H26" s="37" t="inlineStr">
        <is>
          <t>Hoạt động trải nghiệm, hướng nghiệp</t>
        </is>
      </c>
      <c r="I26" s="37" t="n"/>
      <c r="J26" s="37" t="n"/>
    </row>
    <row r="27" ht="18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7" t="inlineStr">
        <is>
          <t>Khoa học tự nhiên (Sinh học)</t>
        </is>
      </c>
      <c r="E27" s="37" t="inlineStr">
        <is>
          <t>Công nghệ</t>
        </is>
      </c>
      <c r="F27" s="37" t="inlineStr">
        <is>
          <t>Khoa học tự nhiên (Sinh học)</t>
        </is>
      </c>
      <c r="G27" s="37" t="n"/>
      <c r="H27" s="37" t="n"/>
      <c r="I27" s="37" t="n"/>
      <c r="J27" s="37" t="n"/>
    </row>
    <row r="28" ht="18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7" t="inlineStr">
        <is>
          <t>Lịch sử và Địa Lý (Địa lý)</t>
        </is>
      </c>
      <c r="E28" s="37" t="inlineStr">
        <is>
          <t>Lịch sử và Địa Lý (Lịch sử)</t>
        </is>
      </c>
      <c r="F28" s="37" t="inlineStr">
        <is>
          <t>Nghệ thuật (Mỹ thuật)</t>
        </is>
      </c>
      <c r="G28" s="37" t="n"/>
      <c r="H28" s="37" t="n"/>
      <c r="I28" s="37" t="n"/>
      <c r="J28" s="37" t="n"/>
    </row>
    <row r="29" ht="18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7" t="inlineStr">
        <is>
          <t>Khoa học tự nhiên (Hóa học)</t>
        </is>
      </c>
      <c r="E29" s="37" t="inlineStr">
        <is>
          <t>Ngoại ngữ</t>
        </is>
      </c>
      <c r="F29" s="37" t="inlineStr">
        <is>
          <t>Hoạt động trải nghiệm, hướng nghiệp</t>
        </is>
      </c>
      <c r="G29" s="37" t="n"/>
      <c r="H29" s="37" t="n"/>
      <c r="I29" s="37" t="n"/>
      <c r="J29" s="37" t="n"/>
    </row>
    <row r="30" ht="18" customHeight="1">
      <c r="A30" s="36" t="inlineStr">
        <is>
          <t>8A5</t>
        </is>
      </c>
      <c r="B30" s="36" t="inlineStr">
        <is>
          <t>S</t>
        </is>
      </c>
      <c r="C30" s="36" t="n">
        <v>1</v>
      </c>
      <c r="D30" s="37" t="inlineStr">
        <is>
          <t>Hoạt động trải nghiệm, hướng nghiệp</t>
        </is>
      </c>
      <c r="E30" s="37" t="inlineStr">
        <is>
          <t>Khoa học tự nhiên (Hóa học)</t>
        </is>
      </c>
      <c r="F30" s="37" t="inlineStr">
        <is>
          <t>Ngữ văn</t>
        </is>
      </c>
      <c r="G30" s="37" t="inlineStr">
        <is>
          <t>Toán học</t>
        </is>
      </c>
      <c r="H30" s="37" t="inlineStr">
        <is>
          <t>Lịch sử và Địa Lý (Địa lý)</t>
        </is>
      </c>
      <c r="I30" s="37" t="n"/>
      <c r="J30" s="37" t="n"/>
    </row>
    <row r="31" ht="18" customHeight="1">
      <c r="A31" s="36" t="inlineStr">
        <is>
          <t>8A5</t>
        </is>
      </c>
      <c r="B31" s="36" t="inlineStr">
        <is>
          <t>S</t>
        </is>
      </c>
      <c r="C31" s="36" t="n">
        <v>2</v>
      </c>
      <c r="D31" s="37" t="inlineStr">
        <is>
          <t>Toán học</t>
        </is>
      </c>
      <c r="E31" s="37" t="inlineStr">
        <is>
          <t>Ngữ văn</t>
        </is>
      </c>
      <c r="F31" s="37" t="inlineStr">
        <is>
          <t>Khoa học tự nhiên (Hóa học)</t>
        </is>
      </c>
      <c r="G31" s="37" t="inlineStr">
        <is>
          <t>Hoạt động trải nghiệm, hướng nghiệp</t>
        </is>
      </c>
      <c r="H31" s="37" t="inlineStr">
        <is>
          <t>Toán học</t>
        </is>
      </c>
      <c r="I31" s="37" t="n"/>
      <c r="J31" s="37" t="n"/>
    </row>
    <row r="32" ht="18" customHeight="1">
      <c r="A32" s="36" t="inlineStr">
        <is>
          <t>8A5</t>
        </is>
      </c>
      <c r="B32" s="36" t="inlineStr">
        <is>
          <t>S</t>
        </is>
      </c>
      <c r="C32" s="36" t="n">
        <v>3</v>
      </c>
      <c r="D32" s="37" t="inlineStr">
        <is>
          <t>Giáo dục thể chất</t>
        </is>
      </c>
      <c r="E32" s="37" t="inlineStr">
        <is>
          <t>Toán học</t>
        </is>
      </c>
      <c r="F32" s="37" t="inlineStr">
        <is>
          <t>Nội dung giáo dục của địa phương</t>
        </is>
      </c>
      <c r="G32" s="37" t="inlineStr">
        <is>
          <t>Ngoại ngữ</t>
        </is>
      </c>
      <c r="H32" s="37" t="inlineStr">
        <is>
          <t>Công nghệ</t>
        </is>
      </c>
      <c r="I32" s="37" t="n"/>
      <c r="J32" s="37" t="n"/>
    </row>
    <row r="33" ht="18" customHeight="1">
      <c r="A33" s="36" t="inlineStr">
        <is>
          <t>8A5</t>
        </is>
      </c>
      <c r="B33" s="36" t="inlineStr">
        <is>
          <t>S</t>
        </is>
      </c>
      <c r="C33" s="36" t="n">
        <v>4</v>
      </c>
      <c r="D33" s="37" t="inlineStr">
        <is>
          <t>Ngữ văn</t>
        </is>
      </c>
      <c r="E33" s="37" t="inlineStr">
        <is>
          <t>Lịch sử và Địa Lý (Địa lý)</t>
        </is>
      </c>
      <c r="F33" s="37" t="inlineStr">
        <is>
          <t>Lịch sử và Địa Lý (Lịch sử)</t>
        </is>
      </c>
      <c r="G33" s="37" t="inlineStr">
        <is>
          <t>Khoa học tự nhiên (Hóa học)</t>
        </is>
      </c>
      <c r="H33" s="37" t="inlineStr">
        <is>
          <t>Ngữ văn</t>
        </is>
      </c>
      <c r="I33" s="37" t="n"/>
      <c r="J33" s="37" t="n"/>
    </row>
    <row r="34" ht="18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35" t="n"/>
      <c r="E34" s="35" t="n"/>
      <c r="F34" s="35" t="n"/>
      <c r="G34" s="35" t="n"/>
      <c r="H34" s="35" t="inlineStr">
        <is>
          <t>Hoạt động trải nghiệm, hướng nghiệp</t>
        </is>
      </c>
      <c r="I34" s="35" t="n"/>
      <c r="J34" s="35" t="n"/>
    </row>
    <row r="35" ht="18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35" t="inlineStr">
        <is>
          <t>Công nghệ</t>
        </is>
      </c>
      <c r="E35" s="35" t="inlineStr">
        <is>
          <t>Ngoại ngữ</t>
        </is>
      </c>
      <c r="F35" s="35" t="inlineStr">
        <is>
          <t>Tin học</t>
        </is>
      </c>
      <c r="G35" s="35" t="n"/>
      <c r="H35" s="35" t="n"/>
      <c r="I35" s="35" t="n"/>
      <c r="J35" s="35" t="n"/>
    </row>
    <row r="36" ht="18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35" t="inlineStr">
        <is>
          <t>Nghệ thuật (Âm nhạc)</t>
        </is>
      </c>
      <c r="E36" s="35" t="inlineStr">
        <is>
          <t>GDCD</t>
        </is>
      </c>
      <c r="F36" s="35" t="inlineStr">
        <is>
          <t>Ngoại ngữ</t>
        </is>
      </c>
      <c r="G36" s="35" t="n"/>
      <c r="H36" s="35" t="n"/>
      <c r="I36" s="35" t="n"/>
      <c r="J36" s="35" t="n"/>
    </row>
    <row r="37" ht="18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35" t="inlineStr">
        <is>
          <t>Nghệ thuật (Mỹ thuật)</t>
        </is>
      </c>
      <c r="E37" s="35" t="inlineStr">
        <is>
          <t>Khoa học tự nhiên (Vật lý)</t>
        </is>
      </c>
      <c r="F37" s="35" t="inlineStr">
        <is>
          <t>Giáo dục thể chất</t>
        </is>
      </c>
      <c r="G37" s="35" t="n"/>
      <c r="H37" s="35" t="n"/>
      <c r="I37" s="35" t="n"/>
      <c r="J37" s="35" t="n"/>
    </row>
    <row r="38" ht="18" customHeight="1">
      <c r="A38" s="30" t="inlineStr">
        <is>
          <t>8A6</t>
        </is>
      </c>
      <c r="B38" s="30" t="inlineStr">
        <is>
          <t>S</t>
        </is>
      </c>
      <c r="C38" s="30" t="n">
        <v>1</v>
      </c>
      <c r="D38" s="35" t="inlineStr">
        <is>
          <t>Hoạt động trải nghiệm, hướng nghiệp</t>
        </is>
      </c>
      <c r="E38" s="35" t="inlineStr">
        <is>
          <t>Toán học</t>
        </is>
      </c>
      <c r="F38" s="35" t="inlineStr">
        <is>
          <t>Khoa học tự nhiên (Hóa học)</t>
        </is>
      </c>
      <c r="G38" s="35" t="inlineStr">
        <is>
          <t>Giáo dục thể chất</t>
        </is>
      </c>
      <c r="H38" s="35" t="inlineStr">
        <is>
          <t>Ngữ văn</t>
        </is>
      </c>
      <c r="I38" s="35" t="n"/>
      <c r="J38" s="35" t="n"/>
    </row>
    <row r="39" ht="18" customHeight="1">
      <c r="A39" s="30" t="inlineStr">
        <is>
          <t>8A6</t>
        </is>
      </c>
      <c r="B39" s="30" t="inlineStr">
        <is>
          <t>S</t>
        </is>
      </c>
      <c r="C39" s="30" t="n">
        <v>2</v>
      </c>
      <c r="D39" s="35" t="inlineStr">
        <is>
          <t>Ngữ văn</t>
        </is>
      </c>
      <c r="E39" s="35" t="inlineStr">
        <is>
          <t>Khoa học tự nhiên (Hóa học)</t>
        </is>
      </c>
      <c r="F39" s="35" t="inlineStr">
        <is>
          <t>Toán học</t>
        </is>
      </c>
      <c r="G39" s="35" t="inlineStr">
        <is>
          <t>Nghệ thuật (Âm nhạc)</t>
        </is>
      </c>
      <c r="H39" s="35" t="inlineStr">
        <is>
          <t>Khoa học tự nhiên (Hóa học)</t>
        </is>
      </c>
      <c r="I39" s="35" t="n"/>
      <c r="J39" s="35" t="n"/>
    </row>
    <row r="40" ht="18" customHeight="1">
      <c r="A40" s="30" t="inlineStr">
        <is>
          <t>8A6</t>
        </is>
      </c>
      <c r="B40" s="30" t="inlineStr">
        <is>
          <t>S</t>
        </is>
      </c>
      <c r="C40" s="30" t="n">
        <v>3</v>
      </c>
      <c r="D40" s="35" t="inlineStr">
        <is>
          <t>Nghệ thuật (Mỹ thuật)</t>
        </is>
      </c>
      <c r="E40" s="35" t="inlineStr">
        <is>
          <t>Ngữ văn</t>
        </is>
      </c>
      <c r="F40" s="35" t="inlineStr">
        <is>
          <t>Ngữ văn</t>
        </is>
      </c>
      <c r="G40" s="35" t="inlineStr">
        <is>
          <t>Toán học</t>
        </is>
      </c>
      <c r="H40" s="35" t="inlineStr">
        <is>
          <t>Nội dung giáo dục của địa phương</t>
        </is>
      </c>
      <c r="I40" s="35" t="n"/>
      <c r="J40" s="35" t="n"/>
    </row>
    <row r="41" ht="18" customHeight="1">
      <c r="A41" s="30" t="inlineStr">
        <is>
          <t>8A6</t>
        </is>
      </c>
      <c r="B41" s="30" t="inlineStr">
        <is>
          <t>S</t>
        </is>
      </c>
      <c r="C41" s="30" t="n">
        <v>4</v>
      </c>
      <c r="D41" s="35" t="inlineStr">
        <is>
          <t>Toán học</t>
        </is>
      </c>
      <c r="E41" s="35" t="inlineStr">
        <is>
          <t>Giáo dục thể chất</t>
        </is>
      </c>
      <c r="F41" s="35" t="inlineStr">
        <is>
          <t>Ngoại ngữ</t>
        </is>
      </c>
      <c r="G41" s="35" t="inlineStr">
        <is>
          <t>Ngoại ngữ</t>
        </is>
      </c>
      <c r="H41" s="35" t="inlineStr">
        <is>
          <t>Lịch sử và Địa Lý (Địa lý)</t>
        </is>
      </c>
      <c r="I41" s="35" t="n"/>
      <c r="J41" s="35" t="n"/>
    </row>
    <row r="42" ht="18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7" t="n"/>
      <c r="E42" s="37" t="n"/>
      <c r="F42" s="37" t="n"/>
      <c r="G42" s="37" t="n"/>
      <c r="H42" s="37" t="inlineStr">
        <is>
          <t>Hoạt động trải nghiệm, hướng nghiệp</t>
        </is>
      </c>
      <c r="I42" s="37" t="n"/>
      <c r="J42" s="37" t="n"/>
    </row>
    <row r="43" ht="18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37" t="inlineStr">
        <is>
          <t>Lịch sử và Địa Lý (Địa lý)</t>
        </is>
      </c>
      <c r="E43" s="37" t="inlineStr">
        <is>
          <t>Khoa học tự nhiên (Vật lý)</t>
        </is>
      </c>
      <c r="F43" s="37" t="inlineStr">
        <is>
          <t>Công nghệ</t>
        </is>
      </c>
      <c r="G43" s="37" t="n"/>
      <c r="H43" s="37" t="n"/>
      <c r="I43" s="37" t="n"/>
      <c r="J43" s="37" t="n"/>
    </row>
    <row r="44" ht="18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37" t="inlineStr">
        <is>
          <t>Lịch sử và Địa Lý (Lịch sử)</t>
        </is>
      </c>
      <c r="E44" s="37" t="inlineStr">
        <is>
          <t>GDCD</t>
        </is>
      </c>
      <c r="F44" s="37" t="inlineStr">
        <is>
          <t>Tin học</t>
        </is>
      </c>
      <c r="G44" s="37" t="n"/>
      <c r="H44" s="37" t="n"/>
      <c r="I44" s="37" t="n"/>
      <c r="J44" s="37" t="n"/>
    </row>
    <row r="45" ht="18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37" t="inlineStr">
        <is>
          <t>Công nghệ</t>
        </is>
      </c>
      <c r="E45" s="37" t="inlineStr">
        <is>
          <t>Hoạt động trải nghiệm, hướng nghiệp</t>
        </is>
      </c>
      <c r="F45" s="37" t="inlineStr">
        <is>
          <t>Ngoại ngữ</t>
        </is>
      </c>
      <c r="G45" s="37" t="n"/>
      <c r="H45" s="37" t="n"/>
      <c r="I45" s="37" t="n"/>
      <c r="J45" s="37" t="n"/>
    </row>
    <row r="46" ht="18" customHeight="1">
      <c r="A46" s="36" t="inlineStr">
        <is>
          <t>9A5</t>
        </is>
      </c>
      <c r="B46" s="36" t="inlineStr">
        <is>
          <t>S</t>
        </is>
      </c>
      <c r="C46" s="36" t="n">
        <v>1</v>
      </c>
      <c r="D46" s="37" t="inlineStr">
        <is>
          <t>Hoạt động trải nghiệm, hướng nghiệp</t>
        </is>
      </c>
      <c r="E46" s="37" t="inlineStr">
        <is>
          <t>Lịch sử và Địa Lý (Lịch sử)</t>
        </is>
      </c>
      <c r="F46" s="37" t="inlineStr">
        <is>
          <t>Ngoại ngữ</t>
        </is>
      </c>
      <c r="G46" s="37" t="inlineStr">
        <is>
          <t>Nội dung giáo dục của địa phương</t>
        </is>
      </c>
      <c r="H46" s="37" t="inlineStr">
        <is>
          <t>Toán học</t>
        </is>
      </c>
      <c r="I46" s="37" t="n"/>
      <c r="J46" s="37" t="n"/>
    </row>
    <row r="47" ht="18" customHeight="1">
      <c r="A47" s="36" t="inlineStr">
        <is>
          <t>9A5</t>
        </is>
      </c>
      <c r="B47" s="36" t="inlineStr">
        <is>
          <t>S</t>
        </is>
      </c>
      <c r="C47" s="36" t="n">
        <v>2</v>
      </c>
      <c r="D47" s="37" t="inlineStr">
        <is>
          <t>Toán học</t>
        </is>
      </c>
      <c r="E47" s="37" t="inlineStr">
        <is>
          <t>Ngữ văn</t>
        </is>
      </c>
      <c r="F47" s="37" t="inlineStr">
        <is>
          <t>Toán học</t>
        </is>
      </c>
      <c r="G47" s="37" t="inlineStr">
        <is>
          <t>Toán học</t>
        </is>
      </c>
      <c r="H47" s="37" t="inlineStr">
        <is>
          <t>Giáo dục thể chất</t>
        </is>
      </c>
      <c r="I47" s="37" t="n"/>
      <c r="J47" s="37" t="n"/>
    </row>
    <row r="48" ht="18" customHeight="1">
      <c r="A48" s="36" t="inlineStr">
        <is>
          <t>9A5</t>
        </is>
      </c>
      <c r="B48" s="36" t="inlineStr">
        <is>
          <t>S</t>
        </is>
      </c>
      <c r="C48" s="36" t="n">
        <v>3</v>
      </c>
      <c r="D48" s="37" t="inlineStr">
        <is>
          <t>Ngữ văn</t>
        </is>
      </c>
      <c r="E48" s="37" t="inlineStr">
        <is>
          <t>Hoạt động trải nghiệm, hướng nghiệp</t>
        </is>
      </c>
      <c r="F48" s="37" t="inlineStr">
        <is>
          <t>Ngữ văn</t>
        </is>
      </c>
      <c r="G48" s="37" t="inlineStr">
        <is>
          <t>Khoa học tự nhiên (Hóa học)</t>
        </is>
      </c>
      <c r="H48" s="37" t="inlineStr">
        <is>
          <t>Ngữ văn</t>
        </is>
      </c>
      <c r="I48" s="37" t="n"/>
      <c r="J48" s="37" t="n"/>
    </row>
    <row r="49" ht="18" customHeight="1">
      <c r="A49" s="36" t="inlineStr">
        <is>
          <t>9A5</t>
        </is>
      </c>
      <c r="B49" s="36" t="inlineStr">
        <is>
          <t>S</t>
        </is>
      </c>
      <c r="C49" s="36" t="n">
        <v>4</v>
      </c>
      <c r="D49" s="37" t="inlineStr">
        <is>
          <t>Khoa học tự nhiên (Hóa học)</t>
        </is>
      </c>
      <c r="E49" s="37" t="inlineStr">
        <is>
          <t>Ngoại ngữ</t>
        </is>
      </c>
      <c r="F49" s="37" t="inlineStr">
        <is>
          <t>GDCD</t>
        </is>
      </c>
      <c r="G49" s="37" t="inlineStr">
        <is>
          <t>Khoa học tự nhiên (Sinh học)</t>
        </is>
      </c>
      <c r="H49" s="37" t="inlineStr">
        <is>
          <t>Khoa học tự nhiên (Hóa học)</t>
        </is>
      </c>
      <c r="I49" s="37" t="n"/>
      <c r="J49" s="37" t="n"/>
    </row>
    <row r="50" ht="18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35" t="n"/>
      <c r="E50" s="35" t="n"/>
      <c r="F50" s="35" t="n"/>
      <c r="G50" s="35" t="n"/>
      <c r="H50" s="35" t="inlineStr">
        <is>
          <t>Hoạt động trải nghiệm, hướng nghiệp</t>
        </is>
      </c>
      <c r="I50" s="35" t="n"/>
      <c r="J50" s="35" t="n"/>
    </row>
    <row r="51" ht="18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35" t="inlineStr">
        <is>
          <t>Công nghệ</t>
        </is>
      </c>
      <c r="E51" s="35" t="inlineStr">
        <is>
          <t>Công nghệ</t>
        </is>
      </c>
      <c r="F51" s="35" t="inlineStr">
        <is>
          <t>Lịch sử và Địa Lý (Địa lý)</t>
        </is>
      </c>
      <c r="G51" s="35" t="n"/>
      <c r="H51" s="35" t="n"/>
      <c r="I51" s="35" t="n"/>
      <c r="J51" s="35" t="n"/>
    </row>
    <row r="52" ht="18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35" t="inlineStr">
        <is>
          <t>Ngoại ngữ</t>
        </is>
      </c>
      <c r="E52" s="35" t="inlineStr">
        <is>
          <t>Nghệ thuật (Âm nhạc)</t>
        </is>
      </c>
      <c r="F52" s="35" t="inlineStr">
        <is>
          <t>Giáo dục thể chất</t>
        </is>
      </c>
      <c r="G52" s="35" t="n"/>
      <c r="H52" s="35" t="n"/>
      <c r="I52" s="35" t="n"/>
      <c r="J52" s="35" t="n"/>
    </row>
    <row r="53" ht="18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35" t="inlineStr">
        <is>
          <t>Lịch sử và Địa Lý (Lịch sử)</t>
        </is>
      </c>
      <c r="E53" s="35" t="inlineStr">
        <is>
          <t>Nghệ thuật (Mỹ thuật)</t>
        </is>
      </c>
      <c r="F53" s="35" t="inlineStr">
        <is>
          <t>Tin học</t>
        </is>
      </c>
      <c r="G53" s="35" t="n"/>
      <c r="H53" s="35" t="n"/>
      <c r="I53" s="35" t="n"/>
      <c r="J53" s="35" t="n"/>
    </row>
    <row r="54" ht="18" customHeight="1">
      <c r="A54" s="30" t="inlineStr">
        <is>
          <t>9A6</t>
        </is>
      </c>
      <c r="B54" s="30" t="inlineStr">
        <is>
          <t>S</t>
        </is>
      </c>
      <c r="C54" s="30" t="n">
        <v>1</v>
      </c>
      <c r="D54" s="35" t="inlineStr">
        <is>
          <t>Hoạt động trải nghiệm, hướng nghiệp</t>
        </is>
      </c>
      <c r="E54" s="35" t="inlineStr">
        <is>
          <t>Ngữ văn</t>
        </is>
      </c>
      <c r="F54" s="35" t="inlineStr">
        <is>
          <t>Ngữ văn</t>
        </is>
      </c>
      <c r="G54" s="35" t="inlineStr">
        <is>
          <t>Nghệ thuật (Mỹ thuật)</t>
        </is>
      </c>
      <c r="H54" s="35" t="inlineStr">
        <is>
          <t>Khoa học tự nhiên (Hóa học)</t>
        </is>
      </c>
      <c r="I54" s="35" t="n"/>
      <c r="J54" s="35" t="n"/>
    </row>
    <row r="55" ht="18" customHeight="1">
      <c r="A55" s="30" t="inlineStr">
        <is>
          <t>9A6</t>
        </is>
      </c>
      <c r="B55" s="30" t="inlineStr">
        <is>
          <t>S</t>
        </is>
      </c>
      <c r="C55" s="30" t="n">
        <v>2</v>
      </c>
      <c r="D55" s="35" t="inlineStr">
        <is>
          <t>Ngữ văn</t>
        </is>
      </c>
      <c r="E55" s="35" t="inlineStr">
        <is>
          <t>Ngoại ngữ</t>
        </is>
      </c>
      <c r="F55" s="35" t="inlineStr">
        <is>
          <t>Nội dung giáo dục của địa phương</t>
        </is>
      </c>
      <c r="G55" s="35" t="inlineStr">
        <is>
          <t>Khoa học tự nhiên (Hóa học)</t>
        </is>
      </c>
      <c r="H55" s="35" t="inlineStr">
        <is>
          <t>Ngữ văn</t>
        </is>
      </c>
      <c r="I55" s="35" t="n"/>
      <c r="J55" s="35" t="n"/>
    </row>
    <row r="56" ht="18" customHeight="1">
      <c r="A56" s="30" t="inlineStr">
        <is>
          <t>9A6</t>
        </is>
      </c>
      <c r="B56" s="30" t="inlineStr">
        <is>
          <t>S</t>
        </is>
      </c>
      <c r="C56" s="30" t="n">
        <v>3</v>
      </c>
      <c r="D56" s="35" t="inlineStr">
        <is>
          <t>Khoa học tự nhiên (Hóa học)</t>
        </is>
      </c>
      <c r="E56" s="35" t="inlineStr">
        <is>
          <t>Giáo dục thể chất</t>
        </is>
      </c>
      <c r="F56" s="35" t="inlineStr">
        <is>
          <t>Toán học</t>
        </is>
      </c>
      <c r="G56" s="35" t="inlineStr">
        <is>
          <t>Lịch sử và Địa Lý (Lịch sử)</t>
        </is>
      </c>
      <c r="H56" s="35" t="inlineStr">
        <is>
          <t>Toán học</t>
        </is>
      </c>
      <c r="I56" s="35" t="n"/>
      <c r="J56" s="35" t="n"/>
    </row>
    <row r="57" ht="18" customHeight="1">
      <c r="A57" s="30" t="inlineStr">
        <is>
          <t>9A6</t>
        </is>
      </c>
      <c r="B57" s="30" t="inlineStr">
        <is>
          <t>S</t>
        </is>
      </c>
      <c r="C57" s="30" t="n">
        <v>4</v>
      </c>
      <c r="D57" s="35" t="inlineStr">
        <is>
          <t>Khoa học tự nhiên (Sinh học)</t>
        </is>
      </c>
      <c r="E57" s="35" t="inlineStr">
        <is>
          <t>Toán học</t>
        </is>
      </c>
      <c r="F57" s="35" t="inlineStr">
        <is>
          <t>Ngoại ngữ</t>
        </is>
      </c>
      <c r="G57" s="35" t="inlineStr">
        <is>
          <t>Toán học</t>
        </is>
      </c>
      <c r="H57" s="35" t="inlineStr">
        <is>
          <t>Giáo dục thể chất</t>
        </is>
      </c>
      <c r="I57" s="35" t="n"/>
      <c r="J57" s="35" t="n"/>
    </row>
    <row r="58" ht="18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7" t="n"/>
      <c r="E58" s="37" t="n"/>
      <c r="F58" s="37" t="n"/>
      <c r="G58" s="37" t="n"/>
      <c r="H58" s="37" t="inlineStr">
        <is>
          <t>Hoạt động trải nghiệm, hướng nghiệp</t>
        </is>
      </c>
      <c r="I58" s="37" t="n"/>
      <c r="J58" s="37" t="n"/>
    </row>
    <row r="59" ht="18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37" t="inlineStr">
        <is>
          <t>Lịch sử và Địa Lý (Lịch sử)</t>
        </is>
      </c>
      <c r="E59" s="37" t="inlineStr">
        <is>
          <t>GDCD</t>
        </is>
      </c>
      <c r="F59" s="37" t="inlineStr">
        <is>
          <t>Tin học</t>
        </is>
      </c>
      <c r="G59" s="37" t="n"/>
      <c r="H59" s="37" t="n"/>
      <c r="I59" s="37" t="n"/>
      <c r="J59" s="37" t="n"/>
    </row>
    <row r="60" ht="18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37" t="inlineStr">
        <is>
          <t>Công nghệ</t>
        </is>
      </c>
      <c r="E60" s="37" t="inlineStr">
        <is>
          <t>Công nghệ</t>
        </is>
      </c>
      <c r="F60" s="37" t="inlineStr">
        <is>
          <t>Nghệ thuật (Âm nhạc)</t>
        </is>
      </c>
      <c r="G60" s="37" t="n"/>
      <c r="H60" s="37" t="n"/>
      <c r="I60" s="37" t="n"/>
      <c r="J60" s="37" t="n"/>
    </row>
    <row r="61" ht="18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37" t="inlineStr">
        <is>
          <t>Ngoại ngữ</t>
        </is>
      </c>
      <c r="E61" s="37" t="inlineStr">
        <is>
          <t>Hoạt động trải nghiệm, hướng nghiệp</t>
        </is>
      </c>
      <c r="F61" s="37" t="inlineStr">
        <is>
          <t>Lịch sử và Địa Lý (Địa lý)</t>
        </is>
      </c>
      <c r="G61" s="37" t="n"/>
      <c r="H61" s="37" t="n"/>
      <c r="I61" s="37" t="n"/>
      <c r="J61" s="37" t="n"/>
    </row>
    <row r="62" ht="24.75" customHeight="1">
      <c r="A62" s="36" t="n"/>
      <c r="B62" s="36" t="n"/>
      <c r="C62" s="36" t="n"/>
      <c r="D62" s="37" t="n"/>
      <c r="E62" s="37" t="n"/>
      <c r="F62" s="37" t="n"/>
      <c r="G62" s="37" t="n"/>
      <c r="H62" s="37" t="n"/>
      <c r="I62" s="37" t="n"/>
      <c r="J62" s="37" t="n"/>
    </row>
    <row r="63" ht="24.75" customHeight="1">
      <c r="A63" s="36" t="n"/>
      <c r="B63" s="36" t="n"/>
      <c r="C63" s="36" t="n"/>
      <c r="D63" s="37" t="n"/>
      <c r="E63" s="37" t="n"/>
      <c r="F63" s="37" t="n"/>
      <c r="G63" s="37" t="n"/>
      <c r="H63" s="37" t="n"/>
      <c r="I63" s="37" t="n"/>
      <c r="J63" s="37" t="n"/>
    </row>
    <row r="64" ht="24.75" customHeight="1">
      <c r="A64" s="36" t="n"/>
      <c r="B64" s="36" t="n"/>
      <c r="C64" s="36" t="n"/>
      <c r="D64" s="37" t="n"/>
      <c r="E64" s="37" t="n"/>
      <c r="F64" s="37" t="n"/>
      <c r="G64" s="37" t="n"/>
      <c r="H64" s="37" t="n"/>
      <c r="I64" s="37" t="n"/>
      <c r="J64" s="37" t="n"/>
    </row>
    <row r="65" ht="15" customHeight="1">
      <c r="A65" s="36" t="n"/>
      <c r="B65" s="36" t="n"/>
      <c r="C65" s="36" t="n"/>
      <c r="D65" s="37" t="n"/>
      <c r="E65" s="37" t="n"/>
      <c r="F65" s="37" t="n"/>
      <c r="G65" s="37" t="n"/>
      <c r="H65" s="37" t="n"/>
      <c r="I65" s="37" t="n"/>
      <c r="J65" s="37" t="n"/>
    </row>
    <row r="66" ht="24.75" customHeight="1">
      <c r="A66" s="30" t="n"/>
      <c r="B66" s="30" t="n"/>
      <c r="C66" s="30" t="n"/>
      <c r="D66" s="35" t="n"/>
      <c r="E66" s="35" t="n"/>
      <c r="F66" s="35" t="n"/>
      <c r="G66" s="35" t="n"/>
      <c r="H66" s="35" t="n"/>
      <c r="I66" s="35" t="n"/>
      <c r="J66" s="35" t="n"/>
    </row>
    <row r="67" ht="24.75" customHeight="1">
      <c r="A67" s="30" t="n"/>
      <c r="B67" s="30" t="n"/>
      <c r="C67" s="30" t="n"/>
      <c r="D67" s="35" t="n"/>
      <c r="E67" s="35" t="n"/>
      <c r="F67" s="35" t="n"/>
      <c r="G67" s="35" t="n"/>
      <c r="H67" s="35" t="n"/>
      <c r="I67" s="35" t="n"/>
      <c r="J67" s="35" t="n"/>
    </row>
    <row r="68" ht="15" customHeight="1">
      <c r="A68" s="30" t="n"/>
      <c r="B68" s="30" t="n"/>
      <c r="C68" s="30" t="n"/>
      <c r="D68" s="35" t="n"/>
      <c r="E68" s="35" t="n"/>
      <c r="F68" s="35" t="n"/>
      <c r="G68" s="35" t="n"/>
      <c r="H68" s="35" t="n"/>
      <c r="I68" s="35" t="n"/>
      <c r="J68" s="35" t="n"/>
    </row>
    <row r="69" ht="15" customHeight="1">
      <c r="A69" s="30" t="n"/>
      <c r="B69" s="30" t="n"/>
      <c r="C69" s="30" t="n"/>
      <c r="D69" s="35" t="n"/>
      <c r="E69" s="35" t="n"/>
      <c r="F69" s="35" t="n"/>
      <c r="G69" s="35" t="n"/>
      <c r="H69" s="35" t="n"/>
      <c r="I69" s="35" t="n"/>
      <c r="J69" s="35" t="n"/>
    </row>
    <row r="70" ht="24.75" customHeight="1">
      <c r="A70" s="30" t="n"/>
      <c r="B70" s="30" t="n"/>
      <c r="C70" s="30" t="n"/>
      <c r="D70" s="35" t="n"/>
      <c r="E70" s="35" t="n"/>
      <c r="F70" s="35" t="n"/>
      <c r="G70" s="35" t="n"/>
      <c r="H70" s="35" t="n"/>
      <c r="I70" s="35" t="n"/>
      <c r="J70" s="35" t="n"/>
    </row>
    <row r="71" ht="24.75" customHeight="1">
      <c r="A71" s="30" t="n"/>
      <c r="B71" s="30" t="n"/>
      <c r="C71" s="30" t="n"/>
      <c r="D71" s="35" t="n"/>
      <c r="E71" s="35" t="n"/>
      <c r="F71" s="35" t="n"/>
      <c r="G71" s="35" t="n"/>
      <c r="H71" s="35" t="n"/>
      <c r="I71" s="35" t="n"/>
      <c r="J71" s="35" t="n"/>
    </row>
    <row r="72" ht="15" customHeight="1">
      <c r="A72" s="30" t="n"/>
      <c r="B72" s="30" t="n"/>
      <c r="C72" s="30" t="n"/>
      <c r="D72" s="35" t="n"/>
      <c r="E72" s="35" t="n"/>
      <c r="F72" s="35" t="n"/>
      <c r="G72" s="35" t="n"/>
      <c r="H72" s="35" t="n"/>
      <c r="I72" s="35" t="n"/>
      <c r="J72" s="35" t="n"/>
    </row>
    <row r="73" ht="24.75" customHeight="1">
      <c r="A73" s="30" t="n"/>
      <c r="B73" s="30" t="n"/>
      <c r="C73" s="30" t="n"/>
      <c r="D73" s="35" t="n"/>
      <c r="E73" s="35" t="n"/>
      <c r="F73" s="35" t="n"/>
      <c r="G73" s="35" t="n"/>
      <c r="H73" s="35" t="n"/>
      <c r="I73" s="35" t="n"/>
      <c r="J73" s="35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dataValidations count="1">
    <dataValidation sqref="D2:J73" showDropDown="0" showInputMessage="0" showErrorMessage="0" allowBlank="1" type="list">
      <formula1>DS_Mon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 codeName="Sheet12">
    <outlinePr summaryBelow="1" summaryRight="1"/>
    <pageSetUpPr/>
  </sheetPr>
  <dimension ref="A1:C5"/>
  <sheetViews>
    <sheetView zoomScaleNormal="100" workbookViewId="0">
      <selection activeCell="A1" sqref="A1"/>
    </sheetView>
  </sheetViews>
  <sheetFormatPr baseColWidth="8" defaultColWidth="8.7109375" defaultRowHeight="15"/>
  <cols>
    <col width="33" customWidth="1" min="1" max="3"/>
    <col width="8" customWidth="1" min="2" max="2"/>
    <col width="26" customWidth="1" min="3" max="3"/>
  </cols>
  <sheetData>
    <row r="1" ht="18" customHeight="1">
      <c r="A1" s="42" t="inlineStr">
        <is>
          <t>SEED HIEN TAI -&gt;</t>
        </is>
      </c>
      <c r="B1" s="42" t="n">
        <v>2026</v>
      </c>
    </row>
    <row r="2" ht="18" customHeight="1">
      <c r="A2" s="5" t="inlineStr">
        <is>
          <t>TUAN HIEN TAI (C=chan/L=le) -&gt;</t>
        </is>
      </c>
      <c r="B2" s="43" t="inlineStr">
        <is>
          <t>C</t>
        </is>
      </c>
    </row>
    <row r="3" ht="18" customHeight="1">
      <c r="A3" s="42" t="inlineStr">
        <is>
          <t>Tuan</t>
        </is>
      </c>
      <c r="B3" s="42" t="inlineStr">
        <is>
          <t>Seed</t>
        </is>
      </c>
      <c r="C3" s="42" t="inlineStr">
        <is>
          <t>Ngay tao</t>
        </is>
      </c>
    </row>
    <row r="4" ht="18" customHeight="1">
      <c r="A4" t="n">
        <v>1</v>
      </c>
      <c r="B4" t="n">
        <v>2026</v>
      </c>
      <c r="C4" t="inlineStr">
        <is>
          <t>2026-09-07T00:00:00 [C]</t>
        </is>
      </c>
    </row>
    <row r="5"/>
  </sheetData>
  <dataValidations count="1">
    <dataValidation sqref="B2" showDropDown="0" showInputMessage="0" showErrorMessage="0" allowBlank="0" type="list">
      <formula1>"C,L"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 codeName="Sheet10">
    <outlinePr summaryBelow="1" summaryRight="1"/>
    <pageSetUpPr/>
  </sheetPr>
  <dimension ref="A1:J4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:J1"/>
    </sheetView>
  </sheetViews>
  <sheetFormatPr baseColWidth="8" defaultColWidth="8.7109375" defaultRowHeight="15"/>
  <cols>
    <col width="45" customWidth="1" min="1" max="1"/>
    <col width="45" customWidth="1" min="2" max="10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 ht="18" customHeight="1">
      <c r="A1" s="2" t="inlineStr">
        <is>
          <t>KIỂM TRA — Định mức theo TuanConfig!B2 (C/L). Chênh lệch=Đã xếp−Định mức (0=đạt)</t>
        </is>
      </c>
    </row>
    <row r="2" ht="15" customHeight="1"/>
    <row r="3" ht="18" customHeight="1">
      <c r="A3" s="28" t="inlineStr">
        <is>
          <t>Môn \ Lớp</t>
        </is>
      </c>
      <c r="B3" s="11" t="inlineStr">
        <is>
          <t>6A5</t>
        </is>
      </c>
      <c r="C3" s="11" t="inlineStr">
        <is>
          <t>6A6</t>
        </is>
      </c>
      <c r="D3" s="11" t="inlineStr">
        <is>
          <t>7A4</t>
        </is>
      </c>
      <c r="E3" s="11" t="inlineStr">
        <is>
          <t>7A5</t>
        </is>
      </c>
      <c r="F3" s="11" t="inlineStr">
        <is>
          <t>8A5</t>
        </is>
      </c>
      <c r="G3" s="11" t="inlineStr">
        <is>
          <t>8A6</t>
        </is>
      </c>
      <c r="H3" s="11" t="inlineStr">
        <is>
          <t>9A5</t>
        </is>
      </c>
      <c r="I3" s="11" t="inlineStr">
        <is>
          <t>9A6</t>
        </is>
      </c>
      <c r="J3" s="11" t="n"/>
    </row>
    <row r="4" ht="18" customHeight="1">
      <c r="A4" s="26" t="inlineStr">
        <is>
          <t>Toán học</t>
        </is>
      </c>
      <c r="B4" s="30">
        <f>SUMPRODUCT((TKB_Nhap!$A$2:$A$57=B$3)*(TKB_Nhap!$D$2:$J$57=$A4))-IFERROR(N(IF(TuanConfig!$B$2="C",INDEX(SoTiet!$B$3:$I$18,MATCH($A4,SoTiet!$A$3:$A$18,0),1),INDEX(SoTiet!$K$3:$R$18,MATCH($A4,SoTiet!$A$3:$A$18,0),1))),0)</f>
        <v/>
      </c>
      <c r="C4" s="30">
        <f>SUMPRODUCT((TKB_Nhap!$A$2:$A$57=C$3)*(TKB_Nhap!$D$2:$J$57=$A4))-IFERROR(N(IF(TuanConfig!$B$2="C",INDEX(SoTiet!$B$3:$I$18,MATCH($A4,SoTiet!$A$3:$A$18,0),2),INDEX(SoTiet!$K$3:$R$18,MATCH($A4,SoTiet!$A$3:$A$18,0),2))),0)</f>
        <v/>
      </c>
      <c r="D4" s="30">
        <f>SUMPRODUCT((TKB_Nhap!$A$2:$A$57=D$3)*(TKB_Nhap!$D$2:$J$57=$A4))-IFERROR(N(IF(TuanConfig!$B$2="C",INDEX(SoTiet!$B$3:$I$18,MATCH($A4,SoTiet!$A$3:$A$18,0),3),INDEX(SoTiet!$K$3:$R$18,MATCH($A4,SoTiet!$A$3:$A$18,0),3))),0)</f>
        <v/>
      </c>
      <c r="E4" s="30">
        <f>SUMPRODUCT((TKB_Nhap!$A$2:$A$57=E$3)*(TKB_Nhap!$D$2:$J$57=$A4))-IFERROR(N(IF(TuanConfig!$B$2="C",INDEX(SoTiet!$B$3:$I$18,MATCH($A4,SoTiet!$A$3:$A$18,0),4),INDEX(SoTiet!$K$3:$R$18,MATCH($A4,SoTiet!$A$3:$A$18,0),4))),0)</f>
        <v/>
      </c>
      <c r="F4" s="30">
        <f>SUMPRODUCT((TKB_Nhap!$A$2:$A$57=F$3)*(TKB_Nhap!$D$2:$J$57=$A4))-IFERROR(N(IF(TuanConfig!$B$2="C",INDEX(SoTiet!$B$3:$I$18,MATCH($A4,SoTiet!$A$3:$A$18,0),5),INDEX(SoTiet!$K$3:$R$18,MATCH($A4,SoTiet!$A$3:$A$18,0),5))),0)</f>
        <v/>
      </c>
      <c r="G4" s="30">
        <f>SUMPRODUCT((TKB_Nhap!$A$2:$A$57=G$3)*(TKB_Nhap!$D$2:$J$57=$A4))-IFERROR(N(IF(TuanConfig!$B$2="C",INDEX(SoTiet!$B$3:$I$18,MATCH($A4,SoTiet!$A$3:$A$18,0),6),INDEX(SoTiet!$K$3:$R$18,MATCH($A4,SoTiet!$A$3:$A$18,0),6))),0)</f>
        <v/>
      </c>
      <c r="H4" s="30">
        <f>SUMPRODUCT((TKB_Nhap!$A$2:$A$57=H$3)*(TKB_Nhap!$D$2:$J$57=$A4))-IFERROR(N(IF(TuanConfig!$B$2="C",INDEX(SoTiet!$B$3:$I$18,MATCH($A4,SoTiet!$A$3:$A$18,0),7),INDEX(SoTiet!$K$3:$R$18,MATCH($A4,SoTiet!$A$3:$A$18,0),7))),0)</f>
        <v/>
      </c>
      <c r="I4" s="30">
        <f>SUMPRODUCT((TKB_Nhap!$A$2:$A$57=I$3)*(TKB_Nhap!$D$2:$J$57=$A4))-IFERROR(N(IF(TuanConfig!$B$2="C",INDEX(SoTiet!$B$3:$I$18,MATCH($A4,SoTiet!$A$3:$A$18,0),8),INDEX(SoTiet!$K$3:$R$18,MATCH($A4,SoTiet!$A$3:$A$18,0),8))),0)</f>
        <v/>
      </c>
      <c r="J4" s="30" t="n"/>
    </row>
    <row r="5" ht="18" customHeight="1">
      <c r="A5" s="26" t="inlineStr">
        <is>
          <t>Ngữ văn</t>
        </is>
      </c>
      <c r="B5" s="30">
        <f>SUMPRODUCT((TKB_Nhap!$A$2:$A$57=B$3)*(TKB_Nhap!$D$2:$J$57=$A5))-IFERROR(N(IF(TuanConfig!$B$2="C",INDEX(SoTiet!$B$3:$I$18,MATCH($A5,SoTiet!$A$3:$A$18,0),1),INDEX(SoTiet!$K$3:$R$18,MATCH($A5,SoTiet!$A$3:$A$18,0),1))),0)</f>
        <v/>
      </c>
      <c r="C5" s="30">
        <f>SUMPRODUCT((TKB_Nhap!$A$2:$A$57=C$3)*(TKB_Nhap!$D$2:$J$57=$A5))-IFERROR(N(IF(TuanConfig!$B$2="C",INDEX(SoTiet!$B$3:$I$18,MATCH($A5,SoTiet!$A$3:$A$18,0),2),INDEX(SoTiet!$K$3:$R$18,MATCH($A5,SoTiet!$A$3:$A$18,0),2))),0)</f>
        <v/>
      </c>
      <c r="D5" s="30">
        <f>SUMPRODUCT((TKB_Nhap!$A$2:$A$57=D$3)*(TKB_Nhap!$D$2:$J$57=$A5))-IFERROR(N(IF(TuanConfig!$B$2="C",INDEX(SoTiet!$B$3:$I$18,MATCH($A5,SoTiet!$A$3:$A$18,0),3),INDEX(SoTiet!$K$3:$R$18,MATCH($A5,SoTiet!$A$3:$A$18,0),3))),0)</f>
        <v/>
      </c>
      <c r="E5" s="30">
        <f>SUMPRODUCT((TKB_Nhap!$A$2:$A$57=E$3)*(TKB_Nhap!$D$2:$J$57=$A5))-IFERROR(N(IF(TuanConfig!$B$2="C",INDEX(SoTiet!$B$3:$I$18,MATCH($A5,SoTiet!$A$3:$A$18,0),4),INDEX(SoTiet!$K$3:$R$18,MATCH($A5,SoTiet!$A$3:$A$18,0),4))),0)</f>
        <v/>
      </c>
      <c r="F5" s="30">
        <f>SUMPRODUCT((TKB_Nhap!$A$2:$A$57=F$3)*(TKB_Nhap!$D$2:$J$57=$A5))-IFERROR(N(IF(TuanConfig!$B$2="C",INDEX(SoTiet!$B$3:$I$18,MATCH($A5,SoTiet!$A$3:$A$18,0),5),INDEX(SoTiet!$K$3:$R$18,MATCH($A5,SoTiet!$A$3:$A$18,0),5))),0)</f>
        <v/>
      </c>
      <c r="G5" s="30">
        <f>SUMPRODUCT((TKB_Nhap!$A$2:$A$57=G$3)*(TKB_Nhap!$D$2:$J$57=$A5))-IFERROR(N(IF(TuanConfig!$B$2="C",INDEX(SoTiet!$B$3:$I$18,MATCH($A5,SoTiet!$A$3:$A$18,0),6),INDEX(SoTiet!$K$3:$R$18,MATCH($A5,SoTiet!$A$3:$A$18,0),6))),0)</f>
        <v/>
      </c>
      <c r="H5" s="30">
        <f>SUMPRODUCT((TKB_Nhap!$A$2:$A$57=H$3)*(TKB_Nhap!$D$2:$J$57=$A5))-IFERROR(N(IF(TuanConfig!$B$2="C",INDEX(SoTiet!$B$3:$I$18,MATCH($A5,SoTiet!$A$3:$A$18,0),7),INDEX(SoTiet!$K$3:$R$18,MATCH($A5,SoTiet!$A$3:$A$18,0),7))),0)</f>
        <v/>
      </c>
      <c r="I5" s="30">
        <f>SUMPRODUCT((TKB_Nhap!$A$2:$A$57=I$3)*(TKB_Nhap!$D$2:$J$57=$A5))-IFERROR(N(IF(TuanConfig!$B$2="C",INDEX(SoTiet!$B$3:$I$18,MATCH($A5,SoTiet!$A$3:$A$18,0),8),INDEX(SoTiet!$K$3:$R$18,MATCH($A5,SoTiet!$A$3:$A$18,0),8))),0)</f>
        <v/>
      </c>
      <c r="J5" s="30" t="n"/>
    </row>
    <row r="6" ht="18" customHeight="1">
      <c r="A6" s="26" t="inlineStr">
        <is>
          <t>Ngoại ngữ</t>
        </is>
      </c>
      <c r="B6" s="30">
        <f>SUMPRODUCT((TKB_Nhap!$A$2:$A$57=B$3)*(TKB_Nhap!$D$2:$J$57=$A6))-IFERROR(N(IF(TuanConfig!$B$2="C",INDEX(SoTiet!$B$3:$I$18,MATCH($A6,SoTiet!$A$3:$A$18,0),1),INDEX(SoTiet!$K$3:$R$18,MATCH($A6,SoTiet!$A$3:$A$18,0),1))),0)</f>
        <v/>
      </c>
      <c r="C6" s="30">
        <f>SUMPRODUCT((TKB_Nhap!$A$2:$A$57=C$3)*(TKB_Nhap!$D$2:$J$57=$A6))-IFERROR(N(IF(TuanConfig!$B$2="C",INDEX(SoTiet!$B$3:$I$18,MATCH($A6,SoTiet!$A$3:$A$18,0),2),INDEX(SoTiet!$K$3:$R$18,MATCH($A6,SoTiet!$A$3:$A$18,0),2))),0)</f>
        <v/>
      </c>
      <c r="D6" s="30">
        <f>SUMPRODUCT((TKB_Nhap!$A$2:$A$57=D$3)*(TKB_Nhap!$D$2:$J$57=$A6))-IFERROR(N(IF(TuanConfig!$B$2="C",INDEX(SoTiet!$B$3:$I$18,MATCH($A6,SoTiet!$A$3:$A$18,0),3),INDEX(SoTiet!$K$3:$R$18,MATCH($A6,SoTiet!$A$3:$A$18,0),3))),0)</f>
        <v/>
      </c>
      <c r="E6" s="30">
        <f>SUMPRODUCT((TKB_Nhap!$A$2:$A$57=E$3)*(TKB_Nhap!$D$2:$J$57=$A6))-IFERROR(N(IF(TuanConfig!$B$2="C",INDEX(SoTiet!$B$3:$I$18,MATCH($A6,SoTiet!$A$3:$A$18,0),4),INDEX(SoTiet!$K$3:$R$18,MATCH($A6,SoTiet!$A$3:$A$18,0),4))),0)</f>
        <v/>
      </c>
      <c r="F6" s="30">
        <f>SUMPRODUCT((TKB_Nhap!$A$2:$A$57=F$3)*(TKB_Nhap!$D$2:$J$57=$A6))-IFERROR(N(IF(TuanConfig!$B$2="C",INDEX(SoTiet!$B$3:$I$18,MATCH($A6,SoTiet!$A$3:$A$18,0),5),INDEX(SoTiet!$K$3:$R$18,MATCH($A6,SoTiet!$A$3:$A$18,0),5))),0)</f>
        <v/>
      </c>
      <c r="G6" s="30">
        <f>SUMPRODUCT((TKB_Nhap!$A$2:$A$57=G$3)*(TKB_Nhap!$D$2:$J$57=$A6))-IFERROR(N(IF(TuanConfig!$B$2="C",INDEX(SoTiet!$B$3:$I$18,MATCH($A6,SoTiet!$A$3:$A$18,0),6),INDEX(SoTiet!$K$3:$R$18,MATCH($A6,SoTiet!$A$3:$A$18,0),6))),0)</f>
        <v/>
      </c>
      <c r="H6" s="30">
        <f>SUMPRODUCT((TKB_Nhap!$A$2:$A$57=H$3)*(TKB_Nhap!$D$2:$J$57=$A6))-IFERROR(N(IF(TuanConfig!$B$2="C",INDEX(SoTiet!$B$3:$I$18,MATCH($A6,SoTiet!$A$3:$A$18,0),7),INDEX(SoTiet!$K$3:$R$18,MATCH($A6,SoTiet!$A$3:$A$18,0),7))),0)</f>
        <v/>
      </c>
      <c r="I6" s="30">
        <f>SUMPRODUCT((TKB_Nhap!$A$2:$A$57=I$3)*(TKB_Nhap!$D$2:$J$57=$A6))-IFERROR(N(IF(TuanConfig!$B$2="C",INDEX(SoTiet!$B$3:$I$18,MATCH($A6,SoTiet!$A$3:$A$18,0),8),INDEX(SoTiet!$K$3:$R$18,MATCH($A6,SoTiet!$A$3:$A$18,0),8))),0)</f>
        <v/>
      </c>
      <c r="J6" s="30" t="n"/>
    </row>
    <row r="7" ht="18" customHeight="1">
      <c r="A7" s="26" t="inlineStr">
        <is>
          <t>Khoa học tự nhiên (Vật lý)</t>
        </is>
      </c>
      <c r="B7" s="30">
        <f>SUMPRODUCT((TKB_Nhap!$A$2:$A$57=B$3)*(TKB_Nhap!$D$2:$J$57=$A7))-IFERROR(N(IF(TuanConfig!$B$2="C",INDEX(SoTiet!$B$3:$I$18,MATCH($A7,SoTiet!$A$3:$A$18,0),1),INDEX(SoTiet!$K$3:$R$18,MATCH($A7,SoTiet!$A$3:$A$18,0),1))),0)</f>
        <v/>
      </c>
      <c r="C7" s="30">
        <f>SUMPRODUCT((TKB_Nhap!$A$2:$A$57=C$3)*(TKB_Nhap!$D$2:$J$57=$A7))-IFERROR(N(IF(TuanConfig!$B$2="C",INDEX(SoTiet!$B$3:$I$18,MATCH($A7,SoTiet!$A$3:$A$18,0),2),INDEX(SoTiet!$K$3:$R$18,MATCH($A7,SoTiet!$A$3:$A$18,0),2))),0)</f>
        <v/>
      </c>
      <c r="D7" s="30">
        <f>SUMPRODUCT((TKB_Nhap!$A$2:$A$57=D$3)*(TKB_Nhap!$D$2:$J$57=$A7))-IFERROR(N(IF(TuanConfig!$B$2="C",INDEX(SoTiet!$B$3:$I$18,MATCH($A7,SoTiet!$A$3:$A$18,0),3),INDEX(SoTiet!$K$3:$R$18,MATCH($A7,SoTiet!$A$3:$A$18,0),3))),0)</f>
        <v/>
      </c>
      <c r="E7" s="30">
        <f>SUMPRODUCT((TKB_Nhap!$A$2:$A$57=E$3)*(TKB_Nhap!$D$2:$J$57=$A7))-IFERROR(N(IF(TuanConfig!$B$2="C",INDEX(SoTiet!$B$3:$I$18,MATCH($A7,SoTiet!$A$3:$A$18,0),4),INDEX(SoTiet!$K$3:$R$18,MATCH($A7,SoTiet!$A$3:$A$18,0),4))),0)</f>
        <v/>
      </c>
      <c r="F7" s="30">
        <f>SUMPRODUCT((TKB_Nhap!$A$2:$A$57=F$3)*(TKB_Nhap!$D$2:$J$57=$A7))-IFERROR(N(IF(TuanConfig!$B$2="C",INDEX(SoTiet!$B$3:$I$18,MATCH($A7,SoTiet!$A$3:$A$18,0),5),INDEX(SoTiet!$K$3:$R$18,MATCH($A7,SoTiet!$A$3:$A$18,0),5))),0)</f>
        <v/>
      </c>
      <c r="G7" s="30">
        <f>SUMPRODUCT((TKB_Nhap!$A$2:$A$57=G$3)*(TKB_Nhap!$D$2:$J$57=$A7))-IFERROR(N(IF(TuanConfig!$B$2="C",INDEX(SoTiet!$B$3:$I$18,MATCH($A7,SoTiet!$A$3:$A$18,0),6),INDEX(SoTiet!$K$3:$R$18,MATCH($A7,SoTiet!$A$3:$A$18,0),6))),0)</f>
        <v/>
      </c>
      <c r="H7" s="30">
        <f>SUMPRODUCT((TKB_Nhap!$A$2:$A$57=H$3)*(TKB_Nhap!$D$2:$J$57=$A7))-IFERROR(N(IF(TuanConfig!$B$2="C",INDEX(SoTiet!$B$3:$I$18,MATCH($A7,SoTiet!$A$3:$A$18,0),7),INDEX(SoTiet!$K$3:$R$18,MATCH($A7,SoTiet!$A$3:$A$18,0),7))),0)</f>
        <v/>
      </c>
      <c r="I7" s="30">
        <f>SUMPRODUCT((TKB_Nhap!$A$2:$A$57=I$3)*(TKB_Nhap!$D$2:$J$57=$A7))-IFERROR(N(IF(TuanConfig!$B$2="C",INDEX(SoTiet!$B$3:$I$18,MATCH($A7,SoTiet!$A$3:$A$18,0),8),INDEX(SoTiet!$K$3:$R$18,MATCH($A7,SoTiet!$A$3:$A$18,0),8))),0)</f>
        <v/>
      </c>
      <c r="J7" s="30" t="n"/>
    </row>
    <row r="8" ht="18" customHeight="1">
      <c r="A8" s="26" t="inlineStr">
        <is>
          <t>Khoa học tự nhiên (Hoá học)</t>
        </is>
      </c>
      <c r="B8" s="30">
        <f>SUMPRODUCT((TKB_Nhap!$A$2:$A$57=B$3)*(TKB_Nhap!$D$2:$J$57=$A8))-IFERROR(N(IF(TuanConfig!$B$2="C",INDEX(SoTiet!$B$3:$I$18,MATCH($A8,SoTiet!$A$3:$A$18,0),1),INDEX(SoTiet!$K$3:$R$18,MATCH($A8,SoTiet!$A$3:$A$18,0),1))),0)</f>
        <v/>
      </c>
      <c r="C8" s="30">
        <f>SUMPRODUCT((TKB_Nhap!$A$2:$A$57=C$3)*(TKB_Nhap!$D$2:$J$57=$A8))-IFERROR(N(IF(TuanConfig!$B$2="C",INDEX(SoTiet!$B$3:$I$18,MATCH($A8,SoTiet!$A$3:$A$18,0),2),INDEX(SoTiet!$K$3:$R$18,MATCH($A8,SoTiet!$A$3:$A$18,0),2))),0)</f>
        <v/>
      </c>
      <c r="D8" s="30">
        <f>SUMPRODUCT((TKB_Nhap!$A$2:$A$57=D$3)*(TKB_Nhap!$D$2:$J$57=$A8))-IFERROR(N(IF(TuanConfig!$B$2="C",INDEX(SoTiet!$B$3:$I$18,MATCH($A8,SoTiet!$A$3:$A$18,0),3),INDEX(SoTiet!$K$3:$R$18,MATCH($A8,SoTiet!$A$3:$A$18,0),3))),0)</f>
        <v/>
      </c>
      <c r="E8" s="30">
        <f>SUMPRODUCT((TKB_Nhap!$A$2:$A$57=E$3)*(TKB_Nhap!$D$2:$J$57=$A8))-IFERROR(N(IF(TuanConfig!$B$2="C",INDEX(SoTiet!$B$3:$I$18,MATCH($A8,SoTiet!$A$3:$A$18,0),4),INDEX(SoTiet!$K$3:$R$18,MATCH($A8,SoTiet!$A$3:$A$18,0),4))),0)</f>
        <v/>
      </c>
      <c r="F8" s="30">
        <f>SUMPRODUCT((TKB_Nhap!$A$2:$A$57=F$3)*(TKB_Nhap!$D$2:$J$57=$A8))-IFERROR(N(IF(TuanConfig!$B$2="C",INDEX(SoTiet!$B$3:$I$18,MATCH($A8,SoTiet!$A$3:$A$18,0),5),INDEX(SoTiet!$K$3:$R$18,MATCH($A8,SoTiet!$A$3:$A$18,0),5))),0)</f>
        <v/>
      </c>
      <c r="G8" s="30">
        <f>SUMPRODUCT((TKB_Nhap!$A$2:$A$57=G$3)*(TKB_Nhap!$D$2:$J$57=$A8))-IFERROR(N(IF(TuanConfig!$B$2="C",INDEX(SoTiet!$B$3:$I$18,MATCH($A8,SoTiet!$A$3:$A$18,0),6),INDEX(SoTiet!$K$3:$R$18,MATCH($A8,SoTiet!$A$3:$A$18,0),6))),0)</f>
        <v/>
      </c>
      <c r="H8" s="30">
        <f>SUMPRODUCT((TKB_Nhap!$A$2:$A$57=H$3)*(TKB_Nhap!$D$2:$J$57=$A8))-IFERROR(N(IF(TuanConfig!$B$2="C",INDEX(SoTiet!$B$3:$I$18,MATCH($A8,SoTiet!$A$3:$A$18,0),7),INDEX(SoTiet!$K$3:$R$18,MATCH($A8,SoTiet!$A$3:$A$18,0),7))),0)</f>
        <v/>
      </c>
      <c r="I8" s="30">
        <f>SUMPRODUCT((TKB_Nhap!$A$2:$A$57=I$3)*(TKB_Nhap!$D$2:$J$57=$A8))-IFERROR(N(IF(TuanConfig!$B$2="C",INDEX(SoTiet!$B$3:$I$18,MATCH($A8,SoTiet!$A$3:$A$18,0),8),INDEX(SoTiet!$K$3:$R$18,MATCH($A8,SoTiet!$A$3:$A$18,0),8))),0)</f>
        <v/>
      </c>
      <c r="J8" s="30" t="n"/>
    </row>
    <row r="9" ht="18" customHeight="1">
      <c r="A9" s="26" t="inlineStr">
        <is>
          <t>Khoa học tự nhiên (Sinh học)</t>
        </is>
      </c>
      <c r="B9" s="30">
        <f>SUMPRODUCT((TKB_Nhap!$A$2:$A$57=B$3)*(TKB_Nhap!$D$2:$J$57=$A9))-IFERROR(N(IF(TuanConfig!$B$2="C",INDEX(SoTiet!$B$3:$I$18,MATCH($A9,SoTiet!$A$3:$A$18,0),1),INDEX(SoTiet!$K$3:$R$18,MATCH($A9,SoTiet!$A$3:$A$18,0),1))),0)</f>
        <v/>
      </c>
      <c r="C9" s="30">
        <f>SUMPRODUCT((TKB_Nhap!$A$2:$A$57=C$3)*(TKB_Nhap!$D$2:$J$57=$A9))-IFERROR(N(IF(TuanConfig!$B$2="C",INDEX(SoTiet!$B$3:$I$18,MATCH($A9,SoTiet!$A$3:$A$18,0),2),INDEX(SoTiet!$K$3:$R$18,MATCH($A9,SoTiet!$A$3:$A$18,0),2))),0)</f>
        <v/>
      </c>
      <c r="D9" s="30">
        <f>SUMPRODUCT((TKB_Nhap!$A$2:$A$57=D$3)*(TKB_Nhap!$D$2:$J$57=$A9))-IFERROR(N(IF(TuanConfig!$B$2="C",INDEX(SoTiet!$B$3:$I$18,MATCH($A9,SoTiet!$A$3:$A$18,0),3),INDEX(SoTiet!$K$3:$R$18,MATCH($A9,SoTiet!$A$3:$A$18,0),3))),0)</f>
        <v/>
      </c>
      <c r="E9" s="30">
        <f>SUMPRODUCT((TKB_Nhap!$A$2:$A$57=E$3)*(TKB_Nhap!$D$2:$J$57=$A9))-IFERROR(N(IF(TuanConfig!$B$2="C",INDEX(SoTiet!$B$3:$I$18,MATCH($A9,SoTiet!$A$3:$A$18,0),4),INDEX(SoTiet!$K$3:$R$18,MATCH($A9,SoTiet!$A$3:$A$18,0),4))),0)</f>
        <v/>
      </c>
      <c r="F9" s="30">
        <f>SUMPRODUCT((TKB_Nhap!$A$2:$A$57=F$3)*(TKB_Nhap!$D$2:$J$57=$A9))-IFERROR(N(IF(TuanConfig!$B$2="C",INDEX(SoTiet!$B$3:$I$18,MATCH($A9,SoTiet!$A$3:$A$18,0),5),INDEX(SoTiet!$K$3:$R$18,MATCH($A9,SoTiet!$A$3:$A$18,0),5))),0)</f>
        <v/>
      </c>
      <c r="G9" s="30">
        <f>SUMPRODUCT((TKB_Nhap!$A$2:$A$57=G$3)*(TKB_Nhap!$D$2:$J$57=$A9))-IFERROR(N(IF(TuanConfig!$B$2="C",INDEX(SoTiet!$B$3:$I$18,MATCH($A9,SoTiet!$A$3:$A$18,0),6),INDEX(SoTiet!$K$3:$R$18,MATCH($A9,SoTiet!$A$3:$A$18,0),6))),0)</f>
        <v/>
      </c>
      <c r="H9" s="30">
        <f>SUMPRODUCT((TKB_Nhap!$A$2:$A$57=H$3)*(TKB_Nhap!$D$2:$J$57=$A9))-IFERROR(N(IF(TuanConfig!$B$2="C",INDEX(SoTiet!$B$3:$I$18,MATCH($A9,SoTiet!$A$3:$A$18,0),7),INDEX(SoTiet!$K$3:$R$18,MATCH($A9,SoTiet!$A$3:$A$18,0),7))),0)</f>
        <v/>
      </c>
      <c r="I9" s="30">
        <f>SUMPRODUCT((TKB_Nhap!$A$2:$A$57=I$3)*(TKB_Nhap!$D$2:$J$57=$A9))-IFERROR(N(IF(TuanConfig!$B$2="C",INDEX(SoTiet!$B$3:$I$18,MATCH($A9,SoTiet!$A$3:$A$18,0),8),INDEX(SoTiet!$K$3:$R$18,MATCH($A9,SoTiet!$A$3:$A$18,0),8))),0)</f>
        <v/>
      </c>
      <c r="J9" s="30" t="n"/>
    </row>
    <row r="10" ht="18" customHeight="1">
      <c r="A10" s="26" t="inlineStr">
        <is>
          <t>Lịch sử và địa lý (Lịch sử)</t>
        </is>
      </c>
      <c r="B10" s="30">
        <f>SUMPRODUCT((TKB_Nhap!$A$2:$A$57=B$3)*(TKB_Nhap!$D$2:$J$57=$A10))-IFERROR(N(IF(TuanConfig!$B$2="C",INDEX(SoTiet!$B$3:$I$18,MATCH($A10,SoTiet!$A$3:$A$18,0),1),INDEX(SoTiet!$K$3:$R$18,MATCH($A10,SoTiet!$A$3:$A$18,0),1))),0)</f>
        <v/>
      </c>
      <c r="C10" s="30">
        <f>SUMPRODUCT((TKB_Nhap!$A$2:$A$57=C$3)*(TKB_Nhap!$D$2:$J$57=$A10))-IFERROR(N(IF(TuanConfig!$B$2="C",INDEX(SoTiet!$B$3:$I$18,MATCH($A10,SoTiet!$A$3:$A$18,0),2),INDEX(SoTiet!$K$3:$R$18,MATCH($A10,SoTiet!$A$3:$A$18,0),2))),0)</f>
        <v/>
      </c>
      <c r="D10" s="30">
        <f>SUMPRODUCT((TKB_Nhap!$A$2:$A$57=D$3)*(TKB_Nhap!$D$2:$J$57=$A10))-IFERROR(N(IF(TuanConfig!$B$2="C",INDEX(SoTiet!$B$3:$I$18,MATCH($A10,SoTiet!$A$3:$A$18,0),3),INDEX(SoTiet!$K$3:$R$18,MATCH($A10,SoTiet!$A$3:$A$18,0),3))),0)</f>
        <v/>
      </c>
      <c r="E10" s="30">
        <f>SUMPRODUCT((TKB_Nhap!$A$2:$A$57=E$3)*(TKB_Nhap!$D$2:$J$57=$A10))-IFERROR(N(IF(TuanConfig!$B$2="C",INDEX(SoTiet!$B$3:$I$18,MATCH($A10,SoTiet!$A$3:$A$18,0),4),INDEX(SoTiet!$K$3:$R$18,MATCH($A10,SoTiet!$A$3:$A$18,0),4))),0)</f>
        <v/>
      </c>
      <c r="F10" s="30">
        <f>SUMPRODUCT((TKB_Nhap!$A$2:$A$57=F$3)*(TKB_Nhap!$D$2:$J$57=$A10))-IFERROR(N(IF(TuanConfig!$B$2="C",INDEX(SoTiet!$B$3:$I$18,MATCH($A10,SoTiet!$A$3:$A$18,0),5),INDEX(SoTiet!$K$3:$R$18,MATCH($A10,SoTiet!$A$3:$A$18,0),5))),0)</f>
        <v/>
      </c>
      <c r="G10" s="30">
        <f>SUMPRODUCT((TKB_Nhap!$A$2:$A$57=G$3)*(TKB_Nhap!$D$2:$J$57=$A10))-IFERROR(N(IF(TuanConfig!$B$2="C",INDEX(SoTiet!$B$3:$I$18,MATCH($A10,SoTiet!$A$3:$A$18,0),6),INDEX(SoTiet!$K$3:$R$18,MATCH($A10,SoTiet!$A$3:$A$18,0),6))),0)</f>
        <v/>
      </c>
      <c r="H10" s="30">
        <f>SUMPRODUCT((TKB_Nhap!$A$2:$A$57=H$3)*(TKB_Nhap!$D$2:$J$57=$A10))-IFERROR(N(IF(TuanConfig!$B$2="C",INDEX(SoTiet!$B$3:$I$18,MATCH($A10,SoTiet!$A$3:$A$18,0),7),INDEX(SoTiet!$K$3:$R$18,MATCH($A10,SoTiet!$A$3:$A$18,0),7))),0)</f>
        <v/>
      </c>
      <c r="I10" s="30">
        <f>SUMPRODUCT((TKB_Nhap!$A$2:$A$57=I$3)*(TKB_Nhap!$D$2:$J$57=$A10))-IFERROR(N(IF(TuanConfig!$B$2="C",INDEX(SoTiet!$B$3:$I$18,MATCH($A10,SoTiet!$A$3:$A$18,0),8),INDEX(SoTiet!$K$3:$R$18,MATCH($A10,SoTiet!$A$3:$A$18,0),8))),0)</f>
        <v/>
      </c>
      <c r="J10" s="30" t="n"/>
    </row>
    <row r="11" ht="18" customHeight="1">
      <c r="A11" s="26" t="inlineStr">
        <is>
          <t>Lịch sử và địa lý (Địa lý)</t>
        </is>
      </c>
      <c r="B11" s="30">
        <f>SUMPRODUCT((TKB_Nhap!$A$2:$A$57=B$3)*(TKB_Nhap!$D$2:$J$57=$A11))-IFERROR(N(IF(TuanConfig!$B$2="C",INDEX(SoTiet!$B$3:$I$18,MATCH($A11,SoTiet!$A$3:$A$18,0),1),INDEX(SoTiet!$K$3:$R$18,MATCH($A11,SoTiet!$A$3:$A$18,0),1))),0)</f>
        <v/>
      </c>
      <c r="C11" s="30">
        <f>SUMPRODUCT((TKB_Nhap!$A$2:$A$57=C$3)*(TKB_Nhap!$D$2:$J$57=$A11))-IFERROR(N(IF(TuanConfig!$B$2="C",INDEX(SoTiet!$B$3:$I$18,MATCH($A11,SoTiet!$A$3:$A$18,0),2),INDEX(SoTiet!$K$3:$R$18,MATCH($A11,SoTiet!$A$3:$A$18,0),2))),0)</f>
        <v/>
      </c>
      <c r="D11" s="30">
        <f>SUMPRODUCT((TKB_Nhap!$A$2:$A$57=D$3)*(TKB_Nhap!$D$2:$J$57=$A11))-IFERROR(N(IF(TuanConfig!$B$2="C",INDEX(SoTiet!$B$3:$I$18,MATCH($A11,SoTiet!$A$3:$A$18,0),3),INDEX(SoTiet!$K$3:$R$18,MATCH($A11,SoTiet!$A$3:$A$18,0),3))),0)</f>
        <v/>
      </c>
      <c r="E11" s="30">
        <f>SUMPRODUCT((TKB_Nhap!$A$2:$A$57=E$3)*(TKB_Nhap!$D$2:$J$57=$A11))-IFERROR(N(IF(TuanConfig!$B$2="C",INDEX(SoTiet!$B$3:$I$18,MATCH($A11,SoTiet!$A$3:$A$18,0),4),INDEX(SoTiet!$K$3:$R$18,MATCH($A11,SoTiet!$A$3:$A$18,0),4))),0)</f>
        <v/>
      </c>
      <c r="F11" s="30">
        <f>SUMPRODUCT((TKB_Nhap!$A$2:$A$57=F$3)*(TKB_Nhap!$D$2:$J$57=$A11))-IFERROR(N(IF(TuanConfig!$B$2="C",INDEX(SoTiet!$B$3:$I$18,MATCH($A11,SoTiet!$A$3:$A$18,0),5),INDEX(SoTiet!$K$3:$R$18,MATCH($A11,SoTiet!$A$3:$A$18,0),5))),0)</f>
        <v/>
      </c>
      <c r="G11" s="30">
        <f>SUMPRODUCT((TKB_Nhap!$A$2:$A$57=G$3)*(TKB_Nhap!$D$2:$J$57=$A11))-IFERROR(N(IF(TuanConfig!$B$2="C",INDEX(SoTiet!$B$3:$I$18,MATCH($A11,SoTiet!$A$3:$A$18,0),6),INDEX(SoTiet!$K$3:$R$18,MATCH($A11,SoTiet!$A$3:$A$18,0),6))),0)</f>
        <v/>
      </c>
      <c r="H11" s="30">
        <f>SUMPRODUCT((TKB_Nhap!$A$2:$A$57=H$3)*(TKB_Nhap!$D$2:$J$57=$A11))-IFERROR(N(IF(TuanConfig!$B$2="C",INDEX(SoTiet!$B$3:$I$18,MATCH($A11,SoTiet!$A$3:$A$18,0),7),INDEX(SoTiet!$K$3:$R$18,MATCH($A11,SoTiet!$A$3:$A$18,0),7))),0)</f>
        <v/>
      </c>
      <c r="I11" s="30">
        <f>SUMPRODUCT((TKB_Nhap!$A$2:$A$57=I$3)*(TKB_Nhap!$D$2:$J$57=$A11))-IFERROR(N(IF(TuanConfig!$B$2="C",INDEX(SoTiet!$B$3:$I$18,MATCH($A11,SoTiet!$A$3:$A$18,0),8),INDEX(SoTiet!$K$3:$R$18,MATCH($A11,SoTiet!$A$3:$A$18,0),8))),0)</f>
        <v/>
      </c>
      <c r="J11" s="30" t="n"/>
    </row>
    <row r="12" ht="18" customHeight="1">
      <c r="A12" s="26" t="inlineStr">
        <is>
          <t>Giáo dục công dân</t>
        </is>
      </c>
      <c r="B12" s="30">
        <f>SUMPRODUCT((TKB_Nhap!$A$2:$A$57=B$3)*(TKB_Nhap!$D$2:$J$57=$A12))-IFERROR(N(IF(TuanConfig!$B$2="C",INDEX(SoTiet!$B$3:$I$18,MATCH($A12,SoTiet!$A$3:$A$18,0),1),INDEX(SoTiet!$K$3:$R$18,MATCH($A12,SoTiet!$A$3:$A$18,0),1))),0)</f>
        <v/>
      </c>
      <c r="C12" s="30">
        <f>SUMPRODUCT((TKB_Nhap!$A$2:$A$57=C$3)*(TKB_Nhap!$D$2:$J$57=$A12))-IFERROR(N(IF(TuanConfig!$B$2="C",INDEX(SoTiet!$B$3:$I$18,MATCH($A12,SoTiet!$A$3:$A$18,0),2),INDEX(SoTiet!$K$3:$R$18,MATCH($A12,SoTiet!$A$3:$A$18,0),2))),0)</f>
        <v/>
      </c>
      <c r="D12" s="30">
        <f>SUMPRODUCT((TKB_Nhap!$A$2:$A$57=D$3)*(TKB_Nhap!$D$2:$J$57=$A12))-IFERROR(N(IF(TuanConfig!$B$2="C",INDEX(SoTiet!$B$3:$I$18,MATCH($A12,SoTiet!$A$3:$A$18,0),3),INDEX(SoTiet!$K$3:$R$18,MATCH($A12,SoTiet!$A$3:$A$18,0),3))),0)</f>
        <v/>
      </c>
      <c r="E12" s="30">
        <f>SUMPRODUCT((TKB_Nhap!$A$2:$A$57=E$3)*(TKB_Nhap!$D$2:$J$57=$A12))-IFERROR(N(IF(TuanConfig!$B$2="C",INDEX(SoTiet!$B$3:$I$18,MATCH($A12,SoTiet!$A$3:$A$18,0),4),INDEX(SoTiet!$K$3:$R$18,MATCH($A12,SoTiet!$A$3:$A$18,0),4))),0)</f>
        <v/>
      </c>
      <c r="F12" s="30">
        <f>SUMPRODUCT((TKB_Nhap!$A$2:$A$57=F$3)*(TKB_Nhap!$D$2:$J$57=$A12))-IFERROR(N(IF(TuanConfig!$B$2="C",INDEX(SoTiet!$B$3:$I$18,MATCH($A12,SoTiet!$A$3:$A$18,0),5),INDEX(SoTiet!$K$3:$R$18,MATCH($A12,SoTiet!$A$3:$A$18,0),5))),0)</f>
        <v/>
      </c>
      <c r="G12" s="30">
        <f>SUMPRODUCT((TKB_Nhap!$A$2:$A$57=G$3)*(TKB_Nhap!$D$2:$J$57=$A12))-IFERROR(N(IF(TuanConfig!$B$2="C",INDEX(SoTiet!$B$3:$I$18,MATCH($A12,SoTiet!$A$3:$A$18,0),6),INDEX(SoTiet!$K$3:$R$18,MATCH($A12,SoTiet!$A$3:$A$18,0),6))),0)</f>
        <v/>
      </c>
      <c r="H12" s="30">
        <f>SUMPRODUCT((TKB_Nhap!$A$2:$A$57=H$3)*(TKB_Nhap!$D$2:$J$57=$A12))-IFERROR(N(IF(TuanConfig!$B$2="C",INDEX(SoTiet!$B$3:$I$18,MATCH($A12,SoTiet!$A$3:$A$18,0),7),INDEX(SoTiet!$K$3:$R$18,MATCH($A12,SoTiet!$A$3:$A$18,0),7))),0)</f>
        <v/>
      </c>
      <c r="I12" s="30">
        <f>SUMPRODUCT((TKB_Nhap!$A$2:$A$57=I$3)*(TKB_Nhap!$D$2:$J$57=$A12))-IFERROR(N(IF(TuanConfig!$B$2="C",INDEX(SoTiet!$B$3:$I$18,MATCH($A12,SoTiet!$A$3:$A$18,0),8),INDEX(SoTiet!$K$3:$R$18,MATCH($A12,SoTiet!$A$3:$A$18,0),8))),0)</f>
        <v/>
      </c>
      <c r="J12" s="30" t="n"/>
    </row>
    <row r="13" ht="18" customHeight="1">
      <c r="A13" s="26" t="inlineStr">
        <is>
          <t>Công nghệ</t>
        </is>
      </c>
      <c r="B13" s="30">
        <f>SUMPRODUCT((TKB_Nhap!$A$2:$A$57=B$3)*(TKB_Nhap!$D$2:$J$57=$A13))-IFERROR(N(IF(TuanConfig!$B$2="C",INDEX(SoTiet!$B$3:$I$18,MATCH($A13,SoTiet!$A$3:$A$18,0),1),INDEX(SoTiet!$K$3:$R$18,MATCH($A13,SoTiet!$A$3:$A$18,0),1))),0)</f>
        <v/>
      </c>
      <c r="C13" s="30">
        <f>SUMPRODUCT((TKB_Nhap!$A$2:$A$57=C$3)*(TKB_Nhap!$D$2:$J$57=$A13))-IFERROR(N(IF(TuanConfig!$B$2="C",INDEX(SoTiet!$B$3:$I$18,MATCH($A13,SoTiet!$A$3:$A$18,0),2),INDEX(SoTiet!$K$3:$R$18,MATCH($A13,SoTiet!$A$3:$A$18,0),2))),0)</f>
        <v/>
      </c>
      <c r="D13" s="30">
        <f>SUMPRODUCT((TKB_Nhap!$A$2:$A$57=D$3)*(TKB_Nhap!$D$2:$J$57=$A13))-IFERROR(N(IF(TuanConfig!$B$2="C",INDEX(SoTiet!$B$3:$I$18,MATCH($A13,SoTiet!$A$3:$A$18,0),3),INDEX(SoTiet!$K$3:$R$18,MATCH($A13,SoTiet!$A$3:$A$18,0),3))),0)</f>
        <v/>
      </c>
      <c r="E13" s="30">
        <f>SUMPRODUCT((TKB_Nhap!$A$2:$A$57=E$3)*(TKB_Nhap!$D$2:$J$57=$A13))-IFERROR(N(IF(TuanConfig!$B$2="C",INDEX(SoTiet!$B$3:$I$18,MATCH($A13,SoTiet!$A$3:$A$18,0),4),INDEX(SoTiet!$K$3:$R$18,MATCH($A13,SoTiet!$A$3:$A$18,0),4))),0)</f>
        <v/>
      </c>
      <c r="F13" s="30">
        <f>SUMPRODUCT((TKB_Nhap!$A$2:$A$57=F$3)*(TKB_Nhap!$D$2:$J$57=$A13))-IFERROR(N(IF(TuanConfig!$B$2="C",INDEX(SoTiet!$B$3:$I$18,MATCH($A13,SoTiet!$A$3:$A$18,0),5),INDEX(SoTiet!$K$3:$R$18,MATCH($A13,SoTiet!$A$3:$A$18,0),5))),0)</f>
        <v/>
      </c>
      <c r="G13" s="30">
        <f>SUMPRODUCT((TKB_Nhap!$A$2:$A$57=G$3)*(TKB_Nhap!$D$2:$J$57=$A13))-IFERROR(N(IF(TuanConfig!$B$2="C",INDEX(SoTiet!$B$3:$I$18,MATCH($A13,SoTiet!$A$3:$A$18,0),6),INDEX(SoTiet!$K$3:$R$18,MATCH($A13,SoTiet!$A$3:$A$18,0),6))),0)</f>
        <v/>
      </c>
      <c r="H13" s="30">
        <f>SUMPRODUCT((TKB_Nhap!$A$2:$A$57=H$3)*(TKB_Nhap!$D$2:$J$57=$A13))-IFERROR(N(IF(TuanConfig!$B$2="C",INDEX(SoTiet!$B$3:$I$18,MATCH($A13,SoTiet!$A$3:$A$18,0),7),INDEX(SoTiet!$K$3:$R$18,MATCH($A13,SoTiet!$A$3:$A$18,0),7))),0)</f>
        <v/>
      </c>
      <c r="I13" s="30">
        <f>SUMPRODUCT((TKB_Nhap!$A$2:$A$57=I$3)*(TKB_Nhap!$D$2:$J$57=$A13))-IFERROR(N(IF(TuanConfig!$B$2="C",INDEX(SoTiet!$B$3:$I$18,MATCH($A13,SoTiet!$A$3:$A$18,0),8),INDEX(SoTiet!$K$3:$R$18,MATCH($A13,SoTiet!$A$3:$A$18,0),8))),0)</f>
        <v/>
      </c>
      <c r="J13" s="30" t="n"/>
    </row>
    <row r="14" ht="18" customHeight="1">
      <c r="A14" s="26" t="inlineStr">
        <is>
          <t>Tin</t>
        </is>
      </c>
      <c r="B14" s="30">
        <f>SUMPRODUCT((TKB_Nhap!$A$2:$A$57=B$3)*(TKB_Nhap!$D$2:$J$57=$A14))-IFERROR(N(IF(TuanConfig!$B$2="C",INDEX(SoTiet!$B$3:$I$18,MATCH($A14,SoTiet!$A$3:$A$18,0),1),INDEX(SoTiet!$K$3:$R$18,MATCH($A14,SoTiet!$A$3:$A$18,0),1))),0)</f>
        <v/>
      </c>
      <c r="C14" s="30">
        <f>SUMPRODUCT((TKB_Nhap!$A$2:$A$57=C$3)*(TKB_Nhap!$D$2:$J$57=$A14))-IFERROR(N(IF(TuanConfig!$B$2="C",INDEX(SoTiet!$B$3:$I$18,MATCH($A14,SoTiet!$A$3:$A$18,0),2),INDEX(SoTiet!$K$3:$R$18,MATCH($A14,SoTiet!$A$3:$A$18,0),2))),0)</f>
        <v/>
      </c>
      <c r="D14" s="30">
        <f>SUMPRODUCT((TKB_Nhap!$A$2:$A$57=D$3)*(TKB_Nhap!$D$2:$J$57=$A14))-IFERROR(N(IF(TuanConfig!$B$2="C",INDEX(SoTiet!$B$3:$I$18,MATCH($A14,SoTiet!$A$3:$A$18,0),3),INDEX(SoTiet!$K$3:$R$18,MATCH($A14,SoTiet!$A$3:$A$18,0),3))),0)</f>
        <v/>
      </c>
      <c r="E14" s="30">
        <f>SUMPRODUCT((TKB_Nhap!$A$2:$A$57=E$3)*(TKB_Nhap!$D$2:$J$57=$A14))-IFERROR(N(IF(TuanConfig!$B$2="C",INDEX(SoTiet!$B$3:$I$18,MATCH($A14,SoTiet!$A$3:$A$18,0),4),INDEX(SoTiet!$K$3:$R$18,MATCH($A14,SoTiet!$A$3:$A$18,0),4))),0)</f>
        <v/>
      </c>
      <c r="F14" s="30">
        <f>SUMPRODUCT((TKB_Nhap!$A$2:$A$57=F$3)*(TKB_Nhap!$D$2:$J$57=$A14))-IFERROR(N(IF(TuanConfig!$B$2="C",INDEX(SoTiet!$B$3:$I$18,MATCH($A14,SoTiet!$A$3:$A$18,0),5),INDEX(SoTiet!$K$3:$R$18,MATCH($A14,SoTiet!$A$3:$A$18,0),5))),0)</f>
        <v/>
      </c>
      <c r="G14" s="30">
        <f>SUMPRODUCT((TKB_Nhap!$A$2:$A$57=G$3)*(TKB_Nhap!$D$2:$J$57=$A14))-IFERROR(N(IF(TuanConfig!$B$2="C",INDEX(SoTiet!$B$3:$I$18,MATCH($A14,SoTiet!$A$3:$A$18,0),6),INDEX(SoTiet!$K$3:$R$18,MATCH($A14,SoTiet!$A$3:$A$18,0),6))),0)</f>
        <v/>
      </c>
      <c r="H14" s="30">
        <f>SUMPRODUCT((TKB_Nhap!$A$2:$A$57=H$3)*(TKB_Nhap!$D$2:$J$57=$A14))-IFERROR(N(IF(TuanConfig!$B$2="C",INDEX(SoTiet!$B$3:$I$18,MATCH($A14,SoTiet!$A$3:$A$18,0),7),INDEX(SoTiet!$K$3:$R$18,MATCH($A14,SoTiet!$A$3:$A$18,0),7))),0)</f>
        <v/>
      </c>
      <c r="I14" s="30">
        <f>SUMPRODUCT((TKB_Nhap!$A$2:$A$57=I$3)*(TKB_Nhap!$D$2:$J$57=$A14))-IFERROR(N(IF(TuanConfig!$B$2="C",INDEX(SoTiet!$B$3:$I$18,MATCH($A14,SoTiet!$A$3:$A$18,0),8),INDEX(SoTiet!$K$3:$R$18,MATCH($A14,SoTiet!$A$3:$A$18,0),8))),0)</f>
        <v/>
      </c>
      <c r="J14" s="30" t="n"/>
    </row>
    <row r="15" ht="18" customHeight="1">
      <c r="A15" s="26" t="inlineStr">
        <is>
          <t>Giáo dục thể chất</t>
        </is>
      </c>
      <c r="B15" s="30">
        <f>SUMPRODUCT((TKB_Nhap!$A$2:$A$57=B$3)*(TKB_Nhap!$D$2:$J$57=$A15))-IFERROR(N(IF(TuanConfig!$B$2="C",INDEX(SoTiet!$B$3:$I$18,MATCH($A15,SoTiet!$A$3:$A$18,0),1),INDEX(SoTiet!$K$3:$R$18,MATCH($A15,SoTiet!$A$3:$A$18,0),1))),0)</f>
        <v/>
      </c>
      <c r="C15" s="30">
        <f>SUMPRODUCT((TKB_Nhap!$A$2:$A$57=C$3)*(TKB_Nhap!$D$2:$J$57=$A15))-IFERROR(N(IF(TuanConfig!$B$2="C",INDEX(SoTiet!$B$3:$I$18,MATCH($A15,SoTiet!$A$3:$A$18,0),2),INDEX(SoTiet!$K$3:$R$18,MATCH($A15,SoTiet!$A$3:$A$18,0),2))),0)</f>
        <v/>
      </c>
      <c r="D15" s="30">
        <f>SUMPRODUCT((TKB_Nhap!$A$2:$A$57=D$3)*(TKB_Nhap!$D$2:$J$57=$A15))-IFERROR(N(IF(TuanConfig!$B$2="C",INDEX(SoTiet!$B$3:$I$18,MATCH($A15,SoTiet!$A$3:$A$18,0),3),INDEX(SoTiet!$K$3:$R$18,MATCH($A15,SoTiet!$A$3:$A$18,0),3))),0)</f>
        <v/>
      </c>
      <c r="E15" s="30">
        <f>SUMPRODUCT((TKB_Nhap!$A$2:$A$57=E$3)*(TKB_Nhap!$D$2:$J$57=$A15))-IFERROR(N(IF(TuanConfig!$B$2="C",INDEX(SoTiet!$B$3:$I$18,MATCH($A15,SoTiet!$A$3:$A$18,0),4),INDEX(SoTiet!$K$3:$R$18,MATCH($A15,SoTiet!$A$3:$A$18,0),4))),0)</f>
        <v/>
      </c>
      <c r="F15" s="30">
        <f>SUMPRODUCT((TKB_Nhap!$A$2:$A$57=F$3)*(TKB_Nhap!$D$2:$J$57=$A15))-IFERROR(N(IF(TuanConfig!$B$2="C",INDEX(SoTiet!$B$3:$I$18,MATCH($A15,SoTiet!$A$3:$A$18,0),5),INDEX(SoTiet!$K$3:$R$18,MATCH($A15,SoTiet!$A$3:$A$18,0),5))),0)</f>
        <v/>
      </c>
      <c r="G15" s="30">
        <f>SUMPRODUCT((TKB_Nhap!$A$2:$A$57=G$3)*(TKB_Nhap!$D$2:$J$57=$A15))-IFERROR(N(IF(TuanConfig!$B$2="C",INDEX(SoTiet!$B$3:$I$18,MATCH($A15,SoTiet!$A$3:$A$18,0),6),INDEX(SoTiet!$K$3:$R$18,MATCH($A15,SoTiet!$A$3:$A$18,0),6))),0)</f>
        <v/>
      </c>
      <c r="H15" s="30">
        <f>SUMPRODUCT((TKB_Nhap!$A$2:$A$57=H$3)*(TKB_Nhap!$D$2:$J$57=$A15))-IFERROR(N(IF(TuanConfig!$B$2="C",INDEX(SoTiet!$B$3:$I$18,MATCH($A15,SoTiet!$A$3:$A$18,0),7),INDEX(SoTiet!$K$3:$R$18,MATCH($A15,SoTiet!$A$3:$A$18,0),7))),0)</f>
        <v/>
      </c>
      <c r="I15" s="30">
        <f>SUMPRODUCT((TKB_Nhap!$A$2:$A$57=I$3)*(TKB_Nhap!$D$2:$J$57=$A15))-IFERROR(N(IF(TuanConfig!$B$2="C",INDEX(SoTiet!$B$3:$I$18,MATCH($A15,SoTiet!$A$3:$A$18,0),8),INDEX(SoTiet!$K$3:$R$18,MATCH($A15,SoTiet!$A$3:$A$18,0),8))),0)</f>
        <v/>
      </c>
      <c r="J15" s="30" t="n"/>
    </row>
    <row r="16" ht="18" customHeight="1">
      <c r="A16" s="26" t="inlineStr">
        <is>
          <t>Nội dung giáo dục của địa phương</t>
        </is>
      </c>
      <c r="B16" s="30">
        <f>SUMPRODUCT((TKB_Nhap!$A$2:$A$57=B$3)*(TKB_Nhap!$D$2:$J$57=$A16))-IFERROR(N(IF(TuanConfig!$B$2="C",INDEX(SoTiet!$B$3:$I$18,MATCH($A16,SoTiet!$A$3:$A$18,0),1),INDEX(SoTiet!$K$3:$R$18,MATCH($A16,SoTiet!$A$3:$A$18,0),1))),0)</f>
        <v/>
      </c>
      <c r="C16" s="30">
        <f>SUMPRODUCT((TKB_Nhap!$A$2:$A$57=C$3)*(TKB_Nhap!$D$2:$J$57=$A16))-IFERROR(N(IF(TuanConfig!$B$2="C",INDEX(SoTiet!$B$3:$I$18,MATCH($A16,SoTiet!$A$3:$A$18,0),2),INDEX(SoTiet!$K$3:$R$18,MATCH($A16,SoTiet!$A$3:$A$18,0),2))),0)</f>
        <v/>
      </c>
      <c r="D16" s="30">
        <f>SUMPRODUCT((TKB_Nhap!$A$2:$A$57=D$3)*(TKB_Nhap!$D$2:$J$57=$A16))-IFERROR(N(IF(TuanConfig!$B$2="C",INDEX(SoTiet!$B$3:$I$18,MATCH($A16,SoTiet!$A$3:$A$18,0),3),INDEX(SoTiet!$K$3:$R$18,MATCH($A16,SoTiet!$A$3:$A$18,0),3))),0)</f>
        <v/>
      </c>
      <c r="E16" s="30">
        <f>SUMPRODUCT((TKB_Nhap!$A$2:$A$57=E$3)*(TKB_Nhap!$D$2:$J$57=$A16))-IFERROR(N(IF(TuanConfig!$B$2="C",INDEX(SoTiet!$B$3:$I$18,MATCH($A16,SoTiet!$A$3:$A$18,0),4),INDEX(SoTiet!$K$3:$R$18,MATCH($A16,SoTiet!$A$3:$A$18,0),4))),0)</f>
        <v/>
      </c>
      <c r="F16" s="30">
        <f>SUMPRODUCT((TKB_Nhap!$A$2:$A$57=F$3)*(TKB_Nhap!$D$2:$J$57=$A16))-IFERROR(N(IF(TuanConfig!$B$2="C",INDEX(SoTiet!$B$3:$I$18,MATCH($A16,SoTiet!$A$3:$A$18,0),5),INDEX(SoTiet!$K$3:$R$18,MATCH($A16,SoTiet!$A$3:$A$18,0),5))),0)</f>
        <v/>
      </c>
      <c r="G16" s="30">
        <f>SUMPRODUCT((TKB_Nhap!$A$2:$A$57=G$3)*(TKB_Nhap!$D$2:$J$57=$A16))-IFERROR(N(IF(TuanConfig!$B$2="C",INDEX(SoTiet!$B$3:$I$18,MATCH($A16,SoTiet!$A$3:$A$18,0),6),INDEX(SoTiet!$K$3:$R$18,MATCH($A16,SoTiet!$A$3:$A$18,0),6))),0)</f>
        <v/>
      </c>
      <c r="H16" s="30">
        <f>SUMPRODUCT((TKB_Nhap!$A$2:$A$57=H$3)*(TKB_Nhap!$D$2:$J$57=$A16))-IFERROR(N(IF(TuanConfig!$B$2="C",INDEX(SoTiet!$B$3:$I$18,MATCH($A16,SoTiet!$A$3:$A$18,0),7),INDEX(SoTiet!$K$3:$R$18,MATCH($A16,SoTiet!$A$3:$A$18,0),7))),0)</f>
        <v/>
      </c>
      <c r="I16" s="30">
        <f>SUMPRODUCT((TKB_Nhap!$A$2:$A$57=I$3)*(TKB_Nhap!$D$2:$J$57=$A16))-IFERROR(N(IF(TuanConfig!$B$2="C",INDEX(SoTiet!$B$3:$I$18,MATCH($A16,SoTiet!$A$3:$A$18,0),8),INDEX(SoTiet!$K$3:$R$18,MATCH($A16,SoTiet!$A$3:$A$18,0),8))),0)</f>
        <v/>
      </c>
      <c r="J16" s="30" t="n"/>
    </row>
    <row r="17" ht="18" customHeight="1">
      <c r="A17" s="26" t="inlineStr">
        <is>
          <t>Hoạt động trải nghiệm, hướng nghiệp</t>
        </is>
      </c>
      <c r="B17" s="30">
        <f>SUMPRODUCT((TKB_Nhap!$A$2:$A$57=B$3)*(TKB_Nhap!$D$2:$J$57=$A17))-IFERROR(N(IF(TuanConfig!$B$2="C",INDEX(SoTiet!$B$3:$I$18,MATCH($A17,SoTiet!$A$3:$A$18,0),1),INDEX(SoTiet!$K$3:$R$18,MATCH($A17,SoTiet!$A$3:$A$18,0),1))),0)</f>
        <v/>
      </c>
      <c r="C17" s="30">
        <f>SUMPRODUCT((TKB_Nhap!$A$2:$A$57=C$3)*(TKB_Nhap!$D$2:$J$57=$A17))-IFERROR(N(IF(TuanConfig!$B$2="C",INDEX(SoTiet!$B$3:$I$18,MATCH($A17,SoTiet!$A$3:$A$18,0),2),INDEX(SoTiet!$K$3:$R$18,MATCH($A17,SoTiet!$A$3:$A$18,0),2))),0)</f>
        <v/>
      </c>
      <c r="D17" s="30">
        <f>SUMPRODUCT((TKB_Nhap!$A$2:$A$57=D$3)*(TKB_Nhap!$D$2:$J$57=$A17))-IFERROR(N(IF(TuanConfig!$B$2="C",INDEX(SoTiet!$B$3:$I$18,MATCH($A17,SoTiet!$A$3:$A$18,0),3),INDEX(SoTiet!$K$3:$R$18,MATCH($A17,SoTiet!$A$3:$A$18,0),3))),0)</f>
        <v/>
      </c>
      <c r="E17" s="30">
        <f>SUMPRODUCT((TKB_Nhap!$A$2:$A$57=E$3)*(TKB_Nhap!$D$2:$J$57=$A17))-IFERROR(N(IF(TuanConfig!$B$2="C",INDEX(SoTiet!$B$3:$I$18,MATCH($A17,SoTiet!$A$3:$A$18,0),4),INDEX(SoTiet!$K$3:$R$18,MATCH($A17,SoTiet!$A$3:$A$18,0),4))),0)</f>
        <v/>
      </c>
      <c r="F17" s="30">
        <f>SUMPRODUCT((TKB_Nhap!$A$2:$A$57=F$3)*(TKB_Nhap!$D$2:$J$57=$A17))-IFERROR(N(IF(TuanConfig!$B$2="C",INDEX(SoTiet!$B$3:$I$18,MATCH($A17,SoTiet!$A$3:$A$18,0),5),INDEX(SoTiet!$K$3:$R$18,MATCH($A17,SoTiet!$A$3:$A$18,0),5))),0)</f>
        <v/>
      </c>
      <c r="G17" s="30">
        <f>SUMPRODUCT((TKB_Nhap!$A$2:$A$57=G$3)*(TKB_Nhap!$D$2:$J$57=$A17))-IFERROR(N(IF(TuanConfig!$B$2="C",INDEX(SoTiet!$B$3:$I$18,MATCH($A17,SoTiet!$A$3:$A$18,0),6),INDEX(SoTiet!$K$3:$R$18,MATCH($A17,SoTiet!$A$3:$A$18,0),6))),0)</f>
        <v/>
      </c>
      <c r="H17" s="30">
        <f>SUMPRODUCT((TKB_Nhap!$A$2:$A$57=H$3)*(TKB_Nhap!$D$2:$J$57=$A17))-IFERROR(N(IF(TuanConfig!$B$2="C",INDEX(SoTiet!$B$3:$I$18,MATCH($A17,SoTiet!$A$3:$A$18,0),7),INDEX(SoTiet!$K$3:$R$18,MATCH($A17,SoTiet!$A$3:$A$18,0),7))),0)</f>
        <v/>
      </c>
      <c r="I17" s="30">
        <f>SUMPRODUCT((TKB_Nhap!$A$2:$A$57=I$3)*(TKB_Nhap!$D$2:$J$57=$A17))-IFERROR(N(IF(TuanConfig!$B$2="C",INDEX(SoTiet!$B$3:$I$18,MATCH($A17,SoTiet!$A$3:$A$18,0),8),INDEX(SoTiet!$K$3:$R$18,MATCH($A17,SoTiet!$A$3:$A$18,0),8))),0)</f>
        <v/>
      </c>
      <c r="J17" s="30" t="n"/>
    </row>
    <row r="18" ht="18" customHeight="1">
      <c r="A18" s="26" t="inlineStr">
        <is>
          <t>Nghệ thuật (Nhạc)</t>
        </is>
      </c>
      <c r="B18" s="30">
        <f>SUMPRODUCT((TKB_Nhap!$A$2:$A$57=B$3)*(TKB_Nhap!$D$2:$J$57=$A18))-IFERROR(N(IF(TuanConfig!$B$2="C",INDEX(SoTiet!$B$3:$I$18,MATCH($A18,SoTiet!$A$3:$A$18,0),1),INDEX(SoTiet!$K$3:$R$18,MATCH($A18,SoTiet!$A$3:$A$18,0),1))),0)</f>
        <v/>
      </c>
      <c r="C18" s="30">
        <f>SUMPRODUCT((TKB_Nhap!$A$2:$A$57=C$3)*(TKB_Nhap!$D$2:$J$57=$A18))-IFERROR(N(IF(TuanConfig!$B$2="C",INDEX(SoTiet!$B$3:$I$18,MATCH($A18,SoTiet!$A$3:$A$18,0),2),INDEX(SoTiet!$K$3:$R$18,MATCH($A18,SoTiet!$A$3:$A$18,0),2))),0)</f>
        <v/>
      </c>
      <c r="D18" s="30">
        <f>SUMPRODUCT((TKB_Nhap!$A$2:$A$57=D$3)*(TKB_Nhap!$D$2:$J$57=$A18))-IFERROR(N(IF(TuanConfig!$B$2="C",INDEX(SoTiet!$B$3:$I$18,MATCH($A18,SoTiet!$A$3:$A$18,0),3),INDEX(SoTiet!$K$3:$R$18,MATCH($A18,SoTiet!$A$3:$A$18,0),3))),0)</f>
        <v/>
      </c>
      <c r="E18" s="30">
        <f>SUMPRODUCT((TKB_Nhap!$A$2:$A$57=E$3)*(TKB_Nhap!$D$2:$J$57=$A18))-IFERROR(N(IF(TuanConfig!$B$2="C",INDEX(SoTiet!$B$3:$I$18,MATCH($A18,SoTiet!$A$3:$A$18,0),4),INDEX(SoTiet!$K$3:$R$18,MATCH($A18,SoTiet!$A$3:$A$18,0),4))),0)</f>
        <v/>
      </c>
      <c r="F18" s="30">
        <f>SUMPRODUCT((TKB_Nhap!$A$2:$A$57=F$3)*(TKB_Nhap!$D$2:$J$57=$A18))-IFERROR(N(IF(TuanConfig!$B$2="C",INDEX(SoTiet!$B$3:$I$18,MATCH($A18,SoTiet!$A$3:$A$18,0),5),INDEX(SoTiet!$K$3:$R$18,MATCH($A18,SoTiet!$A$3:$A$18,0),5))),0)</f>
        <v/>
      </c>
      <c r="G18" s="30">
        <f>SUMPRODUCT((TKB_Nhap!$A$2:$A$57=G$3)*(TKB_Nhap!$D$2:$J$57=$A18))-IFERROR(N(IF(TuanConfig!$B$2="C",INDEX(SoTiet!$B$3:$I$18,MATCH($A18,SoTiet!$A$3:$A$18,0),6),INDEX(SoTiet!$K$3:$R$18,MATCH($A18,SoTiet!$A$3:$A$18,0),6))),0)</f>
        <v/>
      </c>
      <c r="H18" s="30">
        <f>SUMPRODUCT((TKB_Nhap!$A$2:$A$57=H$3)*(TKB_Nhap!$D$2:$J$57=$A18))-IFERROR(N(IF(TuanConfig!$B$2="C",INDEX(SoTiet!$B$3:$I$18,MATCH($A18,SoTiet!$A$3:$A$18,0),7),INDEX(SoTiet!$K$3:$R$18,MATCH($A18,SoTiet!$A$3:$A$18,0),7))),0)</f>
        <v/>
      </c>
      <c r="I18" s="30">
        <f>SUMPRODUCT((TKB_Nhap!$A$2:$A$57=I$3)*(TKB_Nhap!$D$2:$J$57=$A18))-IFERROR(N(IF(TuanConfig!$B$2="C",INDEX(SoTiet!$B$3:$I$18,MATCH($A18,SoTiet!$A$3:$A$18,0),8),INDEX(SoTiet!$K$3:$R$18,MATCH($A18,SoTiet!$A$3:$A$18,0),8))),0)</f>
        <v/>
      </c>
      <c r="J18" s="30" t="n"/>
    </row>
    <row r="19" ht="18" customHeight="1">
      <c r="A19" s="26" t="inlineStr">
        <is>
          <t>Nghệ thuật (Mỹ thuật)</t>
        </is>
      </c>
      <c r="B19" s="30">
        <f>SUMPRODUCT((TKB_Nhap!$A$2:$A$57=B$3)*(TKB_Nhap!$D$2:$J$57=$A19))-IFERROR(N(IF(TuanConfig!$B$2="C",INDEX(SoTiet!$B$3:$I$18,MATCH($A19,SoTiet!$A$3:$A$18,0),1),INDEX(SoTiet!$K$3:$R$18,MATCH($A19,SoTiet!$A$3:$A$18,0),1))),0)</f>
        <v/>
      </c>
      <c r="C19" s="30">
        <f>SUMPRODUCT((TKB_Nhap!$A$2:$A$57=C$3)*(TKB_Nhap!$D$2:$J$57=$A19))-IFERROR(N(IF(TuanConfig!$B$2="C",INDEX(SoTiet!$B$3:$I$18,MATCH($A19,SoTiet!$A$3:$A$18,0),2),INDEX(SoTiet!$K$3:$R$18,MATCH($A19,SoTiet!$A$3:$A$18,0),2))),0)</f>
        <v/>
      </c>
      <c r="D19" s="30">
        <f>SUMPRODUCT((TKB_Nhap!$A$2:$A$57=D$3)*(TKB_Nhap!$D$2:$J$57=$A19))-IFERROR(N(IF(TuanConfig!$B$2="C",INDEX(SoTiet!$B$3:$I$18,MATCH($A19,SoTiet!$A$3:$A$18,0),3),INDEX(SoTiet!$K$3:$R$18,MATCH($A19,SoTiet!$A$3:$A$18,0),3))),0)</f>
        <v/>
      </c>
      <c r="E19" s="30">
        <f>SUMPRODUCT((TKB_Nhap!$A$2:$A$57=E$3)*(TKB_Nhap!$D$2:$J$57=$A19))-IFERROR(N(IF(TuanConfig!$B$2="C",INDEX(SoTiet!$B$3:$I$18,MATCH($A19,SoTiet!$A$3:$A$18,0),4),INDEX(SoTiet!$K$3:$R$18,MATCH($A19,SoTiet!$A$3:$A$18,0),4))),0)</f>
        <v/>
      </c>
      <c r="F19" s="30">
        <f>SUMPRODUCT((TKB_Nhap!$A$2:$A$57=F$3)*(TKB_Nhap!$D$2:$J$57=$A19))-IFERROR(N(IF(TuanConfig!$B$2="C",INDEX(SoTiet!$B$3:$I$18,MATCH($A19,SoTiet!$A$3:$A$18,0),5),INDEX(SoTiet!$K$3:$R$18,MATCH($A19,SoTiet!$A$3:$A$18,0),5))),0)</f>
        <v/>
      </c>
      <c r="G19" s="30">
        <f>SUMPRODUCT((TKB_Nhap!$A$2:$A$57=G$3)*(TKB_Nhap!$D$2:$J$57=$A19))-IFERROR(N(IF(TuanConfig!$B$2="C",INDEX(SoTiet!$B$3:$I$18,MATCH($A19,SoTiet!$A$3:$A$18,0),6),INDEX(SoTiet!$K$3:$R$18,MATCH($A19,SoTiet!$A$3:$A$18,0),6))),0)</f>
        <v/>
      </c>
      <c r="H19" s="30">
        <f>SUMPRODUCT((TKB_Nhap!$A$2:$A$57=H$3)*(TKB_Nhap!$D$2:$J$57=$A19))-IFERROR(N(IF(TuanConfig!$B$2="C",INDEX(SoTiet!$B$3:$I$18,MATCH($A19,SoTiet!$A$3:$A$18,0),7),INDEX(SoTiet!$K$3:$R$18,MATCH($A19,SoTiet!$A$3:$A$18,0),7))),0)</f>
        <v/>
      </c>
      <c r="I19" s="30">
        <f>SUMPRODUCT((TKB_Nhap!$A$2:$A$57=I$3)*(TKB_Nhap!$D$2:$J$57=$A19))-IFERROR(N(IF(TuanConfig!$B$2="C",INDEX(SoTiet!$B$3:$I$18,MATCH($A19,SoTiet!$A$3:$A$18,0),8),INDEX(SoTiet!$K$3:$R$18,MATCH($A19,SoTiet!$A$3:$A$18,0),8))),0)</f>
        <v/>
      </c>
      <c r="J19" s="30" t="n"/>
    </row>
    <row r="20" ht="18" customHeight="1">
      <c r="A20" s="15" t="inlineStr">
        <is>
          <t>TỔNG</t>
        </is>
      </c>
      <c r="B20" s="11">
        <f>SUM(B4:B19)</f>
        <v/>
      </c>
      <c r="C20" s="11">
        <f>SUM(C4:C19)</f>
        <v/>
      </c>
      <c r="D20" s="11">
        <f>SUM(D4:D19)</f>
        <v/>
      </c>
      <c r="E20" s="11">
        <f>SUM(E4:E19)</f>
        <v/>
      </c>
      <c r="F20" s="11">
        <f>SUM(F4:F19)</f>
        <v/>
      </c>
      <c r="G20" s="11">
        <f>SUM(G4:G19)</f>
        <v/>
      </c>
      <c r="H20" s="11">
        <f>SUM(H4:H19)</f>
        <v/>
      </c>
      <c r="I20" s="11">
        <f>SUM(I4:I19)</f>
        <v/>
      </c>
      <c r="J20" s="11" t="n"/>
    </row>
    <row r="21" ht="15" customHeight="1">
      <c r="A21" s="5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5" customHeight="1">
      <c r="A22" s="5" t="n"/>
      <c r="B22" s="31" t="n"/>
    </row>
    <row r="23" ht="15" customHeight="1">
      <c r="A23" s="5" t="n"/>
      <c r="B23" s="12" t="n"/>
      <c r="C23" s="40" t="n"/>
    </row>
    <row r="24" ht="15" customHeight="1"/>
    <row r="25" ht="15" customHeight="1">
      <c r="A25" s="41" t="n"/>
    </row>
    <row r="26" ht="15" customHeight="1">
      <c r="A26" s="5" t="n"/>
      <c r="B26" s="5" t="n"/>
    </row>
    <row r="27" ht="15" customHeight="1">
      <c r="A27" s="4" t="n"/>
      <c r="B27" s="19" t="n"/>
    </row>
    <row r="28" ht="15" customHeight="1">
      <c r="A28" s="4" t="n"/>
      <c r="B28" s="19" t="n"/>
    </row>
    <row r="29" ht="15" customHeight="1">
      <c r="A29" s="4" t="n"/>
      <c r="B29" s="19" t="n"/>
    </row>
    <row r="30" ht="15" customHeight="1">
      <c r="A30" s="4" t="n"/>
      <c r="B30" s="19" t="n"/>
    </row>
    <row r="31" ht="15" customHeight="1">
      <c r="A31" s="4" t="n"/>
      <c r="B31" s="19" t="n"/>
    </row>
    <row r="32" ht="15" customHeight="1">
      <c r="A32" s="4" t="n"/>
      <c r="B32" s="19" t="n"/>
    </row>
    <row r="33" ht="15" customHeight="1">
      <c r="A33" s="4" t="n"/>
      <c r="B33" s="19" t="n"/>
    </row>
    <row r="34" ht="15" customHeight="1">
      <c r="A34" s="4" t="n"/>
      <c r="B34" s="19" t="n"/>
    </row>
    <row r="35" ht="15" customHeight="1">
      <c r="A35" s="4" t="n"/>
      <c r="B35" s="19" t="n"/>
    </row>
    <row r="36" ht="15" customHeight="1">
      <c r="A36" s="4" t="n"/>
      <c r="B36" s="19" t="n"/>
    </row>
    <row r="37" ht="15" customHeight="1">
      <c r="A37" s="4" t="n"/>
      <c r="B37" s="19" t="n"/>
    </row>
    <row r="38" ht="15" customHeight="1">
      <c r="A38" s="4" t="n"/>
      <c r="B38" s="19" t="n"/>
    </row>
    <row r="39" ht="15" customHeight="1">
      <c r="A39" s="4" t="n"/>
      <c r="B39" s="19" t="n"/>
    </row>
    <row r="40" ht="15" customHeight="1">
      <c r="A40" s="4" t="n"/>
      <c r="B40" s="19" t="n"/>
    </row>
    <row r="41" ht="15" customHeight="1">
      <c r="A41" s="4" t="n"/>
      <c r="B41" s="19" t="n"/>
    </row>
    <row r="42" ht="15" customHeight="1">
      <c r="A42" s="4" t="n"/>
      <c r="B42" s="19" t="n"/>
    </row>
    <row r="43" ht="15" customHeight="1">
      <c r="A43" s="4" t="n"/>
      <c r="B43" s="19" t="n"/>
    </row>
    <row r="44" ht="15" customHeight="1">
      <c r="A44" s="4" t="n"/>
      <c r="B44" s="19" t="n"/>
    </row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J1"/>
  </mergeCells>
  <conditionalFormatting sqref="B22:B23">
    <cfRule type="expression" priority="3" dxfId="0">
      <formula>B22&gt;0</formula>
    </cfRule>
  </conditionalFormatting>
  <conditionalFormatting sqref="B4:I20">
    <cfRule type="expression" priority="9" dxfId="0">
      <formula>B4&lt;&gt;0</formula>
    </cfRule>
  </conditionalFormatting>
  <conditionalFormatting sqref="B4:J21">
    <cfRule type="expression" priority="2" dxfId="0">
      <formula>B4&lt;&gt;0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zoomScaleNormal="100" workbookViewId="0">
      <selection activeCell="A1" sqref="A1"/>
    </sheetView>
  </sheetViews>
  <sheetFormatPr baseColWidth="8" defaultColWidth="8.7109375" defaultRowHeight="15"/>
  <cols>
    <col width="45" customWidth="1" min="1" max="1"/>
  </cols>
  <sheetData>
    <row r="1" ht="18" customHeight="1">
      <c r="A1" s="3" t="inlineStr">
        <is>
          <t>HƯỚNG DẪN — PHIÊN BẢN 9 LỚP + RÀNG BUỘC SƯ PHẠM</t>
        </is>
      </c>
    </row>
    <row r="2" ht="15" customHeight="1">
      <c r="A2" s="4" t="n"/>
    </row>
    <row r="3" ht="18" customHeight="1">
      <c r="A3" s="4" t="inlineStr">
        <is>
          <t>Nhập liệu: PhanCong (GV — lớp 6C đang tạm chép từ 6B, HÃY SỬA LẠI), SoTiet (định mức), GV_Ban (GV nghỉ/bận), TKB_Nhap (vị trí tiết).</t>
        </is>
      </c>
    </row>
    <row r="4" ht="18" customHeight="1">
      <c r="A4" s="4" t="inlineStr">
        <is>
          <t>Tự động: TKB (in), TKB_GV (đỏ = trùng GV), KiemTra (đỏ = lệch định mức; tổng tiết mỗi lớp so với khung 29–30 + buổi 2).</t>
        </is>
      </c>
    </row>
    <row r="5" ht="15" customHeight="1">
      <c r="A5" s="4" t="n"/>
    </row>
    <row r="6" ht="18" customHeight="1">
      <c r="A6" s="3" t="inlineStr">
        <is>
          <t>MACRO XepTKB (Alt+F8) tự xếp với đầy đủ ràng buộc:</t>
        </is>
      </c>
    </row>
    <row r="7" ht="18" customHeight="1">
      <c r="A7" s="4" t="inlineStr">
        <is>
          <t xml:space="preserve">  Hệ thống: không trùng GV, không trùng lớp (1 ô 1 môn), đúng định mức SoTiet từng môn/lớp (⇒ đủ tiết GV).</t>
        </is>
      </c>
    </row>
    <row r="8" ht="18" customHeight="1">
      <c r="A8" s="4" t="inlineStr">
        <is>
          <t xml:space="preserve">  Sư phạm: mỗi môn ≤1 tiết/ngày (riêng Ngữ văn được tiết kép — 2 tiết LIỀN nhau cùng buổi);</t>
        </is>
      </c>
    </row>
    <row r="9" ht="18" customHeight="1">
      <c r="A9" s="4" t="inlineStr">
        <is>
          <t xml:space="preserve">  không quá 3 tiết 'môn nặng' (Toán, Văn, KHTN Lý/Hoá) liên tiếp trong 1 buổi; Thể dục tránh tiết 5;</t>
        </is>
      </c>
    </row>
    <row r="10" ht="18" customHeight="1">
      <c r="A10" s="4" t="inlineStr">
        <is>
          <t xml:space="preserve">  ưu tiên rải đều các tiết cùng môn cách ngày; chào cờ = HĐTN Thứ 2 tiết 1; sinh hoạt lớp = HĐTN tiết cuối Thứ 7.</t>
        </is>
      </c>
    </row>
    <row r="11" ht="18" customHeight="1">
      <c r="A11" s="4" t="inlineStr">
        <is>
          <t xml:space="preserve">  Số tiết/ngày do khung tiết quyết định (sheet ẩn Khung): ngày 2 buổi 7 tiết, ngày 1 buổi 5 tiết — đã đúng chuẩn.</t>
        </is>
      </c>
    </row>
    <row r="12" ht="18" customHeight="1">
      <c r="A12" s="4" t="inlineStr">
        <is>
          <t xml:space="preserve">  Chế độ giữ lịch tối đa: chỉ đổi các ô bắt buộc, báo rõ số ô giữ/đổi.</t>
        </is>
      </c>
    </row>
    <row r="13" ht="15" customHeight="1">
      <c r="A13" s="4" t="n"/>
    </row>
    <row r="14" ht="18" customHeight="1">
      <c r="A14" s="4" t="inlineStr">
        <is>
          <t>Lần đầu sau khi thêm 6C: KiemTra sẽ đỏ ở cột 6C (chưa xếp tiết) — chạy macro 1 lần để điền.</t>
        </is>
      </c>
    </row>
    <row r="15" ht="15" customHeight="1">
      <c r="A15" s="4" t="n"/>
    </row>
    <row r="16" ht="18" customHeight="1">
      <c r="A16" s="5" t="inlineStr">
        <is>
          <t>ĐỊNH MỨC GIÁO VIÊN (sheet DinhMuc_GV):</t>
        </is>
      </c>
    </row>
    <row r="17" ht="18" customHeight="1">
      <c r="A17" s="4" t="inlineStr">
        <is>
          <t xml:space="preserve">  Chuẩn 19 tiết/tuần; giảm trừ: GVCN −4, Tổ trưởng −3, Tổ phó −1, Tổng phụ trách −8. Chọn chức vụ ở cột B.</t>
        </is>
      </c>
    </row>
    <row r="18" ht="18" customHeight="1">
      <c r="A18" s="4" t="inlineStr">
        <is>
          <t xml:space="preserve">  Cột 'Vượt' đỏ = GV bị phân công quá trần → sửa PhanCong (chuyển lớp/môn sang GV khác); TKB không thể giảm tải.</t>
        </is>
      </c>
    </row>
    <row r="19" ht="18" customHeight="1">
      <c r="A19" s="4" t="inlineStr">
        <is>
          <t xml:space="preserve">  Macro v4 kiểm tra định mức trước khi xếp và thêm ràng buộc: GV không dạy quá 4 tiết/buổi (không full 5 tiết).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 codeName="Sheet2">
    <outlinePr summaryBelow="1" summaryRight="1"/>
    <pageSetUpPr/>
  </sheetPr>
  <dimension ref="A1:B7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7109375" defaultRowHeight="15"/>
  <cols>
    <col width="4" customWidth="1" min="1" max="1"/>
    <col width="45" customWidth="1" min="2" max="2"/>
  </cols>
  <sheetData>
    <row r="1" ht="18" customHeight="1">
      <c r="B1" s="6" t="inlineStr">
        <is>
          <t>HƯỚNG DẪN CHI TIẾT — HỆ THỐNG XẾP THỜI KHÓA BIỂU TỰ ĐỘNG</t>
        </is>
      </c>
    </row>
    <row r="2" ht="15" customHeight="1">
      <c r="B2" s="7" t="n"/>
    </row>
    <row r="3" ht="18" customHeight="1">
      <c r="B3" s="8" t="inlineStr">
        <is>
          <t>8. CÂN BẰNG TẢI GIÁO VIÊN (ModCanBangTai)</t>
        </is>
      </c>
    </row>
    <row r="4" ht="18" customHeight="1">
      <c r="B4" s="9" t="inlineStr">
        <is>
          <t>Alt+F8 → CanBangTai → tạo sheet 'DeXuat_CanBang'.</t>
        </is>
      </c>
    </row>
    <row r="5" ht="18" customHeight="1">
      <c r="B5" s="7" t="inlineStr">
        <is>
          <t>Macro quét GV vượt trần (DinhMuc_GV), tìm GV nhược tải DẠY CÙNG MÔN còn quota để chuyển bớt tiết.</t>
        </is>
      </c>
    </row>
    <row r="6" ht="18" customHeight="1">
      <c r="B6" s="7" t="inlineStr">
        <is>
          <t>Chỉ ĐỀ XUẤT — không tự sửa PhanCong (chuyển GV kéo theo GVCN/thực tế macro không biết).</t>
        </is>
      </c>
    </row>
    <row r="7" ht="18" customHeight="1">
      <c r="B7" s="7" t="inlineStr">
        <is>
          <t>Quy trình: chạy CanBangTai → xem đề xuất → sửa tay PhanCong → chạy lại để kiểm → XepTKB.</t>
        </is>
      </c>
    </row>
    <row r="8" ht="18" customHeight="1">
      <c r="B8" s="10" t="inlineStr">
        <is>
          <t>Nếu báo 'không tìm được GV nhận cùng môn': môn đó chỉ 1 GV dạy — cần phân công thêm GV hoặc chấp nhận vượt.</t>
        </is>
      </c>
    </row>
    <row r="9" ht="18" customHeight="1">
      <c r="B9" s="7" t="inlineStr">
        <is>
          <t>• GV_Ban    [NHẬP] — Giáo viên bận/nghỉ theo Thứ/Buổi/Tiết. Macro sẽ né các ô này.</t>
        </is>
      </c>
    </row>
    <row r="10" ht="18" customHeight="1">
      <c r="B10" s="7" t="inlineStr">
        <is>
          <t>• DinhMuc_GV[NHẬP] — Chức vụ GV → trần tiết (19 − giảm trừ). Cột 'Vượt' đỏ = phải sửa PhanCong.</t>
        </is>
      </c>
    </row>
    <row r="11" ht="18" customHeight="1">
      <c r="B11" s="7" t="inlineStr">
        <is>
          <t>• TKB_Nhap  [LÕI]  — Lưới TKB. Macro ghi kết quả vào đây. Là nguồn cho mọi sheet hiển thị.</t>
        </is>
      </c>
    </row>
    <row r="12" ht="18" customHeight="1">
      <c r="B12" s="7" t="inlineStr">
        <is>
          <t>• Khung     [ẨN]   — Bản đồ ô được phép xếp (dấu 'x'). Quyết định mẫu buổi học (S4-C3, S5...).</t>
        </is>
      </c>
    </row>
    <row r="13" ht="18" customHeight="1">
      <c r="B13" s="7" t="inlineStr">
        <is>
          <t>• TuanConfig[CẤU HÌNH] — Seed mỗi tuần (B1) + lịch sử. Điều khiển 'mỗi tuần một TKB'.</t>
        </is>
      </c>
    </row>
    <row r="14" ht="18" customHeight="1">
      <c r="B14" s="7" t="inlineStr">
        <is>
          <t>• TKB       [HIỂN THỊ] — Bản in đầy đủ Môn + GV (toàn công thức INDEX/MATCH, không sửa tay).</t>
        </is>
      </c>
    </row>
    <row r="15" ht="18" customHeight="1">
      <c r="B15" s="7" t="inlineStr">
        <is>
          <t>• TKB_GV    [HIỂN THỊ] — Chỉ tên GV; ô ĐỎ = trùng giáo viên cùng buổi/tiết/thứ.</t>
        </is>
      </c>
    </row>
    <row r="16" ht="18" customHeight="1">
      <c r="B16" s="7" t="inlineStr">
        <is>
          <t>• KiemTra   [HIỂN THỊ] — Chênh lệch định mức (đỏ=lệch), tổng ô trùng GV, tải mỗi GV.</t>
        </is>
      </c>
    </row>
    <row r="17" ht="15" customHeight="1">
      <c r="B17" s="7" t="n"/>
    </row>
    <row r="18" ht="18" customHeight="1">
      <c r="B18" s="8" t="inlineStr">
        <is>
          <t>2. CƠ CHẾ HOẠT ĐỘNG CỦA MACRO XepTKB</t>
        </is>
      </c>
    </row>
    <row r="19" ht="18" customHeight="1">
      <c r="B19" s="7" t="inlineStr">
        <is>
          <t>Thuật toán: Greedy + Swap-Repair + Restart (thử lại nhiều lần, giữ phương án ít thay đổi nhất).</t>
        </is>
      </c>
    </row>
    <row r="20" ht="18" customHeight="1">
      <c r="B20" s="7" t="inlineStr">
        <is>
          <t>Luồng xử lý mỗi lần chạy:</t>
        </is>
      </c>
    </row>
    <row r="21" ht="18" customHeight="1">
      <c r="B21" s="7" t="inlineStr">
        <is>
          <t xml:space="preserve">   B1. Đọc PhanCong/SoTiet/GV_Ban/Khung → dựng ma trận ràng buộc.</t>
        </is>
      </c>
    </row>
    <row r="22" ht="18" customHeight="1">
      <c r="B22" s="7" t="inlineStr">
        <is>
          <t xml:space="preserve">   B2. Ghim cứng: Chào cờ = HĐTN Thứ 2 tiết 1; SHL = HĐTN tiết cuối Thứ 7.</t>
        </is>
      </c>
    </row>
    <row r="23" ht="18" customHeight="1">
      <c r="B23" s="7" t="inlineStr">
        <is>
          <t xml:space="preserve">   B3. Duyệt từng khung giờ, chọn môn 'còn nhiều tiết nhất' + hợp lệ đặt vào.</t>
        </is>
      </c>
    </row>
    <row r="24" ht="18" customHeight="1">
      <c r="B24" s="7" t="inlineStr">
        <is>
          <t xml:space="preserve">   B4. Nếu kẹt → Swap-Repair: dời 1 tiết đã xếp sang chỗ khác để mở đường.</t>
        </is>
      </c>
    </row>
    <row r="25" ht="18" customHeight="1">
      <c r="B25" s="7" t="inlineStr">
        <is>
          <t xml:space="preserve">   B5. Lặp tối đa 600 lần, giữ TKB đổi ít ô nhất so với tuần trước (minimal-change).</t>
        </is>
      </c>
    </row>
    <row r="26" ht="18" customHeight="1">
      <c r="B26" s="7" t="inlineStr">
        <is>
          <t>Ràng buộc CỨNG (không bao giờ vi phạm): không trùng GV · 1 ô 1 môn · đúng định mức ·</t>
        </is>
      </c>
    </row>
    <row r="27" ht="18" customHeight="1">
      <c r="B27" s="7" t="inlineStr">
        <is>
          <t xml:space="preserve">   ≤1 tiết/môn/ngày (trừ tiết kép 2 tiết liền) · ≤3 tiết nặng liên tiếp/buổi ·</t>
        </is>
      </c>
    </row>
    <row r="28" ht="18" customHeight="1">
      <c r="B28" s="7" t="inlineStr">
        <is>
          <t xml:space="preserve">   Thể dục không tiết 5 · GV ≤4 tiết/buổi (không full 5).</t>
        </is>
      </c>
    </row>
    <row r="29" ht="15" customHeight="1">
      <c r="B29" s="7" t="n"/>
    </row>
    <row r="30" ht="18" customHeight="1">
      <c r="B30" s="8" t="inlineStr">
        <is>
          <t>3. QUY TRÌNH CHUẨN KHI THAY ĐỔI</t>
        </is>
      </c>
    </row>
    <row r="31" ht="18" customHeight="1">
      <c r="B31" s="7" t="inlineStr">
        <is>
          <t>Đổi giáo viên phụ trách:</t>
        </is>
      </c>
    </row>
    <row r="32" ht="18" customHeight="1">
      <c r="B32" s="9" t="inlineStr">
        <is>
          <t xml:space="preserve">   PhanCong (sửa tên GV) → Alt+F8 → XepTKB → mở KiemTra kiểm 0 lệch, 0 trùng.</t>
        </is>
      </c>
    </row>
    <row r="33" ht="18" customHeight="1">
      <c r="B33" s="7" t="inlineStr">
        <is>
          <t>Giáo viên xin nghỉ 1 buổi:</t>
        </is>
      </c>
    </row>
    <row r="34" ht="18" customHeight="1">
      <c r="B34" s="9" t="inlineStr">
        <is>
          <t xml:space="preserve">   GV_Ban (thêm dòng: Tên | Thứ | Buổi | Tiết) → Alt+F8 → XepTKB.</t>
        </is>
      </c>
    </row>
    <row r="35" ht="18" customHeight="1">
      <c r="B35" s="9" t="inlineStr">
        <is>
          <t xml:space="preserve">   Vd:  Giang | 5 | S | *   = cô Giang nghỉ cả sáng Thứ 5.</t>
        </is>
      </c>
    </row>
    <row r="36" ht="18" customHeight="1">
      <c r="B36" s="7" t="inlineStr">
        <is>
          <t>Đổi số tiết môn:</t>
        </is>
      </c>
    </row>
    <row r="37" ht="18" customHeight="1">
      <c r="B37" s="9" t="inlineStr">
        <is>
          <t xml:space="preserve">   SoTiet (sửa số) → Alt+F8 → XepTKB → KiemTra tự báo nếu tổng vượt khung.</t>
        </is>
      </c>
    </row>
    <row r="38" ht="15" customHeight="1">
      <c r="B38" s="7" t="n"/>
    </row>
    <row r="39" ht="18" customHeight="1">
      <c r="B39" s="8" t="inlineStr">
        <is>
          <t>4. ĐỔI MẪU BUỔI HỌC (ModKhung)</t>
        </is>
      </c>
    </row>
    <row r="40" ht="18" customHeight="1">
      <c r="B40" s="7" t="inlineStr">
        <is>
          <t>Bước 1 sinh khung — Bước 2 xếp. LUÔN 2 bước:</t>
        </is>
      </c>
    </row>
    <row r="41" ht="18" customHeight="1">
      <c r="B41" s="9" t="inlineStr">
        <is>
          <t xml:space="preserve">   Alt+F8 → Khung_S4_C3   (sáng 4 + chiều 3 = 42 ô/lớp)</t>
        </is>
      </c>
    </row>
    <row r="42" ht="18" customHeight="1">
      <c r="B42" s="9" t="inlineStr">
        <is>
          <t xml:space="preserve">   Alt+F8 → Khung_S5      (sáng 5 nghỉ chiều = 30 ô/lớp)</t>
        </is>
      </c>
    </row>
    <row r="43" ht="18" customHeight="1">
      <c r="B43" s="9" t="inlineStr">
        <is>
          <t xml:space="preserve">   Alt+F8 → Khung_S5_C2   (sáng 5 + chiều 2 = 42 ô/lớp)</t>
        </is>
      </c>
    </row>
    <row r="44" ht="18" customHeight="1">
      <c r="B44" s="9" t="inlineStr">
        <is>
          <t xml:space="preserve">   Alt+F8 → Khung_TuChon  (nhập tay số tiết sáng/chiều)</t>
        </is>
      </c>
    </row>
    <row r="45" ht="18" customHeight="1">
      <c r="B45" s="9" t="inlineStr">
        <is>
          <t xml:space="preserve">   → sau đó Alt+F8 → XepTKB</t>
        </is>
      </c>
    </row>
    <row r="46" ht="18" customHeight="1">
      <c r="B46" s="10" t="inlineStr">
        <is>
          <t>&gt;&gt; LƯU Ý SỐ HỌC QUAN TRỌNG: Định mức hiện tại = 36 tiết/tuần/lớp.</t>
        </is>
      </c>
    </row>
    <row r="47" ht="18" customHeight="1">
      <c r="B47" s="10" t="inlineStr">
        <is>
          <t xml:space="preserve">   Mẫu S5 chỉ có 30 ô → KHÔNG đủ chứa 36. Muốn dùng phải giảm SoTiet xuống ≤30 trước.</t>
        </is>
      </c>
    </row>
    <row r="48" ht="18" customHeight="1">
      <c r="B48" s="7" t="inlineStr">
        <is>
          <t xml:space="preserve">   Macro tự cảnh báo nếu chọn mẫu thiếu ô — không tạo ra TKB sai.</t>
        </is>
      </c>
    </row>
    <row r="49" ht="15" customHeight="1">
      <c r="B49" s="7" t="n"/>
    </row>
    <row r="50" ht="18" customHeight="1">
      <c r="B50" s="8" t="inlineStr">
        <is>
          <t>5. MỖI TUẦN MỘT TKB KHÁC (ModSeed)</t>
        </is>
      </c>
    </row>
    <row r="51" ht="18" customHeight="1">
      <c r="B51" s="7" t="inlineStr">
        <is>
          <t>Cơ chế: XepTKB đọc seed ở TuanConfig!B1. Cùng seed → TKB giống hệt (tái lập được).</t>
        </is>
      </c>
    </row>
    <row r="52" ht="18" customHeight="1">
      <c r="B52" s="9" t="inlineStr">
        <is>
          <t xml:space="preserve">   Alt+F8 → TuanMoi      (seed mới, tự tăng số tuần, hỏi xếp luôn)</t>
        </is>
      </c>
    </row>
    <row r="53" ht="18" customHeight="1">
      <c r="B53" s="9" t="inlineStr">
        <is>
          <t xml:space="preserve">   Alt+F8 → TuanTaiTao   (nhập số tuần cũ → in lại đúng TKB tuần đó)</t>
        </is>
      </c>
    </row>
    <row r="54" ht="18" customHeight="1">
      <c r="B54" s="9" t="inlineStr">
        <is>
          <t xml:space="preserve">   Alt+F8 → XoaLichSuSeed (reset về tuần 1)</t>
        </is>
      </c>
    </row>
    <row r="55" ht="18" customHeight="1">
      <c r="B55" s="7" t="inlineStr">
        <is>
          <t>Vì sao cần seed? Randomize theo giờ cho kết quả ngẫu nhiên nhưng KHÔNG in lại được.</t>
        </is>
      </c>
    </row>
    <row r="56" ht="18" customHeight="1">
      <c r="B56" s="7" t="inlineStr">
        <is>
          <t xml:space="preserve">   Lưu seed → BGH tái tạo chính xác TKB bất kỳ tuần nào để đối chiếu/in lại.</t>
        </is>
      </c>
    </row>
    <row r="57" ht="15" customHeight="1">
      <c r="B57" s="7" t="n"/>
    </row>
    <row r="58" ht="18" customHeight="1">
      <c r="B58" s="8" t="inlineStr">
        <is>
          <t>6. BẢNG TRA LỖI THƯỜNG GẶP</t>
        </is>
      </c>
    </row>
    <row r="59" ht="18" customHeight="1">
      <c r="B59" s="7" t="inlineStr">
        <is>
          <t>LỖI: 'Subscript out of range' → PhanCong/SoTiet lệch số lớp-môn, hoặc có cột/dòng trống xen giữa.</t>
        </is>
      </c>
    </row>
    <row r="60" ht="18" customHeight="1">
      <c r="B60" s="7" t="inlineStr">
        <is>
          <t xml:space="preserve">   Cách sửa: đảm bảo 2 sheet cùng số lớp (hàng 2) và số môn (cột A), không dòng trống.</t>
        </is>
      </c>
    </row>
    <row r="61" ht="18" customHeight="1">
      <c r="B61" s="7" t="inlineStr">
        <is>
          <t>LỖI: 'Không tìm thấy mã 5' → cột MÃ (sau cột lớp cuối) tại dòng HĐTN phải điền số 5.</t>
        </is>
      </c>
    </row>
    <row r="62" ht="18" customHeight="1">
      <c r="B62" s="7" t="inlineStr">
        <is>
          <t>LỖI: KiemTra còn ô đỏ → định mức SoTiet vượt số ô khung, hoặc 1 GV quá tải (xem DinhMuc_GV).</t>
        </is>
      </c>
    </row>
    <row r="63" ht="18" customHeight="1">
      <c r="B63" s="7" t="inlineStr">
        <is>
          <t>LỖI: TKB_GV còn ô đỏ (trùng GV) → thường do GVCN bị phân 2 lớp (chào cờ/SHL diễn ra đồng thời).</t>
        </is>
      </c>
    </row>
    <row r="64" ht="18" customHeight="1">
      <c r="B64" s="7" t="inlineStr">
        <is>
          <t xml:space="preserve">   Mỗi lớp phải có GVCN (môn mã 5) RIÊNG BIỆT.</t>
        </is>
      </c>
    </row>
    <row r="65" ht="18" customHeight="1">
      <c r="B65" s="7" t="inlineStr">
        <is>
          <t>LỖI: 'Khong xep duoc sau 600 lan' → GV_Ban cấm quá nhiều giờ GV tải nặng, hoặc định mức vượt khung.</t>
        </is>
      </c>
    </row>
    <row r="66" ht="15" customHeight="1">
      <c r="B66" s="7" t="n"/>
    </row>
    <row r="67" ht="18" customHeight="1">
      <c r="B67" s="8" t="inlineStr">
        <is>
          <t>7. LƯU Ý KỸ THUẬT (tránh lỗi tái diễn)</t>
        </is>
      </c>
    </row>
    <row r="68" ht="18" customHeight="1">
      <c r="B68" s="7" t="inlineStr">
        <is>
          <t>• KHÔNG gõ tiếng Việt có dấu vào code VBA — VBA Editor làm hỏng font → so khớp sai.</t>
        </is>
      </c>
    </row>
    <row r="69" ht="18" customHeight="1">
      <c r="B69" s="7" t="inlineStr">
        <is>
          <t xml:space="preserve">   Vai trò môn dùng MÃ SỐ (cột MÃ), không dùng chữ. Muốn đổi phân loại → sửa số, không đụng .bas.</t>
        </is>
      </c>
    </row>
    <row r="70" ht="18" customHeight="1">
      <c r="B70" s="7" t="inlineStr">
        <is>
          <t>• Mảng động trong VBA: dùng ReDim để reset, KHÔNG dùng Erase (Erase giải phóng → lỗi lần lặp sau).</t>
        </is>
      </c>
    </row>
    <row r="71" ht="18" customHeight="1">
      <c r="B71" s="7" t="inlineStr">
        <is>
          <t>• Đếm số lớp dừng ở cột trống HOẶC header 'MÃ' → tránh đếm nhầm cột phụ thành lớp.</t>
        </is>
      </c>
    </row>
    <row r="72" ht="18" customHeight="1">
      <c r="B72" s="7" t="inlineStr">
        <is>
          <t>• Luôn lưu file dạng .xlsm (Macro-Enabled). Lưu .xlsx sẽ MẤT toàn bộ macro.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2026-07-05T16:53:43Z</dcterms:created>
  <dcterms:modified xmlns:dcterms="http://purl.org/dc/terms/" xmlns:xsi="http://www.w3.org/2001/XMLSchema-instance" xsi:type="dcterms:W3CDTF">2026-09-02T11:22:48Z</dcterms:modified>
  <cp:lastModifiedBy>Nguyen Trung Kien</cp:lastModifiedBy>
  <cp:revision>0</cp:revision>
</cp:coreProperties>
</file>