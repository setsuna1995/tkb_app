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500" firstSheet="2" activeTab="6" autoFilterDateGrouping="1"/>
  </bookViews>
  <sheets>
    <sheet xmlns:r="http://schemas.openxmlformats.org/officeDocument/2006/relationships" name="HuongDan" sheetId="1" state="visible" r:id="rId1"/>
    <sheet xmlns:r="http://schemas.openxmlformats.org/officeDocument/2006/relationships" name="HuongDan_ChiTiet" sheetId="2" state="visible" r:id="rId2"/>
    <sheet xmlns:r="http://schemas.openxmlformats.org/officeDocument/2006/relationships" name="PhanCong" sheetId="3" state="visible" r:id="rId3"/>
    <sheet xmlns:r="http://schemas.openxmlformats.org/officeDocument/2006/relationships" name="SoTiet" sheetId="4" state="visible" r:id="rId4"/>
    <sheet xmlns:r="http://schemas.openxmlformats.org/officeDocument/2006/relationships" name="GV_Ban" sheetId="5" state="visible" r:id="rId5"/>
    <sheet xmlns:r="http://schemas.openxmlformats.org/officeDocument/2006/relationships" name="DinhMuc_GV" sheetId="6" state="visible" r:id="rId6"/>
    <sheet xmlns:r="http://schemas.openxmlformats.org/officeDocument/2006/relationships" name="TKB_Nhap" sheetId="7" state="visible" r:id="rId7"/>
    <sheet xmlns:r="http://schemas.openxmlformats.org/officeDocument/2006/relationships" name="TKB" sheetId="8" state="visible" r:id="rId8"/>
    <sheet xmlns:r="http://schemas.openxmlformats.org/officeDocument/2006/relationships" name="TKB_GV" sheetId="9" state="visible" r:id="rId9"/>
    <sheet xmlns:r="http://schemas.openxmlformats.org/officeDocument/2006/relationships" name="KiemTra" sheetId="10" state="visible" r:id="rId10"/>
    <sheet xmlns:r="http://schemas.openxmlformats.org/officeDocument/2006/relationships" name="Khung" sheetId="11" state="hidden" r:id="rId11"/>
    <sheet xmlns:r="http://schemas.openxmlformats.org/officeDocument/2006/relationships" name="TuanConfig" sheetId="12" state="visible" r:id="rId12"/>
  </sheets>
  <definedNames>
    <definedName name="DS_Mon">PhanCong!$A$3:$A$18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8">
    <font>
      <name val="Calibri"/>
      <charset val="1"/>
      <family val="2"/>
      <color theme="1"/>
      <sz val="11"/>
    </font>
    <font>
      <name val="Times New Roman"/>
      <family val="1"/>
      <b val="1"/>
      <sz val="13"/>
    </font>
    <font>
      <name val="Times New Roman"/>
      <family val="1"/>
      <sz val="11"/>
    </font>
    <font>
      <name val="Times New Roman"/>
      <family val="1"/>
      <b val="1"/>
      <sz val="11"/>
    </font>
    <font>
      <name val="Times New Roman"/>
      <family val="1"/>
      <b val="1"/>
      <color rgb="FFFFFFFF"/>
      <sz val="15"/>
    </font>
    <font>
      <name val="Times New Roman"/>
      <family val="1"/>
      <b val="1"/>
      <color rgb="FF1F4E78"/>
      <sz val="12"/>
    </font>
    <font>
      <name val="Consolas"/>
      <family val="3"/>
      <color rgb="FFC00000"/>
      <sz val="10"/>
    </font>
    <font>
      <name val="Times New Roman"/>
      <family val="1"/>
      <b val="1"/>
      <color rgb="FFC00000"/>
      <sz val="11"/>
    </font>
    <font>
      <name val="Times New Roman"/>
      <family val="1"/>
      <b val="1"/>
      <sz val="12"/>
    </font>
    <font>
      <name val="Times New Roman"/>
      <family val="1"/>
      <b val="1"/>
      <sz val="10"/>
    </font>
    <font>
      <name val="Times New Roman"/>
      <family val="1"/>
      <color rgb="FF0000FF"/>
      <sz val="11"/>
    </font>
    <font>
      <name val="Times New Roman"/>
      <family val="1"/>
      <b val="1"/>
      <color rgb="FF0000FF"/>
      <sz val="11"/>
    </font>
    <font>
      <name val="Times New Roman"/>
      <family val="1"/>
      <sz val="10"/>
    </font>
    <font>
      <name val="Times New Roman"/>
      <family val="1"/>
      <i val="1"/>
      <sz val="10"/>
    </font>
    <font>
      <name val="Times New Roman"/>
      <family val="1"/>
      <i val="1"/>
      <sz val="9"/>
    </font>
    <font>
      <name val="Times New Roman"/>
      <family val="1"/>
      <sz val="9"/>
    </font>
    <font>
      <name val="Times New Roman"/>
      <family val="1"/>
      <i val="1"/>
      <sz val="11"/>
    </font>
    <font>
      <name val="Cambria"/>
      <family val="1"/>
      <b val="1"/>
      <sz val="11"/>
    </font>
  </fonts>
  <fills count="9">
    <fill>
      <patternFill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BDD7EE"/>
        <bgColor rgb="FFD9E1F2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F2F2F2"/>
      </patternFill>
    </fill>
    <fill>
      <patternFill patternType="solid">
        <fgColor rgb="FFD9E1F2"/>
        <bgColor rgb="FFBDD7EE"/>
      </patternFill>
    </fill>
    <fill>
      <patternFill patternType="solid">
        <fgColor rgb="FFC6E0B4"/>
        <bgColor rgb="FFC6EFCE"/>
      </patternFill>
    </fill>
    <fill>
      <patternFill patternType="solid">
        <fgColor rgb="FFFFE699"/>
        <bgColor rgb="FFFCE4D6"/>
      </patternFill>
    </fill>
  </fills>
  <borders count="3">
    <border>
      <left/>
      <right/>
      <top/>
      <bottom/>
      <diagonal/>
    </border>
    <border>
      <left/>
      <right/>
      <top/>
      <bottom style="thin">
        <color rgb="FFB0B0B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44">
    <xf numFmtId="0" fontId="0" fillId="0" borderId="0" pivotButton="0" quotePrefix="0" xfId="0"/>
    <xf numFmtId="0" fontId="1" fillId="3" borderId="0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2" fillId="0" borderId="0" applyAlignment="1" pivotButton="0" quotePrefix="0" xfId="0">
      <alignment vertical="top" wrapText="1"/>
    </xf>
    <xf numFmtId="0" fontId="5" fillId="3" borderId="1" pivotButton="0" quotePrefix="0" xfId="0"/>
    <xf numFmtId="0" fontId="6" fillId="4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3" fillId="6" borderId="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5" borderId="2" applyAlignment="1" pivotButton="0" quotePrefix="0" xfId="0">
      <alignment horizontal="center" vertical="center" wrapText="1"/>
    </xf>
    <xf numFmtId="0" fontId="9" fillId="0" borderId="0" pivotButton="0" quotePrefix="0" xfId="0"/>
    <xf numFmtId="0" fontId="3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 wrapText="1"/>
    </xf>
    <xf numFmtId="0" fontId="11" fillId="0" borderId="2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2" fillId="0" borderId="0" pivotButton="0" quotePrefix="0" xfId="0"/>
    <xf numFmtId="0" fontId="3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center" vertical="center" wrapText="1"/>
    </xf>
    <xf numFmtId="0" fontId="13" fillId="0" borderId="0" pivotButton="0" quotePrefix="0" xfId="0"/>
    <xf numFmtId="0" fontId="3" fillId="7" borderId="2" applyAlignment="1" pivotButton="0" quotePrefix="0" xfId="0">
      <alignment horizontal="center" vertical="center" wrapText="1"/>
    </xf>
    <xf numFmtId="0" fontId="3" fillId="8" borderId="2" applyAlignment="1" pivotButton="0" quotePrefix="0" xfId="0">
      <alignment horizontal="center" vertical="center" wrapText="1"/>
    </xf>
    <xf numFmtId="0" fontId="2" fillId="0" borderId="2" applyAlignment="1" pivotButton="0" quotePrefix="0" xfId="0">
      <alignment horizontal="left" vertical="center" wrapText="1"/>
    </xf>
    <xf numFmtId="0" fontId="10" fillId="0" borderId="2" pivotButton="0" quotePrefix="0" xfId="0"/>
    <xf numFmtId="0" fontId="3" fillId="6" borderId="2" pivotButton="0" quotePrefix="0" xfId="0"/>
    <xf numFmtId="0" fontId="2" fillId="0" borderId="2" pivotButton="0" quotePrefix="0" xfId="0"/>
    <xf numFmtId="0" fontId="2" fillId="0" borderId="2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14" fillId="0" borderId="0" pivotButton="0" quotePrefix="0" xfId="0"/>
    <xf numFmtId="0" fontId="3" fillId="3" borderId="2" applyAlignment="1" pivotButton="0" quotePrefix="0" xfId="0">
      <alignment horizontal="center" vertical="center" wrapText="1"/>
    </xf>
    <xf numFmtId="0" fontId="10" fillId="0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left" vertical="center" wrapText="1"/>
    </xf>
    <xf numFmtId="0" fontId="15" fillId="0" borderId="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7" fillId="0" borderId="0" pivotButton="0" quotePrefix="0" xfId="0"/>
  </cellXfs>
  <cellStyles count="1">
    <cellStyle name="Normal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0B0B0"/>
      <rgbColor rgb="FF808080"/>
      <rgbColor rgb="FF9999FF"/>
      <rgbColor rgb="FF993366"/>
      <rgbColor rgb="FFF2F2F2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0B4"/>
      <rgbColor rgb="FFC6EFCE"/>
      <rgbColor rgb="FFFFE699"/>
      <rgbColor rgb="FF99CCFF"/>
      <rgbColor rgb="FFFCE4D6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9"/>
  <sheetViews>
    <sheetView zoomScaleNormal="100" workbookViewId="0">
      <selection activeCell="A1" sqref="A1"/>
    </sheetView>
  </sheetViews>
  <sheetFormatPr baseColWidth="8" defaultColWidth="8.7109375" defaultRowHeight="15"/>
  <cols>
    <col width="140" customWidth="1" min="1" max="1"/>
  </cols>
  <sheetData>
    <row r="1" ht="15.75" customHeight="1">
      <c r="A1" s="3" t="inlineStr">
        <is>
          <t>HƯỚNG DẪN — PHIÊN BẢN 9 LỚP + RÀNG BUỘC SƯ PHẠM</t>
        </is>
      </c>
    </row>
    <row r="2" ht="15" customHeight="1">
      <c r="A2" s="4" t="n"/>
    </row>
    <row r="3" ht="15" customHeight="1">
      <c r="A3" s="4" t="inlineStr">
        <is>
          <t>Nhập liệu: PhanCong (GV — lớp 6C đang tạm chép từ 6B, HÃY SỬA LẠI), SoTiet (định mức), GV_Ban (GV nghỉ/bận), TKB_Nhap (vị trí tiết).</t>
        </is>
      </c>
    </row>
    <row r="4" ht="15" customHeight="1">
      <c r="A4" s="4" t="inlineStr">
        <is>
          <t>Tự động: TKB (in), TKB_GV (đỏ = trùng GV), KiemTra (đỏ = lệch định mức; tổng tiết mỗi lớp so với khung 29–30 + buổi 2).</t>
        </is>
      </c>
    </row>
    <row r="5" ht="15" customHeight="1">
      <c r="A5" s="4" t="n"/>
    </row>
    <row r="6" ht="15.75" customHeight="1">
      <c r="A6" s="3" t="inlineStr">
        <is>
          <t>MACRO XepTKB (Alt+F8) tự xếp với đầy đủ ràng buộc:</t>
        </is>
      </c>
    </row>
    <row r="7" ht="15" customHeight="1">
      <c r="A7" s="4" t="inlineStr">
        <is>
          <t xml:space="preserve">  Hệ thống: không trùng GV, không trùng lớp (1 ô 1 môn), đúng định mức SoTiet từng môn/lớp (⇒ đủ tiết GV).</t>
        </is>
      </c>
    </row>
    <row r="8" ht="15" customHeight="1">
      <c r="A8" s="4" t="inlineStr">
        <is>
          <t xml:space="preserve">  Sư phạm: mỗi môn ≤1 tiết/ngày (riêng Ngữ văn được tiết kép — 2 tiết LIỀN nhau cùng buổi);</t>
        </is>
      </c>
    </row>
    <row r="9" ht="15" customHeight="1">
      <c r="A9" s="4" t="inlineStr">
        <is>
          <t xml:space="preserve">  không quá 3 tiết 'môn nặng' (Toán, Văn, KHTN Lý/Hoá) liên tiếp trong 1 buổi; Thể dục tránh tiết 5;</t>
        </is>
      </c>
    </row>
    <row r="10" ht="15" customHeight="1">
      <c r="A10" s="4" t="inlineStr">
        <is>
          <t xml:space="preserve">  ưu tiên rải đều các tiết cùng môn cách ngày; chào cờ = HĐTN Thứ 2 tiết 1; sinh hoạt lớp = HĐTN tiết cuối Thứ 7.</t>
        </is>
      </c>
    </row>
    <row r="11" ht="15" customHeight="1">
      <c r="A11" s="4" t="inlineStr">
        <is>
          <t xml:space="preserve">  Số tiết/ngày do khung tiết quyết định (sheet ẩn Khung): ngày 2 buổi 7 tiết, ngày 1 buổi 5 tiết — đã đúng chuẩn.</t>
        </is>
      </c>
    </row>
    <row r="12" ht="15" customHeight="1">
      <c r="A12" s="4" t="inlineStr">
        <is>
          <t xml:space="preserve">  Chế độ giữ lịch tối đa: chỉ đổi các ô bắt buộc, báo rõ số ô giữ/đổi.</t>
        </is>
      </c>
    </row>
    <row r="13" ht="15" customHeight="1">
      <c r="A13" s="4" t="n"/>
    </row>
    <row r="14" ht="15" customHeight="1">
      <c r="A14" s="4" t="inlineStr">
        <is>
          <t>Lần đầu sau khi thêm 6C: KiemTra sẽ đỏ ở cột 6C (chưa xếp tiết) — chạy macro 1 lần để điền.</t>
        </is>
      </c>
    </row>
    <row r="15" ht="15" customHeight="1">
      <c r="A15" s="4" t="n"/>
    </row>
    <row r="16" ht="15" customHeight="1">
      <c r="A16" s="5" t="inlineStr">
        <is>
          <t>ĐỊNH MỨC GIÁO VIÊN (sheet DinhMuc_GV):</t>
        </is>
      </c>
    </row>
    <row r="17" ht="15" customHeight="1">
      <c r="A17" s="4" t="inlineStr">
        <is>
          <t xml:space="preserve">  Chuẩn 19 tiết/tuần; giảm trừ: GVCN −4, Tổ trưởng −3, Tổ phó −1, Tổng phụ trách −8. Chọn chức vụ ở cột B.</t>
        </is>
      </c>
    </row>
    <row r="18" ht="15" customHeight="1">
      <c r="A18" s="4" t="inlineStr">
        <is>
          <t xml:space="preserve">  Cột 'Vượt' đỏ = GV bị phân công quá trần → sửa PhanCong (chuyển lớp/môn sang GV khác); TKB không thể giảm tải.</t>
        </is>
      </c>
    </row>
    <row r="19" ht="15" customHeight="1">
      <c r="A19" s="4" t="inlineStr">
        <is>
          <t xml:space="preserve">  Macro v4 kiểm tra định mức trước khi xếp và thêm ràng buộc: GV không dạy quá 4 tiết/buổi (không full 5 tiết).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:B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8.7109375" defaultRowHeight="15"/>
  <cols>
    <col width="4" customWidth="1" min="1" max="1"/>
    <col width="120" customWidth="1" min="2" max="2"/>
  </cols>
  <sheetData>
    <row r="1" ht="18" customHeight="1">
      <c r="B1" s="6" t="inlineStr">
        <is>
          <t>HƯỚNG DẪN CHI TIẾT — HỆ THỐNG XẾP THỜI KHÓA BIỂU TỰ ĐỘNG</t>
        </is>
      </c>
    </row>
    <row r="2" ht="15" customHeight="1">
      <c r="B2" s="7" t="n"/>
    </row>
    <row r="3" ht="15" customHeight="1">
      <c r="B3" s="8" t="inlineStr">
        <is>
          <t>8. CÂN BẰNG TẢI GIÁO VIÊN (ModCanBangTai)</t>
        </is>
      </c>
    </row>
    <row r="4" ht="15" customHeight="1">
      <c r="B4" s="9" t="inlineStr">
        <is>
          <t>Alt+F8 → CanBangTai → tạo sheet 'DeXuat_CanBang'.</t>
        </is>
      </c>
    </row>
    <row r="5" ht="15" customHeight="1">
      <c r="B5" s="7" t="inlineStr">
        <is>
          <t>Macro quét GV vượt trần (DinhMuc_GV), tìm GV nhược tải DẠY CÙNG MÔN còn quota để chuyển bớt tiết.</t>
        </is>
      </c>
    </row>
    <row r="6" ht="15" customHeight="1">
      <c r="B6" s="7" t="inlineStr">
        <is>
          <t>Chỉ ĐỀ XUẤT — không tự sửa PhanCong (chuyển GV kéo theo GVCN/thực tế macro không biết).</t>
        </is>
      </c>
    </row>
    <row r="7" ht="15" customHeight="1">
      <c r="B7" s="7" t="inlineStr">
        <is>
          <t>Quy trình: chạy CanBangTai → xem đề xuất → sửa tay PhanCong → chạy lại để kiểm → XepTKB.</t>
        </is>
      </c>
    </row>
    <row r="8" ht="15" customHeight="1">
      <c r="B8" s="10" t="inlineStr">
        <is>
          <t>Nếu báo 'không tìm được GV nhận cùng môn': môn đó chỉ 1 GV dạy — cần phân công thêm GV hoặc chấp nhận vượt.</t>
        </is>
      </c>
    </row>
    <row r="9" ht="15" customHeight="1">
      <c r="B9" s="7" t="inlineStr">
        <is>
          <t>• GV_Ban    [NHẬP] — Giáo viên bận/nghỉ theo Thứ/Buổi/Tiết. Macro sẽ né các ô này.</t>
        </is>
      </c>
    </row>
    <row r="10" ht="15" customHeight="1">
      <c r="B10" s="7" t="inlineStr">
        <is>
          <t>• DinhMuc_GV[NHẬP] — Chức vụ GV → trần tiết (19 − giảm trừ). Cột 'Vượt' đỏ = phải sửa PhanCong.</t>
        </is>
      </c>
    </row>
    <row r="11" ht="15" customHeight="1">
      <c r="B11" s="7" t="inlineStr">
        <is>
          <t>• TKB_Nhap  [LÕI]  — Lưới TKB. Macro ghi kết quả vào đây. Là nguồn cho mọi sheet hiển thị.</t>
        </is>
      </c>
    </row>
    <row r="12" ht="15" customHeight="1">
      <c r="B12" s="7" t="inlineStr">
        <is>
          <t>• Khung     [ẨN]   — Bản đồ ô được phép xếp (dấu 'x'). Quyết định mẫu buổi học (S4-C3, S5...).</t>
        </is>
      </c>
    </row>
    <row r="13" ht="15" customHeight="1">
      <c r="B13" s="7" t="inlineStr">
        <is>
          <t>• TuanConfig[CẤU HÌNH] — Seed mỗi tuần (B1) + lịch sử. Điều khiển 'mỗi tuần một TKB'.</t>
        </is>
      </c>
    </row>
    <row r="14" ht="15" customHeight="1">
      <c r="B14" s="7" t="inlineStr">
        <is>
          <t>• TKB       [HIỂN THỊ] — Bản in đầy đủ Môn + GV (toàn công thức INDEX/MATCH, không sửa tay).</t>
        </is>
      </c>
    </row>
    <row r="15" ht="15" customHeight="1">
      <c r="B15" s="7" t="inlineStr">
        <is>
          <t>• TKB_GV    [HIỂN THỊ] — Chỉ tên GV; ô ĐỎ = trùng giáo viên cùng buổi/tiết/thứ.</t>
        </is>
      </c>
    </row>
    <row r="16" ht="15" customHeight="1">
      <c r="B16" s="7" t="inlineStr">
        <is>
          <t>• KiemTra   [HIỂN THỊ] — Chênh lệch định mức (đỏ=lệch), tổng ô trùng GV, tải mỗi GV.</t>
        </is>
      </c>
    </row>
    <row r="17" ht="15" customHeight="1">
      <c r="B17" s="7" t="n"/>
    </row>
    <row r="18" ht="15" customHeight="1">
      <c r="B18" s="8" t="inlineStr">
        <is>
          <t>2. CƠ CHẾ HOẠT ĐỘNG CỦA MACRO XepTKB</t>
        </is>
      </c>
    </row>
    <row r="19" ht="15" customHeight="1">
      <c r="B19" s="7" t="inlineStr">
        <is>
          <t>Thuật toán: Greedy + Swap-Repair + Restart (thử lại nhiều lần, giữ phương án ít thay đổi nhất).</t>
        </is>
      </c>
    </row>
    <row r="20" ht="15" customHeight="1">
      <c r="B20" s="7" t="inlineStr">
        <is>
          <t>Luồng xử lý mỗi lần chạy:</t>
        </is>
      </c>
    </row>
    <row r="21" ht="15" customHeight="1">
      <c r="B21" s="7" t="inlineStr">
        <is>
          <t xml:space="preserve">   B1. Đọc PhanCong/SoTiet/GV_Ban/Khung → dựng ma trận ràng buộc.</t>
        </is>
      </c>
    </row>
    <row r="22" ht="15" customHeight="1">
      <c r="B22" s="7" t="inlineStr">
        <is>
          <t xml:space="preserve">   B2. Ghim cứng: Chào cờ = HĐTN Thứ 2 tiết 1; SHL = HĐTN tiết cuối Thứ 7.</t>
        </is>
      </c>
    </row>
    <row r="23" ht="15" customHeight="1">
      <c r="B23" s="7" t="inlineStr">
        <is>
          <t xml:space="preserve">   B3. Duyệt từng khung giờ, chọn môn 'còn nhiều tiết nhất' + hợp lệ đặt vào.</t>
        </is>
      </c>
    </row>
    <row r="24" ht="15" customHeight="1">
      <c r="B24" s="7" t="inlineStr">
        <is>
          <t xml:space="preserve">   B4. Nếu kẹt → Swap-Repair: dời 1 tiết đã xếp sang chỗ khác để mở đường.</t>
        </is>
      </c>
    </row>
    <row r="25" ht="15" customHeight="1">
      <c r="B25" s="7" t="inlineStr">
        <is>
          <t xml:space="preserve">   B5. Lặp tối đa 600 lần, giữ TKB đổi ít ô nhất so với tuần trước (minimal-change).</t>
        </is>
      </c>
    </row>
    <row r="26" ht="15" customHeight="1">
      <c r="B26" s="7" t="inlineStr">
        <is>
          <t>Ràng buộc CỨNG (không bao giờ vi phạm): không trùng GV · 1 ô 1 môn · đúng định mức ·</t>
        </is>
      </c>
    </row>
    <row r="27" ht="15" customHeight="1">
      <c r="B27" s="7" t="inlineStr">
        <is>
          <t xml:space="preserve">   ≤1 tiết/môn/ngày (trừ tiết kép 2 tiết liền) · ≤3 tiết nặng liên tiếp/buổi ·</t>
        </is>
      </c>
    </row>
    <row r="28" ht="15" customHeight="1">
      <c r="B28" s="7" t="inlineStr">
        <is>
          <t xml:space="preserve">   Thể dục không tiết 5 · GV ≤4 tiết/buổi (không full 5).</t>
        </is>
      </c>
    </row>
    <row r="29" ht="15" customHeight="1">
      <c r="B29" s="7" t="n"/>
    </row>
    <row r="30" ht="15" customHeight="1">
      <c r="B30" s="8" t="inlineStr">
        <is>
          <t>3. QUY TRÌNH CHUẨN KHI THAY ĐỔI</t>
        </is>
      </c>
    </row>
    <row r="31" ht="15" customHeight="1">
      <c r="B31" s="7" t="inlineStr">
        <is>
          <t>Đổi giáo viên phụ trách:</t>
        </is>
      </c>
    </row>
    <row r="32" ht="15" customHeight="1">
      <c r="B32" s="9" t="inlineStr">
        <is>
          <t xml:space="preserve">   PhanCong (sửa tên GV) → Alt+F8 → XepTKB → mở KiemTra kiểm 0 lệch, 0 trùng.</t>
        </is>
      </c>
    </row>
    <row r="33" ht="15" customHeight="1">
      <c r="B33" s="7" t="inlineStr">
        <is>
          <t>Giáo viên xin nghỉ 1 buổi:</t>
        </is>
      </c>
    </row>
    <row r="34" ht="15" customHeight="1">
      <c r="B34" s="9" t="inlineStr">
        <is>
          <t xml:space="preserve">   GV_Ban (thêm dòng: Tên | Thứ | Buổi | Tiết) → Alt+F8 → XepTKB.</t>
        </is>
      </c>
    </row>
    <row r="35" ht="15" customHeight="1">
      <c r="B35" s="9" t="inlineStr">
        <is>
          <t xml:space="preserve">   Vd:  Giang | 5 | S | *   = cô Giang nghỉ cả sáng Thứ 5.</t>
        </is>
      </c>
    </row>
    <row r="36" ht="15" customHeight="1">
      <c r="B36" s="7" t="inlineStr">
        <is>
          <t>Đổi số tiết môn:</t>
        </is>
      </c>
    </row>
    <row r="37" ht="15" customHeight="1">
      <c r="B37" s="9" t="inlineStr">
        <is>
          <t xml:space="preserve">   SoTiet (sửa số) → Alt+F8 → XepTKB → KiemTra tự báo nếu tổng vượt khung.</t>
        </is>
      </c>
    </row>
    <row r="38" ht="15" customHeight="1">
      <c r="B38" s="7" t="n"/>
    </row>
    <row r="39" ht="15" customHeight="1">
      <c r="B39" s="8" t="inlineStr">
        <is>
          <t>4. ĐỔI MẪU BUỔI HỌC (ModKhung)</t>
        </is>
      </c>
    </row>
    <row r="40" ht="15" customHeight="1">
      <c r="B40" s="7" t="inlineStr">
        <is>
          <t>Bước 1 sinh khung — Bước 2 xếp. LUÔN 2 bước:</t>
        </is>
      </c>
    </row>
    <row r="41" ht="15" customHeight="1">
      <c r="B41" s="9" t="inlineStr">
        <is>
          <t xml:space="preserve">   Alt+F8 → Khung_S4_C3   (sáng 4 + chiều 3 = 42 ô/lớp)</t>
        </is>
      </c>
    </row>
    <row r="42" ht="15" customHeight="1">
      <c r="B42" s="9" t="inlineStr">
        <is>
          <t xml:space="preserve">   Alt+F8 → Khung_S5      (sáng 5 nghỉ chiều = 30 ô/lớp)</t>
        </is>
      </c>
    </row>
    <row r="43" ht="15" customHeight="1">
      <c r="B43" s="9" t="inlineStr">
        <is>
          <t xml:space="preserve">   Alt+F8 → Khung_S5_C2   (sáng 5 + chiều 2 = 42 ô/lớp)</t>
        </is>
      </c>
    </row>
    <row r="44" ht="15" customHeight="1">
      <c r="B44" s="9" t="inlineStr">
        <is>
          <t xml:space="preserve">   Alt+F8 → Khung_TuChon  (nhập tay số tiết sáng/chiều)</t>
        </is>
      </c>
    </row>
    <row r="45" ht="15" customHeight="1">
      <c r="B45" s="9" t="inlineStr">
        <is>
          <t xml:space="preserve">   → sau đó Alt+F8 → XepTKB</t>
        </is>
      </c>
    </row>
    <row r="46" ht="15" customHeight="1">
      <c r="B46" s="10" t="inlineStr">
        <is>
          <t>&gt;&gt; LƯU Ý SỐ HỌC QUAN TRỌNG: Định mức hiện tại = 36 tiết/tuần/lớp.</t>
        </is>
      </c>
    </row>
    <row r="47" ht="15" customHeight="1">
      <c r="B47" s="10" t="inlineStr">
        <is>
          <t xml:space="preserve">   Mẫu S5 chỉ có 30 ô → KHÔNG đủ chứa 36. Muốn dùng phải giảm SoTiet xuống ≤30 trước.</t>
        </is>
      </c>
    </row>
    <row r="48" ht="15" customHeight="1">
      <c r="B48" s="7" t="inlineStr">
        <is>
          <t xml:space="preserve">   Macro tự cảnh báo nếu chọn mẫu thiếu ô — không tạo ra TKB sai.</t>
        </is>
      </c>
    </row>
    <row r="49" ht="15" customHeight="1">
      <c r="B49" s="7" t="n"/>
    </row>
    <row r="50" ht="15" customHeight="1">
      <c r="B50" s="8" t="inlineStr">
        <is>
          <t>5. MỖI TUẦN MỘT TKB KHÁC (ModSeed)</t>
        </is>
      </c>
    </row>
    <row r="51" ht="15" customHeight="1">
      <c r="B51" s="7" t="inlineStr">
        <is>
          <t>Cơ chế: XepTKB đọc seed ở TuanConfig!B1. Cùng seed → TKB giống hệt (tái lập được).</t>
        </is>
      </c>
    </row>
    <row r="52" ht="15" customHeight="1">
      <c r="B52" s="9" t="inlineStr">
        <is>
          <t xml:space="preserve">   Alt+F8 → TuanMoi      (seed mới, tự tăng số tuần, hỏi xếp luôn)</t>
        </is>
      </c>
    </row>
    <row r="53" ht="15" customHeight="1">
      <c r="B53" s="9" t="inlineStr">
        <is>
          <t xml:space="preserve">   Alt+F8 → TuanTaiTao   (nhập số tuần cũ → in lại đúng TKB tuần đó)</t>
        </is>
      </c>
    </row>
    <row r="54" ht="15" customHeight="1">
      <c r="B54" s="9" t="inlineStr">
        <is>
          <t xml:space="preserve">   Alt+F8 → XoaLichSuSeed (reset về tuần 1)</t>
        </is>
      </c>
    </row>
    <row r="55" ht="15" customHeight="1">
      <c r="B55" s="7" t="inlineStr">
        <is>
          <t>Vì sao cần seed? Randomize theo giờ cho kết quả ngẫu nhiên nhưng KHÔNG in lại được.</t>
        </is>
      </c>
    </row>
    <row r="56" ht="15" customHeight="1">
      <c r="B56" s="7" t="inlineStr">
        <is>
          <t xml:space="preserve">   Lưu seed → BGH tái tạo chính xác TKB bất kỳ tuần nào để đối chiếu/in lại.</t>
        </is>
      </c>
    </row>
    <row r="57" ht="15" customHeight="1">
      <c r="B57" s="7" t="n"/>
    </row>
    <row r="58" ht="15" customHeight="1">
      <c r="B58" s="8" t="inlineStr">
        <is>
          <t>6. BẢNG TRA LỖI THƯỜNG GẶP</t>
        </is>
      </c>
    </row>
    <row r="59" ht="15" customHeight="1">
      <c r="B59" s="7" t="inlineStr">
        <is>
          <t>LỖI: 'Subscript out of range' → PhanCong/SoTiet lệch số lớp-môn, hoặc có cột/dòng trống xen giữa.</t>
        </is>
      </c>
    </row>
    <row r="60" ht="15" customHeight="1">
      <c r="B60" s="7" t="inlineStr">
        <is>
          <t xml:space="preserve">   Cách sửa: đảm bảo 2 sheet cùng số lớp (hàng 2) và số môn (cột A), không dòng trống.</t>
        </is>
      </c>
    </row>
    <row r="61" ht="15" customHeight="1">
      <c r="B61" s="7" t="inlineStr">
        <is>
          <t>LỖI: 'Không tìm thấy mã 5' → cột MÃ (sau cột lớp cuối) tại dòng HĐTN phải điền số 5.</t>
        </is>
      </c>
    </row>
    <row r="62" ht="15" customHeight="1">
      <c r="B62" s="7" t="inlineStr">
        <is>
          <t>LỖI: KiemTra còn ô đỏ → định mức SoTiet vượt số ô khung, hoặc 1 GV quá tải (xem DinhMuc_GV).</t>
        </is>
      </c>
    </row>
    <row r="63" ht="15" customHeight="1">
      <c r="B63" s="7" t="inlineStr">
        <is>
          <t>LỖI: TKB_GV còn ô đỏ (trùng GV) → thường do GVCN bị phân 2 lớp (chào cờ/SHL diễn ra đồng thời).</t>
        </is>
      </c>
    </row>
    <row r="64" ht="15" customHeight="1">
      <c r="B64" s="7" t="inlineStr">
        <is>
          <t xml:space="preserve">   Mỗi lớp phải có GVCN (môn mã 5) RIÊNG BIỆT.</t>
        </is>
      </c>
    </row>
    <row r="65" ht="15" customHeight="1">
      <c r="B65" s="7" t="inlineStr">
        <is>
          <t>LỖI: 'Khong xep duoc sau 600 lan' → GV_Ban cấm quá nhiều giờ GV tải nặng, hoặc định mức vượt khung.</t>
        </is>
      </c>
    </row>
    <row r="66" ht="15" customHeight="1">
      <c r="B66" s="7" t="n"/>
    </row>
    <row r="67" ht="15" customHeight="1">
      <c r="B67" s="8" t="inlineStr">
        <is>
          <t>7. LƯU Ý KỸ THUẬT (tránh lỗi tái diễn)</t>
        </is>
      </c>
    </row>
    <row r="68" ht="15" customHeight="1">
      <c r="B68" s="7" t="inlineStr">
        <is>
          <t>• KHÔNG gõ tiếng Việt có dấu vào code VBA — VBA Editor làm hỏng font → so khớp sai.</t>
        </is>
      </c>
    </row>
    <row r="69" ht="15" customHeight="1">
      <c r="B69" s="7" t="inlineStr">
        <is>
          <t xml:space="preserve">   Vai trò môn dùng MÃ SỐ (cột MÃ), không dùng chữ. Muốn đổi phân loại → sửa số, không đụng .bas.</t>
        </is>
      </c>
    </row>
    <row r="70" ht="15" customHeight="1">
      <c r="B70" s="7" t="inlineStr">
        <is>
          <t>• Mảng động trong VBA: dùng ReDim để reset, KHÔNG dùng Erase (Erase giải phóng → lỗi lần lặp sau).</t>
        </is>
      </c>
    </row>
    <row r="71" ht="15" customHeight="1">
      <c r="B71" s="7" t="inlineStr">
        <is>
          <t>• Đếm số lớp dừng ở cột trống HOẶC header 'MÃ' → tránh đếm nhầm cột phụ thành lớp.</t>
        </is>
      </c>
    </row>
    <row r="72" ht="15" customHeight="1">
      <c r="B72" s="7" t="inlineStr">
        <is>
          <t>• Luôn lưu file dạng .xlsm (Macro-Enabled). Lưu .xlsx sẽ MẤT toàn bộ macro.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21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10" customWidth="1" min="2" max="11"/>
    <col width="7" customWidth="1" min="12" max="12"/>
    <col width="6" customWidth="1" min="13" max="14"/>
    <col width="42" customWidth="1" min="15" max="15"/>
  </cols>
  <sheetData>
    <row r="1" ht="15.75" customHeight="1">
      <c r="A1" s="2" t="inlineStr">
        <is>
          <t>PHÂN CÔNG CHUYÊN MÔN — 9 lớp (3 lớp 6), nguồn Sheet2. Cột MÃ=vai trò, cột CV=chức vụ</t>
        </is>
      </c>
    </row>
    <row r="2" ht="15" customHeight="1">
      <c r="A2" s="11" t="inlineStr">
        <is>
          <t>Môn \ Lớp</t>
        </is>
      </c>
      <c r="B2" s="11" t="inlineStr">
        <is>
          <t>6A5</t>
        </is>
      </c>
      <c r="C2" s="11" t="inlineStr">
        <is>
          <t>6A6</t>
        </is>
      </c>
      <c r="D2" s="11" t="inlineStr">
        <is>
          <t>7A4</t>
        </is>
      </c>
      <c r="E2" s="11" t="inlineStr">
        <is>
          <t>7A5</t>
        </is>
      </c>
      <c r="F2" s="11" t="inlineStr">
        <is>
          <t>8A5</t>
        </is>
      </c>
      <c r="G2" s="11" t="inlineStr">
        <is>
          <t>8A6</t>
        </is>
      </c>
      <c r="H2" s="11" t="inlineStr">
        <is>
          <t>9A5</t>
        </is>
      </c>
      <c r="I2" s="11" t="inlineStr">
        <is>
          <t>9A6</t>
        </is>
      </c>
      <c r="J2" s="11" t="n"/>
      <c r="K2" s="12" t="inlineStr">
        <is>
          <t>MÃ VAI TRÒ</t>
        </is>
      </c>
      <c r="L2" s="13" t="n"/>
      <c r="M2" s="12" t="n"/>
      <c r="N2" s="12" t="n"/>
      <c r="O2" s="14" t="n"/>
    </row>
    <row r="3" ht="15" customHeight="1">
      <c r="A3" s="15" t="inlineStr">
        <is>
          <t>Toán học</t>
        </is>
      </c>
      <c r="B3" s="16" t="inlineStr">
        <is>
          <t>Huyền Ly</t>
        </is>
      </c>
      <c r="C3" s="16" t="inlineStr">
        <is>
          <t>Huyền Ly</t>
        </is>
      </c>
      <c r="D3" s="16" t="inlineStr">
        <is>
          <t>Lệ</t>
        </is>
      </c>
      <c r="E3" s="16" t="inlineStr">
        <is>
          <t>Lệ</t>
        </is>
      </c>
      <c r="F3" s="16" t="inlineStr">
        <is>
          <t>Minh Anh</t>
        </is>
      </c>
      <c r="G3" s="16" t="inlineStr">
        <is>
          <t>Minh Anh</t>
        </is>
      </c>
      <c r="H3" s="16" t="inlineStr">
        <is>
          <t>Nguyễn Ly</t>
        </is>
      </c>
      <c r="I3" s="16" t="inlineStr">
        <is>
          <t>Nguyễn Ly</t>
        </is>
      </c>
      <c r="J3" s="16" t="n"/>
      <c r="K3" s="17" t="n">
        <v>3</v>
      </c>
      <c r="L3" s="18" t="n"/>
      <c r="M3" s="19" t="n"/>
      <c r="N3" s="19" t="n"/>
      <c r="O3" s="20" t="n"/>
    </row>
    <row r="4" ht="15" customHeight="1">
      <c r="A4" s="15" t="inlineStr">
        <is>
          <t>Ngữ văn</t>
        </is>
      </c>
      <c r="B4" s="16" t="inlineStr">
        <is>
          <t>Hoa</t>
        </is>
      </c>
      <c r="C4" s="16" t="inlineStr">
        <is>
          <t>Hoa</t>
        </is>
      </c>
      <c r="D4" s="16" t="inlineStr">
        <is>
          <t>Nhung</t>
        </is>
      </c>
      <c r="E4" s="16" t="inlineStr">
        <is>
          <t>Thành</t>
        </is>
      </c>
      <c r="F4" s="16" t="inlineStr">
        <is>
          <t>Uyên</t>
        </is>
      </c>
      <c r="G4" s="16" t="inlineStr">
        <is>
          <t>Uyên</t>
        </is>
      </c>
      <c r="H4" s="16" t="inlineStr">
        <is>
          <t>Lan</t>
        </is>
      </c>
      <c r="I4" s="16" t="inlineStr">
        <is>
          <t>Lan</t>
        </is>
      </c>
      <c r="J4" s="16" t="n"/>
      <c r="K4" s="17" t="n">
        <v>3</v>
      </c>
      <c r="L4" s="18" t="n"/>
      <c r="M4" s="19" t="n"/>
      <c r="N4" s="19" t="n"/>
      <c r="O4" s="20" t="n"/>
    </row>
    <row r="5" ht="15" customHeight="1">
      <c r="A5" s="15" t="inlineStr">
        <is>
          <t>Ngoại ngữ</t>
        </is>
      </c>
      <c r="B5" s="16" t="inlineStr">
        <is>
          <t>Giang</t>
        </is>
      </c>
      <c r="C5" s="16" t="inlineStr">
        <is>
          <t>Trung</t>
        </is>
      </c>
      <c r="D5" s="16" t="inlineStr">
        <is>
          <t>Trung</t>
        </is>
      </c>
      <c r="E5" s="16" t="inlineStr">
        <is>
          <t>Trung</t>
        </is>
      </c>
      <c r="F5" s="16" t="inlineStr">
        <is>
          <t>Trung</t>
        </is>
      </c>
      <c r="G5" s="16" t="inlineStr">
        <is>
          <t>Trung</t>
        </is>
      </c>
      <c r="H5" s="16" t="inlineStr">
        <is>
          <t>Giang</t>
        </is>
      </c>
      <c r="I5" s="16" t="inlineStr">
        <is>
          <t>Giang</t>
        </is>
      </c>
      <c r="J5" s="16" t="n"/>
      <c r="K5" s="17" t="n">
        <v>1</v>
      </c>
      <c r="L5" s="18" t="n"/>
      <c r="M5" s="19" t="n"/>
      <c r="N5" s="19" t="n"/>
      <c r="O5" s="20" t="n"/>
    </row>
    <row r="6" ht="15" customHeight="1">
      <c r="A6" s="15" t="inlineStr">
        <is>
          <t>Khoa học tự nhiên (Vật lý)</t>
        </is>
      </c>
      <c r="B6" s="16" t="inlineStr">
        <is>
          <t>Sơn</t>
        </is>
      </c>
      <c r="C6" s="16" t="inlineStr">
        <is>
          <t>Sơn</t>
        </is>
      </c>
      <c r="D6" s="16" t="inlineStr">
        <is>
          <t>Huyền Ly</t>
        </is>
      </c>
      <c r="E6" s="16" t="inlineStr">
        <is>
          <t>Huyền Ly</t>
        </is>
      </c>
      <c r="F6" s="16" t="inlineStr">
        <is>
          <t>Nguyễn Ly</t>
        </is>
      </c>
      <c r="G6" s="16" t="inlineStr">
        <is>
          <t>Nguyễn Ly</t>
        </is>
      </c>
      <c r="H6" s="16" t="inlineStr">
        <is>
          <t>Huyền Ly</t>
        </is>
      </c>
      <c r="I6" s="16" t="inlineStr">
        <is>
          <t>Huyền Ly</t>
        </is>
      </c>
      <c r="J6" s="16" t="n"/>
      <c r="K6" s="17" t="n">
        <v>0</v>
      </c>
      <c r="L6" s="18" t="n"/>
      <c r="M6" s="19" t="n"/>
      <c r="N6" s="19" t="n"/>
      <c r="O6" s="20" t="n"/>
    </row>
    <row r="7" ht="15" customHeight="1">
      <c r="A7" s="15" t="inlineStr">
        <is>
          <t>Khoa học tự nhiên (Hoá học)</t>
        </is>
      </c>
      <c r="B7" s="16" t="inlineStr">
        <is>
          <t>Sơn</t>
        </is>
      </c>
      <c r="C7" s="16" t="inlineStr">
        <is>
          <t>Sơn</t>
        </is>
      </c>
      <c r="D7" s="16" t="inlineStr">
        <is>
          <t>Hoà</t>
        </is>
      </c>
      <c r="E7" s="16" t="inlineStr">
        <is>
          <t>Hoà</t>
        </is>
      </c>
      <c r="F7" s="16" t="inlineStr">
        <is>
          <t>Khu</t>
        </is>
      </c>
      <c r="G7" s="16" t="inlineStr">
        <is>
          <t>Khu</t>
        </is>
      </c>
      <c r="H7" s="16" t="inlineStr">
        <is>
          <t>Khu</t>
        </is>
      </c>
      <c r="I7" s="16" t="inlineStr">
        <is>
          <t>Khu</t>
        </is>
      </c>
      <c r="J7" s="16" t="n"/>
      <c r="K7" s="17" t="n">
        <v>0</v>
      </c>
      <c r="L7" s="18" t="n"/>
      <c r="M7" s="19" t="n"/>
      <c r="N7" s="19" t="n"/>
      <c r="O7" s="20" t="n"/>
    </row>
    <row r="8" ht="15" customHeight="1">
      <c r="A8" s="15" t="inlineStr">
        <is>
          <t>Khoa học tự nhiên (Sinh học)</t>
        </is>
      </c>
      <c r="B8" s="16" t="inlineStr">
        <is>
          <t>Sơn</t>
        </is>
      </c>
      <c r="C8" s="16" t="inlineStr">
        <is>
          <t>Sơn</t>
        </is>
      </c>
      <c r="D8" s="16" t="inlineStr">
        <is>
          <t>Hoà</t>
        </is>
      </c>
      <c r="E8" s="16" t="inlineStr">
        <is>
          <t>Hoà</t>
        </is>
      </c>
      <c r="F8" s="16" t="inlineStr">
        <is>
          <t>Hoà</t>
        </is>
      </c>
      <c r="G8" s="16" t="inlineStr">
        <is>
          <t>Hoà</t>
        </is>
      </c>
      <c r="H8" s="16" t="inlineStr">
        <is>
          <t>Sơn</t>
        </is>
      </c>
      <c r="I8" s="16" t="inlineStr">
        <is>
          <t>Sơn</t>
        </is>
      </c>
      <c r="J8" s="16" t="n"/>
      <c r="K8" s="17" t="n">
        <v>0</v>
      </c>
      <c r="L8" s="18" t="n"/>
      <c r="M8" s="19" t="n"/>
      <c r="N8" s="19" t="n"/>
      <c r="O8" s="20" t="n"/>
    </row>
    <row r="9" ht="15" customHeight="1">
      <c r="A9" s="15" t="inlineStr">
        <is>
          <t>Lịch sử và địa lý (Lịch sử)</t>
        </is>
      </c>
      <c r="B9" s="16" t="inlineStr">
        <is>
          <t>Hoa</t>
        </is>
      </c>
      <c r="C9" s="16" t="inlineStr">
        <is>
          <t>Hoa</t>
        </is>
      </c>
      <c r="D9" s="16" t="inlineStr">
        <is>
          <t>Thành</t>
        </is>
      </c>
      <c r="E9" s="16" t="inlineStr">
        <is>
          <t>Thành</t>
        </is>
      </c>
      <c r="F9" s="16" t="inlineStr">
        <is>
          <t>Thành</t>
        </is>
      </c>
      <c r="G9" s="16" t="inlineStr">
        <is>
          <t>Thành</t>
        </is>
      </c>
      <c r="H9" s="16" t="inlineStr">
        <is>
          <t>Thành</t>
        </is>
      </c>
      <c r="I9" s="16" t="inlineStr">
        <is>
          <t>Thành</t>
        </is>
      </c>
      <c r="J9" s="16" t="n"/>
      <c r="K9" s="17" t="n">
        <v>0</v>
      </c>
      <c r="L9" s="18" t="n"/>
    </row>
    <row r="10" ht="15" customHeight="1">
      <c r="A10" s="15" t="inlineStr">
        <is>
          <t>Lịch sử và địa lý (Địa lý)</t>
        </is>
      </c>
      <c r="B10" s="16" t="inlineStr">
        <is>
          <t>Nhung</t>
        </is>
      </c>
      <c r="C10" s="16" t="inlineStr">
        <is>
          <t>Nhung</t>
        </is>
      </c>
      <c r="D10" s="16" t="inlineStr">
        <is>
          <t>Nhung</t>
        </is>
      </c>
      <c r="E10" s="16" t="inlineStr">
        <is>
          <t>Nhung</t>
        </is>
      </c>
      <c r="F10" s="16" t="inlineStr">
        <is>
          <t>Nhung</t>
        </is>
      </c>
      <c r="G10" s="16" t="inlineStr">
        <is>
          <t>Nhung</t>
        </is>
      </c>
      <c r="H10" s="16" t="inlineStr">
        <is>
          <t>Nhung</t>
        </is>
      </c>
      <c r="I10" s="16" t="inlineStr">
        <is>
          <t>Nhung</t>
        </is>
      </c>
      <c r="J10" s="16" t="n"/>
      <c r="K10" s="17" t="n">
        <v>0</v>
      </c>
      <c r="L10" s="18" t="n"/>
    </row>
    <row r="11" ht="15" customHeight="1">
      <c r="A11" s="15" t="inlineStr">
        <is>
          <t>Giáo dục công dân</t>
        </is>
      </c>
      <c r="B11" s="16" t="inlineStr">
        <is>
          <t>Khu</t>
        </is>
      </c>
      <c r="C11" s="16" t="inlineStr">
        <is>
          <t>Khu</t>
        </is>
      </c>
      <c r="D11" s="16" t="inlineStr">
        <is>
          <t>Lan Ly</t>
        </is>
      </c>
      <c r="E11" s="16" t="inlineStr">
        <is>
          <t>Lan Ly</t>
        </is>
      </c>
      <c r="F11" s="16" t="inlineStr">
        <is>
          <t>Hoà</t>
        </is>
      </c>
      <c r="G11" s="16" t="inlineStr">
        <is>
          <t>Uyên</t>
        </is>
      </c>
      <c r="H11" s="16" t="inlineStr">
        <is>
          <t>Uyên</t>
        </is>
      </c>
      <c r="I11" s="16" t="inlineStr">
        <is>
          <t>Uyên</t>
        </is>
      </c>
      <c r="J11" s="16" t="n"/>
      <c r="K11" s="17" t="n">
        <v>0</v>
      </c>
      <c r="L11" s="18" t="n"/>
    </row>
    <row r="12" ht="15" customHeight="1">
      <c r="A12" s="15" t="inlineStr">
        <is>
          <t>Công nghệ</t>
        </is>
      </c>
      <c r="B12" s="16" t="inlineStr">
        <is>
          <t>Huyền Ly</t>
        </is>
      </c>
      <c r="C12" s="16" t="inlineStr">
        <is>
          <t>Huyền Ly</t>
        </is>
      </c>
      <c r="D12" s="16" t="inlineStr">
        <is>
          <t>Sơn</t>
        </is>
      </c>
      <c r="E12" s="16" t="inlineStr">
        <is>
          <t>Sơn</t>
        </is>
      </c>
      <c r="F12" s="16" t="inlineStr">
        <is>
          <t>Sơn</t>
        </is>
      </c>
      <c r="G12" s="16" t="inlineStr">
        <is>
          <t>Sơn</t>
        </is>
      </c>
      <c r="H12" s="16" t="inlineStr">
        <is>
          <t>Khu</t>
        </is>
      </c>
      <c r="I12" s="16" t="inlineStr">
        <is>
          <t>Khu</t>
        </is>
      </c>
      <c r="J12" s="16" t="n"/>
      <c r="K12" s="17" t="n">
        <v>0</v>
      </c>
      <c r="L12" s="18" t="n"/>
    </row>
    <row r="13" ht="15" customHeight="1">
      <c r="A13" s="15" t="inlineStr">
        <is>
          <t>Tin</t>
        </is>
      </c>
      <c r="B13" s="16" t="inlineStr">
        <is>
          <t>Minh Anh</t>
        </is>
      </c>
      <c r="C13" s="16" t="inlineStr">
        <is>
          <t>Sơn</t>
        </is>
      </c>
      <c r="D13" s="16" t="inlineStr">
        <is>
          <t>Khu</t>
        </is>
      </c>
      <c r="E13" s="16" t="inlineStr">
        <is>
          <t>Khu</t>
        </is>
      </c>
      <c r="F13" s="16" t="inlineStr">
        <is>
          <t>Lệ</t>
        </is>
      </c>
      <c r="G13" s="16" t="inlineStr">
        <is>
          <t>Lệ</t>
        </is>
      </c>
      <c r="H13" s="16" t="inlineStr">
        <is>
          <t>Minh Anh</t>
        </is>
      </c>
      <c r="I13" s="16" t="inlineStr">
        <is>
          <t>Minh Anh</t>
        </is>
      </c>
      <c r="J13" s="16" t="n"/>
      <c r="K13" s="17" t="n">
        <v>0</v>
      </c>
      <c r="L13" s="18" t="n"/>
    </row>
    <row r="14" ht="15" customHeight="1">
      <c r="A14" s="15" t="inlineStr">
        <is>
          <t>Giáo dục thể chất</t>
        </is>
      </c>
      <c r="B14" s="16" t="inlineStr">
        <is>
          <t>Hồng</t>
        </is>
      </c>
      <c r="C14" s="16" t="inlineStr">
        <is>
          <t>Hồng</t>
        </is>
      </c>
      <c r="D14" s="16" t="inlineStr">
        <is>
          <t>Hồng</t>
        </is>
      </c>
      <c r="E14" s="16" t="inlineStr">
        <is>
          <t>Hồng</t>
        </is>
      </c>
      <c r="F14" s="16" t="inlineStr">
        <is>
          <t>Hồng</t>
        </is>
      </c>
      <c r="G14" s="16" t="inlineStr">
        <is>
          <t>Hồng</t>
        </is>
      </c>
      <c r="H14" s="16" t="inlineStr">
        <is>
          <t>Hồng</t>
        </is>
      </c>
      <c r="I14" s="16" t="inlineStr">
        <is>
          <t>Hồng</t>
        </is>
      </c>
      <c r="J14" s="16" t="n"/>
      <c r="K14" s="17" t="n">
        <v>4</v>
      </c>
      <c r="L14" s="18" t="n"/>
    </row>
    <row r="15" ht="15" customHeight="1">
      <c r="A15" s="15" t="inlineStr">
        <is>
          <t>Nội dung giáo dục của địa phương</t>
        </is>
      </c>
      <c r="B15" s="16" t="inlineStr">
        <is>
          <t>Lan</t>
        </is>
      </c>
      <c r="C15" s="16" t="inlineStr">
        <is>
          <t>Lan</t>
        </is>
      </c>
      <c r="D15" s="16" t="inlineStr">
        <is>
          <t>Khu</t>
        </is>
      </c>
      <c r="E15" s="16" t="inlineStr">
        <is>
          <t>Khu</t>
        </is>
      </c>
      <c r="F15" s="16" t="inlineStr">
        <is>
          <t>Nhung</t>
        </is>
      </c>
      <c r="G15" s="16" t="inlineStr">
        <is>
          <t>Nhung</t>
        </is>
      </c>
      <c r="H15" s="16" t="inlineStr">
        <is>
          <t>Thành</t>
        </is>
      </c>
      <c r="I15" s="16" t="inlineStr">
        <is>
          <t>Thành</t>
        </is>
      </c>
      <c r="J15" s="16" t="n"/>
      <c r="K15" s="17" t="n">
        <v>0</v>
      </c>
      <c r="L15" s="18" t="n"/>
    </row>
    <row r="16" ht="15" customHeight="1">
      <c r="A16" s="15" t="inlineStr">
        <is>
          <t>Hoạt động trải nghiệm, hướng nghiệp</t>
        </is>
      </c>
      <c r="B16" s="16" t="inlineStr">
        <is>
          <t>Giang</t>
        </is>
      </c>
      <c r="C16" s="16" t="inlineStr">
        <is>
          <t>Hoa</t>
        </is>
      </c>
      <c r="D16" s="16" t="inlineStr">
        <is>
          <t>Lệ</t>
        </is>
      </c>
      <c r="E16" s="16" t="inlineStr">
        <is>
          <t>Hoà</t>
        </is>
      </c>
      <c r="F16" s="16" t="inlineStr">
        <is>
          <t>Minh Anh</t>
        </is>
      </c>
      <c r="G16" s="16" t="inlineStr">
        <is>
          <t>Uyên</t>
        </is>
      </c>
      <c r="H16" s="16" t="inlineStr">
        <is>
          <t>Nguyễn Ly</t>
        </is>
      </c>
      <c r="I16" s="16" t="inlineStr">
        <is>
          <t>Lan</t>
        </is>
      </c>
      <c r="J16" s="16" t="n"/>
      <c r="K16" s="17" t="n">
        <v>5</v>
      </c>
      <c r="L16" s="18" t="n"/>
    </row>
    <row r="17" ht="15" customHeight="1">
      <c r="A17" s="15" t="inlineStr">
        <is>
          <t>Nghệ thuật (Nhạc)</t>
        </is>
      </c>
      <c r="B17" s="16" t="inlineStr">
        <is>
          <t>Hà</t>
        </is>
      </c>
      <c r="C17" s="16" t="inlineStr">
        <is>
          <t>Hà</t>
        </is>
      </c>
      <c r="D17" s="16" t="inlineStr">
        <is>
          <t>Lan Ly</t>
        </is>
      </c>
      <c r="E17" s="16" t="inlineStr">
        <is>
          <t>Lan Ly</t>
        </is>
      </c>
      <c r="F17" s="16" t="inlineStr">
        <is>
          <t>Lan Ly</t>
        </is>
      </c>
      <c r="G17" s="16" t="inlineStr">
        <is>
          <t>Lan Ly</t>
        </is>
      </c>
      <c r="H17" s="16" t="inlineStr">
        <is>
          <t>Hà</t>
        </is>
      </c>
      <c r="I17" s="16" t="inlineStr">
        <is>
          <t>Hà</t>
        </is>
      </c>
      <c r="J17" s="16" t="n"/>
      <c r="K17" s="17" t="n">
        <v>0</v>
      </c>
      <c r="L17" s="18" t="n"/>
    </row>
    <row r="18" ht="15" customHeight="1">
      <c r="A18" s="15" t="inlineStr">
        <is>
          <t>Nghệ thuật (Mỹ thuật)</t>
        </is>
      </c>
      <c r="B18" s="16" t="inlineStr">
        <is>
          <t>Lan Ly</t>
        </is>
      </c>
      <c r="C18" s="16" t="inlineStr">
        <is>
          <t>Lan Ly</t>
        </is>
      </c>
      <c r="D18" s="16" t="inlineStr">
        <is>
          <t>Lan Ly</t>
        </is>
      </c>
      <c r="E18" s="16" t="inlineStr">
        <is>
          <t>Lan Ly</t>
        </is>
      </c>
      <c r="F18" s="16" t="inlineStr">
        <is>
          <t>Lan Ly</t>
        </is>
      </c>
      <c r="G18" s="16" t="inlineStr">
        <is>
          <t>Lan Ly</t>
        </is>
      </c>
      <c r="H18" s="16" t="inlineStr">
        <is>
          <t>Lan Ly</t>
        </is>
      </c>
      <c r="I18" s="16" t="inlineStr">
        <is>
          <t>Lan Ly</t>
        </is>
      </c>
      <c r="J18" s="16" t="n"/>
      <c r="K18" s="17" t="n">
        <v>0</v>
      </c>
      <c r="L18" s="18" t="n"/>
    </row>
    <row r="19" ht="15" customHeight="1">
      <c r="A19" s="21" t="n"/>
      <c r="B19" s="22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17" t="n"/>
      <c r="L19" s="17" t="n"/>
    </row>
    <row r="20" ht="15" customHeight="1"/>
    <row r="21" ht="15" customHeight="1">
      <c r="A21" s="23" t="n"/>
    </row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dataValidations count="1">
    <dataValidation sqref="L3:L18" showDropDown="0" showInputMessage="0" showErrorMessage="0" allowBlank="0" type="whole">
      <formula1>0</formula1>
      <formula2>5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T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7" customWidth="1" min="2" max="20"/>
  </cols>
  <sheetData>
    <row r="1" ht="15.75" customHeight="1">
      <c r="A1" s="2" t="inlineStr">
        <is>
          <t>ĐỊNH MỨC TIẾT/TUẦN — (C)=chẵn, (L)=lẻ. Môn .5: chẵn=2 lẻ=1</t>
        </is>
      </c>
    </row>
    <row r="2" ht="15" customHeight="1">
      <c r="A2" s="11" t="inlineStr">
        <is>
          <t>Môn \ Lớp</t>
        </is>
      </c>
      <c r="B2" s="24" t="inlineStr">
        <is>
          <t>6A5 C</t>
        </is>
      </c>
      <c r="C2" s="24" t="inlineStr">
        <is>
          <t>6A6 C</t>
        </is>
      </c>
      <c r="D2" s="24" t="inlineStr">
        <is>
          <t>7A4 C</t>
        </is>
      </c>
      <c r="E2" s="24" t="inlineStr">
        <is>
          <t>7A5 C</t>
        </is>
      </c>
      <c r="F2" s="24" t="inlineStr">
        <is>
          <t>8A5 C</t>
        </is>
      </c>
      <c r="G2" s="24" t="inlineStr">
        <is>
          <t>8A6 C</t>
        </is>
      </c>
      <c r="H2" s="24" t="inlineStr">
        <is>
          <t>9A5 C</t>
        </is>
      </c>
      <c r="I2" s="24" t="inlineStr">
        <is>
          <t>9A6 C</t>
        </is>
      </c>
      <c r="J2" s="24" t="n"/>
      <c r="K2" s="12" t="inlineStr">
        <is>
          <t>6A5 L</t>
        </is>
      </c>
      <c r="L2" s="25" t="inlineStr">
        <is>
          <t>6A6 L</t>
        </is>
      </c>
      <c r="M2" s="25" t="inlineStr">
        <is>
          <t>7A4 L</t>
        </is>
      </c>
      <c r="N2" s="25" t="inlineStr">
        <is>
          <t>7A5 L</t>
        </is>
      </c>
      <c r="O2" s="25" t="inlineStr">
        <is>
          <t>8A5 L</t>
        </is>
      </c>
      <c r="P2" s="25" t="inlineStr">
        <is>
          <t>8A6 L</t>
        </is>
      </c>
      <c r="Q2" s="25" t="inlineStr">
        <is>
          <t>9A5 L</t>
        </is>
      </c>
      <c r="R2" s="25" t="inlineStr">
        <is>
          <t>9A6 L</t>
        </is>
      </c>
      <c r="S2" s="25" t="n"/>
      <c r="T2" s="25" t="n"/>
    </row>
    <row r="3" ht="15" customHeight="1">
      <c r="A3" s="26" t="inlineStr">
        <is>
          <t>Toán học</t>
        </is>
      </c>
      <c r="B3" s="16" t="n">
        <v>4</v>
      </c>
      <c r="C3" s="16" t="n">
        <v>4</v>
      </c>
      <c r="D3" s="16" t="n">
        <v>4</v>
      </c>
      <c r="E3" s="16" t="n">
        <v>4</v>
      </c>
      <c r="F3" s="16" t="n">
        <v>4</v>
      </c>
      <c r="G3" s="16" t="n">
        <v>4</v>
      </c>
      <c r="H3" s="16" t="n">
        <v>4</v>
      </c>
      <c r="I3" s="16" t="n">
        <v>4</v>
      </c>
      <c r="J3" s="16" t="n"/>
      <c r="K3" s="22" t="n">
        <v>4</v>
      </c>
      <c r="L3" s="16" t="n">
        <v>4</v>
      </c>
      <c r="M3" s="16" t="n">
        <v>4</v>
      </c>
      <c r="N3" s="16" t="n">
        <v>4</v>
      </c>
      <c r="O3" s="16" t="n">
        <v>4</v>
      </c>
      <c r="P3" s="16" t="n">
        <v>4</v>
      </c>
      <c r="Q3" s="16" t="n">
        <v>4</v>
      </c>
      <c r="R3" s="16" t="n">
        <v>4</v>
      </c>
      <c r="S3" s="16" t="n"/>
      <c r="T3" s="16" t="n"/>
    </row>
    <row r="4" ht="15" customHeight="1">
      <c r="A4" s="26" t="inlineStr">
        <is>
          <t>Ngữ văn</t>
        </is>
      </c>
      <c r="B4" s="16" t="n">
        <v>4</v>
      </c>
      <c r="C4" s="16" t="n">
        <v>4</v>
      </c>
      <c r="D4" s="16" t="n">
        <v>4</v>
      </c>
      <c r="E4" s="16" t="n">
        <v>4</v>
      </c>
      <c r="F4" s="16" t="n">
        <v>4</v>
      </c>
      <c r="G4" s="16" t="n">
        <v>4</v>
      </c>
      <c r="H4" s="16" t="n">
        <v>4</v>
      </c>
      <c r="I4" s="16" t="n">
        <v>4</v>
      </c>
      <c r="J4" s="16" t="n"/>
      <c r="K4" s="22" t="n">
        <v>4</v>
      </c>
      <c r="L4" s="16" t="n">
        <v>4</v>
      </c>
      <c r="M4" s="16" t="n">
        <v>4</v>
      </c>
      <c r="N4" s="16" t="n">
        <v>4</v>
      </c>
      <c r="O4" s="16" t="n">
        <v>4</v>
      </c>
      <c r="P4" s="16" t="n">
        <v>4</v>
      </c>
      <c r="Q4" s="16" t="n">
        <v>4</v>
      </c>
      <c r="R4" s="16" t="n">
        <v>4</v>
      </c>
      <c r="S4" s="16" t="n"/>
      <c r="T4" s="16" t="n"/>
    </row>
    <row r="5" ht="15" customHeight="1">
      <c r="A5" s="26" t="inlineStr">
        <is>
          <t>Ngoại ngữ</t>
        </is>
      </c>
      <c r="B5" s="16" t="n">
        <v>3</v>
      </c>
      <c r="C5" s="16" t="n">
        <v>3</v>
      </c>
      <c r="D5" s="16" t="n">
        <v>3</v>
      </c>
      <c r="E5" s="16" t="n">
        <v>3</v>
      </c>
      <c r="F5" s="16" t="n">
        <v>3</v>
      </c>
      <c r="G5" s="16" t="n">
        <v>3</v>
      </c>
      <c r="H5" s="16" t="n">
        <v>3</v>
      </c>
      <c r="I5" s="16" t="n">
        <v>3</v>
      </c>
      <c r="J5" s="16" t="n"/>
      <c r="K5" s="22" t="n">
        <v>3</v>
      </c>
      <c r="L5" s="16" t="n">
        <v>3</v>
      </c>
      <c r="M5" s="16" t="n">
        <v>3</v>
      </c>
      <c r="N5" s="16" t="n">
        <v>3</v>
      </c>
      <c r="O5" s="16" t="n">
        <v>3</v>
      </c>
      <c r="P5" s="16" t="n">
        <v>3</v>
      </c>
      <c r="Q5" s="16" t="n">
        <v>3</v>
      </c>
      <c r="R5" s="16" t="n">
        <v>3</v>
      </c>
      <c r="S5" s="16" t="n"/>
      <c r="T5" s="16" t="n"/>
    </row>
    <row r="6" ht="15" customHeight="1">
      <c r="A6" s="26" t="inlineStr">
        <is>
          <t>Khoa học tự nhiên (Vật lý)</t>
        </is>
      </c>
      <c r="B6" s="16" t="n">
        <v>0</v>
      </c>
      <c r="C6" s="16" t="n">
        <v>0</v>
      </c>
      <c r="D6" s="16" t="n">
        <v>1</v>
      </c>
      <c r="E6" s="16" t="n">
        <v>1</v>
      </c>
      <c r="F6" s="16" t="n">
        <v>1</v>
      </c>
      <c r="G6" s="16" t="n">
        <v>1</v>
      </c>
      <c r="H6" s="16" t="n">
        <v>0</v>
      </c>
      <c r="I6" s="16" t="n">
        <v>0</v>
      </c>
      <c r="J6" s="16" t="n"/>
      <c r="K6" s="22" t="n">
        <v>2</v>
      </c>
      <c r="L6" s="16" t="n">
        <v>2</v>
      </c>
      <c r="M6" s="16" t="n">
        <v>1</v>
      </c>
      <c r="N6" s="16" t="n">
        <v>1</v>
      </c>
      <c r="O6" s="16" t="n">
        <v>2</v>
      </c>
      <c r="P6" s="16" t="n">
        <v>2</v>
      </c>
      <c r="Q6" s="16" t="n">
        <v>3</v>
      </c>
      <c r="R6" s="16" t="n">
        <v>3</v>
      </c>
      <c r="S6" s="16" t="n"/>
      <c r="T6" s="16" t="n"/>
    </row>
    <row r="7" ht="15" customHeight="1">
      <c r="A7" s="26" t="inlineStr">
        <is>
          <t>Khoa học tự nhiên (Hoá học)</t>
        </is>
      </c>
      <c r="B7" s="16" t="n">
        <v>4</v>
      </c>
      <c r="C7" s="16" t="n">
        <v>4</v>
      </c>
      <c r="D7" s="16" t="n">
        <v>1</v>
      </c>
      <c r="E7" s="16" t="n">
        <v>1</v>
      </c>
      <c r="F7" s="16" t="n">
        <v>3</v>
      </c>
      <c r="G7" s="16" t="n">
        <v>3</v>
      </c>
      <c r="H7" s="16" t="n">
        <v>3</v>
      </c>
      <c r="I7" s="16" t="n">
        <v>3</v>
      </c>
      <c r="J7" s="16" t="n"/>
      <c r="K7" s="22" t="n">
        <v>2</v>
      </c>
      <c r="L7" s="16" t="n">
        <v>2</v>
      </c>
      <c r="M7" s="16" t="n">
        <v>1</v>
      </c>
      <c r="N7" s="16" t="n">
        <v>1</v>
      </c>
      <c r="O7" s="16" t="n">
        <v>2</v>
      </c>
      <c r="P7" s="16" t="n">
        <v>2</v>
      </c>
      <c r="Q7" s="16" t="n">
        <v>0</v>
      </c>
      <c r="R7" s="16" t="n">
        <v>0</v>
      </c>
      <c r="S7" s="16" t="n"/>
      <c r="T7" s="16" t="n"/>
    </row>
    <row r="8" ht="15" customHeight="1">
      <c r="A8" s="26" t="inlineStr">
        <is>
          <t>Khoa học tự nhiên (Sinh học)</t>
        </is>
      </c>
      <c r="B8" s="16" t="n">
        <v>0</v>
      </c>
      <c r="C8" s="16" t="n">
        <v>0</v>
      </c>
      <c r="D8" s="16" t="n">
        <v>2</v>
      </c>
      <c r="E8" s="16" t="n">
        <v>2</v>
      </c>
      <c r="F8" s="16" t="n">
        <v>0</v>
      </c>
      <c r="G8" s="16" t="n">
        <v>0</v>
      </c>
      <c r="H8" s="16" t="n">
        <v>1</v>
      </c>
      <c r="I8" s="16" t="n">
        <v>1</v>
      </c>
      <c r="J8" s="16" t="n"/>
      <c r="K8" s="22" t="n">
        <v>0</v>
      </c>
      <c r="L8" s="16" t="n">
        <v>0</v>
      </c>
      <c r="M8" s="16" t="n">
        <v>2</v>
      </c>
      <c r="N8" s="16" t="n">
        <v>2</v>
      </c>
      <c r="O8" s="16" t="n">
        <v>0</v>
      </c>
      <c r="P8" s="16" t="n">
        <v>0</v>
      </c>
      <c r="Q8" s="16" t="n">
        <v>1</v>
      </c>
      <c r="R8" s="16" t="n">
        <v>1</v>
      </c>
      <c r="S8" s="16" t="n"/>
      <c r="T8" s="16" t="n"/>
    </row>
    <row r="9" ht="15" customHeight="1">
      <c r="A9" s="26" t="inlineStr">
        <is>
          <t>Lịch sử và địa lý (Lịch sử)</t>
        </is>
      </c>
      <c r="B9" s="16" t="n">
        <v>1</v>
      </c>
      <c r="C9" s="16" t="n">
        <v>1</v>
      </c>
      <c r="D9" s="16" t="n">
        <v>2</v>
      </c>
      <c r="E9" s="16" t="n">
        <v>2</v>
      </c>
      <c r="F9" s="16" t="n">
        <v>1</v>
      </c>
      <c r="G9" s="16" t="n">
        <v>1</v>
      </c>
      <c r="H9" s="16" t="n">
        <v>2</v>
      </c>
      <c r="I9" s="16" t="n">
        <v>2</v>
      </c>
      <c r="J9" s="16" t="n"/>
      <c r="K9" s="22" t="n">
        <v>1</v>
      </c>
      <c r="L9" s="16" t="n">
        <v>1</v>
      </c>
      <c r="M9" s="16" t="n">
        <v>2</v>
      </c>
      <c r="N9" s="16" t="n">
        <v>2</v>
      </c>
      <c r="O9" s="16" t="n">
        <v>1</v>
      </c>
      <c r="P9" s="16" t="n">
        <v>1</v>
      </c>
      <c r="Q9" s="16" t="n">
        <v>2</v>
      </c>
      <c r="R9" s="16" t="n">
        <v>2</v>
      </c>
      <c r="S9" s="16" t="n"/>
      <c r="T9" s="16" t="n"/>
    </row>
    <row r="10" ht="15" customHeight="1">
      <c r="A10" s="26" t="inlineStr">
        <is>
          <t>Lịch sử và địa lý (Địa lý)</t>
        </is>
      </c>
      <c r="B10" s="16" t="n">
        <v>2</v>
      </c>
      <c r="C10" s="16" t="n">
        <v>2</v>
      </c>
      <c r="D10" s="16" t="n">
        <v>1</v>
      </c>
      <c r="E10" s="16" t="n">
        <v>1</v>
      </c>
      <c r="F10" s="16" t="n">
        <v>2</v>
      </c>
      <c r="G10" s="16" t="n">
        <v>2</v>
      </c>
      <c r="H10" s="16" t="n">
        <v>1</v>
      </c>
      <c r="I10" s="16" t="n">
        <v>1</v>
      </c>
      <c r="J10" s="16" t="n"/>
      <c r="K10" s="22" t="n">
        <v>2</v>
      </c>
      <c r="L10" s="16" t="n">
        <v>2</v>
      </c>
      <c r="M10" s="16" t="n">
        <v>1</v>
      </c>
      <c r="N10" s="16" t="n">
        <v>1</v>
      </c>
      <c r="O10" s="16" t="n">
        <v>2</v>
      </c>
      <c r="P10" s="16" t="n">
        <v>2</v>
      </c>
      <c r="Q10" s="16" t="n">
        <v>1</v>
      </c>
      <c r="R10" s="16" t="n">
        <v>1</v>
      </c>
      <c r="S10" s="16" t="n"/>
      <c r="T10" s="16" t="n"/>
    </row>
    <row r="11" ht="15" customHeight="1">
      <c r="A11" s="26" t="inlineStr">
        <is>
          <t>Giáo dục công dân</t>
        </is>
      </c>
      <c r="B11" s="16" t="n">
        <v>1</v>
      </c>
      <c r="C11" s="16" t="n">
        <v>1</v>
      </c>
      <c r="D11" s="16" t="n">
        <v>1</v>
      </c>
      <c r="E11" s="16" t="n">
        <v>1</v>
      </c>
      <c r="F11" s="16" t="n">
        <v>1</v>
      </c>
      <c r="G11" s="16" t="n">
        <v>1</v>
      </c>
      <c r="H11" s="16" t="n">
        <v>1</v>
      </c>
      <c r="I11" s="16" t="n">
        <v>1</v>
      </c>
      <c r="J11" s="16" t="n"/>
      <c r="K11" s="22" t="n">
        <v>1</v>
      </c>
      <c r="L11" s="16" t="n">
        <v>1</v>
      </c>
      <c r="M11" s="16" t="n">
        <v>1</v>
      </c>
      <c r="N11" s="16" t="n">
        <v>1</v>
      </c>
      <c r="O11" s="16" t="n">
        <v>1</v>
      </c>
      <c r="P11" s="16" t="n">
        <v>1</v>
      </c>
      <c r="Q11" s="16" t="n">
        <v>1</v>
      </c>
      <c r="R11" s="16" t="n">
        <v>1</v>
      </c>
      <c r="S11" s="16" t="n"/>
      <c r="T11" s="16" t="n"/>
    </row>
    <row r="12" ht="15" customHeight="1">
      <c r="A12" s="26" t="inlineStr">
        <is>
          <t>Công nghệ</t>
        </is>
      </c>
      <c r="B12" s="16" t="n">
        <v>1</v>
      </c>
      <c r="C12" s="16" t="n">
        <v>1</v>
      </c>
      <c r="D12" s="16" t="n">
        <v>1</v>
      </c>
      <c r="E12" s="16" t="n">
        <v>1</v>
      </c>
      <c r="F12" s="16" t="n">
        <v>1</v>
      </c>
      <c r="G12" s="16" t="n">
        <v>1</v>
      </c>
      <c r="H12" s="16" t="n">
        <v>1</v>
      </c>
      <c r="I12" s="16" t="n">
        <v>1</v>
      </c>
      <c r="J12" s="16" t="n"/>
      <c r="K12" s="22" t="n">
        <v>1</v>
      </c>
      <c r="L12" s="16" t="n">
        <v>1</v>
      </c>
      <c r="M12" s="16" t="n">
        <v>1</v>
      </c>
      <c r="N12" s="16" t="n">
        <v>1</v>
      </c>
      <c r="O12" s="16" t="n">
        <v>1</v>
      </c>
      <c r="P12" s="16" t="n">
        <v>1</v>
      </c>
      <c r="Q12" s="16" t="n">
        <v>1</v>
      </c>
      <c r="R12" s="16" t="n">
        <v>1</v>
      </c>
      <c r="S12" s="16" t="n"/>
      <c r="T12" s="16" t="n"/>
    </row>
    <row r="13" ht="15" customHeight="1">
      <c r="A13" s="26" t="inlineStr">
        <is>
          <t>Tin</t>
        </is>
      </c>
      <c r="B13" s="16" t="n">
        <v>1</v>
      </c>
      <c r="C13" s="16" t="n">
        <v>1</v>
      </c>
      <c r="D13" s="16" t="n">
        <v>1</v>
      </c>
      <c r="E13" s="16" t="n">
        <v>1</v>
      </c>
      <c r="F13" s="16" t="n">
        <v>1</v>
      </c>
      <c r="G13" s="16" t="n">
        <v>1</v>
      </c>
      <c r="H13" s="16" t="n">
        <v>1</v>
      </c>
      <c r="I13" s="16" t="n">
        <v>1</v>
      </c>
      <c r="J13" s="16" t="n"/>
      <c r="K13" s="22" t="n">
        <v>1</v>
      </c>
      <c r="L13" s="16" t="n">
        <v>1</v>
      </c>
      <c r="M13" s="16" t="n">
        <v>1</v>
      </c>
      <c r="N13" s="16" t="n">
        <v>1</v>
      </c>
      <c r="O13" s="16" t="n">
        <v>1</v>
      </c>
      <c r="P13" s="16" t="n">
        <v>1</v>
      </c>
      <c r="Q13" s="16" t="n">
        <v>1</v>
      </c>
      <c r="R13" s="16" t="n">
        <v>1</v>
      </c>
      <c r="S13" s="16" t="n"/>
      <c r="T13" s="16" t="n"/>
    </row>
    <row r="14" ht="15" customHeight="1">
      <c r="A14" s="26" t="inlineStr">
        <is>
          <t>Giáo dục thể chất</t>
        </is>
      </c>
      <c r="B14" s="16" t="n">
        <v>2</v>
      </c>
      <c r="C14" s="16" t="n">
        <v>2</v>
      </c>
      <c r="D14" s="16" t="n">
        <v>2</v>
      </c>
      <c r="E14" s="16" t="n">
        <v>2</v>
      </c>
      <c r="F14" s="16" t="n">
        <v>2</v>
      </c>
      <c r="G14" s="16" t="n">
        <v>2</v>
      </c>
      <c r="H14" s="16" t="n">
        <v>2</v>
      </c>
      <c r="I14" s="16" t="n">
        <v>2</v>
      </c>
      <c r="J14" s="16" t="n"/>
      <c r="K14" s="22" t="n">
        <v>2</v>
      </c>
      <c r="L14" s="16" t="n">
        <v>2</v>
      </c>
      <c r="M14" s="16" t="n">
        <v>2</v>
      </c>
      <c r="N14" s="16" t="n">
        <v>2</v>
      </c>
      <c r="O14" s="16" t="n">
        <v>2</v>
      </c>
      <c r="P14" s="16" t="n">
        <v>2</v>
      </c>
      <c r="Q14" s="16" t="n">
        <v>2</v>
      </c>
      <c r="R14" s="16" t="n">
        <v>2</v>
      </c>
      <c r="S14" s="16" t="n"/>
      <c r="T14" s="16" t="n"/>
    </row>
    <row r="15" ht="15" customHeight="1">
      <c r="A15" s="26" t="inlineStr">
        <is>
          <t>Nội dung giáo dục của địa phương</t>
        </is>
      </c>
      <c r="B15" s="16" t="n">
        <v>1</v>
      </c>
      <c r="C15" s="16" t="n">
        <v>1</v>
      </c>
      <c r="D15" s="16" t="n">
        <v>1</v>
      </c>
      <c r="E15" s="16" t="n">
        <v>1</v>
      </c>
      <c r="F15" s="16" t="n">
        <v>1</v>
      </c>
      <c r="G15" s="16" t="n">
        <v>1</v>
      </c>
      <c r="H15" s="16" t="n">
        <v>1</v>
      </c>
      <c r="I15" s="16" t="n">
        <v>1</v>
      </c>
      <c r="J15" s="16" t="n"/>
      <c r="K15" s="22" t="n">
        <v>1</v>
      </c>
      <c r="L15" s="16" t="n">
        <v>1</v>
      </c>
      <c r="M15" s="16" t="n">
        <v>1</v>
      </c>
      <c r="N15" s="16" t="n">
        <v>1</v>
      </c>
      <c r="O15" s="16" t="n">
        <v>1</v>
      </c>
      <c r="P15" s="16" t="n">
        <v>1</v>
      </c>
      <c r="Q15" s="16" t="n">
        <v>1</v>
      </c>
      <c r="R15" s="16" t="n">
        <v>1</v>
      </c>
      <c r="S15" s="16" t="n"/>
      <c r="T15" s="16" t="n"/>
    </row>
    <row r="16" ht="15" customHeight="1">
      <c r="A16" s="26" t="inlineStr">
        <is>
          <t>Hoạt động trải nghiệm, hướng nghiệp</t>
        </is>
      </c>
      <c r="B16" s="16" t="n">
        <v>3</v>
      </c>
      <c r="C16" s="16" t="n">
        <v>3</v>
      </c>
      <c r="D16" s="16" t="n">
        <v>3</v>
      </c>
      <c r="E16" s="16" t="n">
        <v>3</v>
      </c>
      <c r="F16" s="16" t="n">
        <v>3</v>
      </c>
      <c r="G16" s="16" t="n">
        <v>3</v>
      </c>
      <c r="H16" s="16" t="n">
        <v>3</v>
      </c>
      <c r="I16" s="16" t="n">
        <v>3</v>
      </c>
      <c r="J16" s="16" t="n"/>
      <c r="K16" s="22" t="n">
        <v>3</v>
      </c>
      <c r="L16" s="16" t="n">
        <v>3</v>
      </c>
      <c r="M16" s="16" t="n">
        <v>3</v>
      </c>
      <c r="N16" s="16" t="n">
        <v>3</v>
      </c>
      <c r="O16" s="16" t="n">
        <v>3</v>
      </c>
      <c r="P16" s="16" t="n">
        <v>3</v>
      </c>
      <c r="Q16" s="16" t="n">
        <v>3</v>
      </c>
      <c r="R16" s="16" t="n">
        <v>3</v>
      </c>
      <c r="S16" s="16" t="n"/>
      <c r="T16" s="16" t="n"/>
    </row>
    <row r="17" ht="15" customHeight="1">
      <c r="A17" s="26" t="inlineStr">
        <is>
          <t>Nghệ thuật (Nhạc)</t>
        </is>
      </c>
      <c r="B17" s="16" t="n">
        <v>1</v>
      </c>
      <c r="C17" s="16" t="n">
        <v>1</v>
      </c>
      <c r="D17" s="16" t="n">
        <v>1</v>
      </c>
      <c r="E17" s="16" t="n">
        <v>1</v>
      </c>
      <c r="F17" s="16" t="n">
        <v>1</v>
      </c>
      <c r="G17" s="16" t="n">
        <v>1</v>
      </c>
      <c r="H17" s="16" t="n">
        <v>1</v>
      </c>
      <c r="I17" s="16" t="n">
        <v>1</v>
      </c>
      <c r="J17" s="16" t="n"/>
      <c r="K17" s="22" t="n">
        <v>1</v>
      </c>
      <c r="L17" s="16" t="n">
        <v>1</v>
      </c>
      <c r="M17" s="16" t="n">
        <v>1</v>
      </c>
      <c r="N17" s="16" t="n">
        <v>1</v>
      </c>
      <c r="O17" s="16" t="n">
        <v>1</v>
      </c>
      <c r="P17" s="16" t="n">
        <v>1</v>
      </c>
      <c r="Q17" s="16" t="n">
        <v>1</v>
      </c>
      <c r="R17" s="16" t="n">
        <v>1</v>
      </c>
      <c r="S17" s="16" t="n"/>
      <c r="T17" s="16" t="n"/>
    </row>
    <row r="18" ht="15" customHeight="1">
      <c r="A18" s="26" t="inlineStr">
        <is>
          <t>Nghệ thuật (Mỹ thuật)</t>
        </is>
      </c>
      <c r="B18" s="16" t="n">
        <v>1</v>
      </c>
      <c r="C18" s="16" t="n">
        <v>1</v>
      </c>
      <c r="D18" s="16" t="n">
        <v>1</v>
      </c>
      <c r="E18" s="16" t="n">
        <v>1</v>
      </c>
      <c r="F18" s="16" t="n">
        <v>1</v>
      </c>
      <c r="G18" s="16" t="n">
        <v>1</v>
      </c>
      <c r="H18" s="16" t="n">
        <v>1</v>
      </c>
      <c r="I18" s="16" t="n">
        <v>1</v>
      </c>
      <c r="J18" s="16" t="n"/>
      <c r="K18" s="22" t="n">
        <v>1</v>
      </c>
      <c r="L18" s="16" t="n">
        <v>1</v>
      </c>
      <c r="M18" s="16" t="n">
        <v>1</v>
      </c>
      <c r="N18" s="16" t="n">
        <v>1</v>
      </c>
      <c r="O18" s="16" t="n">
        <v>1</v>
      </c>
      <c r="P18" s="16" t="n">
        <v>1</v>
      </c>
      <c r="Q18" s="16" t="n">
        <v>1</v>
      </c>
      <c r="R18" s="16" t="n">
        <v>1</v>
      </c>
      <c r="S18" s="16" t="n"/>
      <c r="T18" s="16" t="n"/>
    </row>
    <row r="19" ht="15" customHeight="1">
      <c r="A19" s="15" t="inlineStr">
        <is>
          <t>TỔNG</t>
        </is>
      </c>
      <c r="B19" s="11">
        <f>SUM(B3:B18)</f>
        <v/>
      </c>
      <c r="C19" s="11">
        <f>SUM(C3:C18)</f>
        <v/>
      </c>
      <c r="D19" s="11">
        <f>SUM(D3:D18)</f>
        <v/>
      </c>
      <c r="E19" s="11">
        <f>SUM(E3:E18)</f>
        <v/>
      </c>
      <c r="F19" s="11">
        <f>SUM(F3:F18)</f>
        <v/>
      </c>
      <c r="G19" s="11">
        <f>SUM(G3:G18)</f>
        <v/>
      </c>
      <c r="H19" s="11">
        <f>SUM(H3:H18)</f>
        <v/>
      </c>
      <c r="I19" s="11">
        <f>SUM(I3:I18)</f>
        <v/>
      </c>
      <c r="J19" s="11" t="n"/>
      <c r="K19" s="12">
        <f>SUM(K3:K18)</f>
        <v/>
      </c>
      <c r="L19" s="11">
        <f>SUM(L3:L18)</f>
        <v/>
      </c>
      <c r="M19" s="11">
        <f>SUM(M3:M18)</f>
        <v/>
      </c>
      <c r="N19" s="11">
        <f>SUM(N3:N18)</f>
        <v/>
      </c>
      <c r="O19" s="11">
        <f>SUM(O3:O18)</f>
        <v/>
      </c>
      <c r="P19" s="11">
        <f>SUM(P3:P18)</f>
        <v/>
      </c>
      <c r="Q19" s="11">
        <f>SUM(Q3:Q18)</f>
        <v/>
      </c>
      <c r="R19" s="11">
        <f>SUM(R3:R18)</f>
        <v/>
      </c>
      <c r="S19" s="11" t="n"/>
      <c r="T19" s="11" t="n"/>
    </row>
    <row r="20" ht="15" customHeight="1">
      <c r="A20" s="5" t="n"/>
      <c r="B20" s="12" t="n"/>
      <c r="C20" s="12" t="n"/>
      <c r="D20" s="12" t="n"/>
      <c r="E20" s="12" t="n"/>
      <c r="F20" s="12" t="n"/>
      <c r="G20" s="12" t="n"/>
      <c r="H20" s="12" t="n"/>
      <c r="I20" s="12" t="n"/>
      <c r="J20" s="12" t="n"/>
    </row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T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D15"/>
  <sheetViews>
    <sheetView zoomScaleNormal="100" workbookViewId="0">
      <selection activeCell="A1" sqref="A1"/>
    </sheetView>
  </sheetViews>
  <sheetFormatPr baseColWidth="8" defaultColWidth="8.7109375" defaultRowHeight="15"/>
  <cols>
    <col width="18" customWidth="1" min="1" max="1"/>
    <col width="16" customWidth="1" min="2" max="4"/>
  </cols>
  <sheetData>
    <row r="1" ht="29.25" customHeight="1">
      <c r="A1" s="1" t="inlineStr">
        <is>
          <t>GIÁO VIÊN BẬN / XIN NGHỈ — macro né các khung giờ này, chỉ đổi tối thiểu số tiết</t>
        </is>
      </c>
    </row>
    <row r="2" ht="15" customHeight="1">
      <c r="A2" s="11" t="inlineStr">
        <is>
          <t>Giáo viên</t>
        </is>
      </c>
      <c r="B2" s="11" t="inlineStr">
        <is>
          <t>Thứ (2-7, CN, *)</t>
        </is>
      </c>
      <c r="C2" s="11" t="inlineStr">
        <is>
          <t>Buổi (S/C/*)</t>
        </is>
      </c>
      <c r="D2" s="11" t="inlineStr">
        <is>
          <t>Tiết (1-5, *)</t>
        </is>
      </c>
    </row>
    <row r="3" ht="15" customHeight="1">
      <c r="A3" s="27" t="inlineStr">
        <is>
          <t>Hồng</t>
        </is>
      </c>
      <c r="B3" s="27" t="inlineStr">
        <is>
          <t>*</t>
        </is>
      </c>
      <c r="C3" s="27" t="inlineStr">
        <is>
          <t>S</t>
        </is>
      </c>
      <c r="D3" s="27" t="inlineStr">
        <is>
          <t>4</t>
        </is>
      </c>
    </row>
    <row r="4" ht="15" customHeight="1">
      <c r="A4" s="27" t="inlineStr">
        <is>
          <t>Hồng</t>
        </is>
      </c>
      <c r="B4" s="27" t="inlineStr">
        <is>
          <t>*</t>
        </is>
      </c>
      <c r="C4" s="27" t="inlineStr">
        <is>
          <t>C</t>
        </is>
      </c>
      <c r="D4" s="27" t="inlineStr">
        <is>
          <t>1</t>
        </is>
      </c>
    </row>
    <row r="5" ht="15" customHeight="1">
      <c r="A5" s="27" t="inlineStr">
        <is>
          <t>Huyền Ly</t>
        </is>
      </c>
      <c r="B5" s="27" t="inlineStr">
        <is>
          <t>3</t>
        </is>
      </c>
      <c r="C5" s="27" t="inlineStr">
        <is>
          <t>S</t>
        </is>
      </c>
      <c r="D5" s="27" t="inlineStr">
        <is>
          <t>1</t>
        </is>
      </c>
    </row>
    <row r="6" ht="15" customHeight="1">
      <c r="A6" s="27" t="inlineStr">
        <is>
          <t>Huyền Ly</t>
        </is>
      </c>
      <c r="B6" s="27" t="inlineStr">
        <is>
          <t>4</t>
        </is>
      </c>
      <c r="C6" s="27" t="inlineStr">
        <is>
          <t>S</t>
        </is>
      </c>
      <c r="D6" s="27" t="inlineStr">
        <is>
          <t>1</t>
        </is>
      </c>
    </row>
    <row r="7" ht="15" customHeight="1">
      <c r="A7" s="27" t="inlineStr">
        <is>
          <t>Huyền Ly</t>
        </is>
      </c>
      <c r="B7" s="27" t="inlineStr">
        <is>
          <t>5</t>
        </is>
      </c>
      <c r="C7" s="27" t="inlineStr">
        <is>
          <t>S</t>
        </is>
      </c>
      <c r="D7" s="27" t="inlineStr">
        <is>
          <t>1</t>
        </is>
      </c>
    </row>
    <row r="8" ht="15" customHeight="1">
      <c r="A8" s="27" t="inlineStr">
        <is>
          <t>Nguyễn Ly</t>
        </is>
      </c>
      <c r="B8" s="27" t="inlineStr">
        <is>
          <t>3</t>
        </is>
      </c>
      <c r="C8" s="27" t="inlineStr">
        <is>
          <t>S</t>
        </is>
      </c>
      <c r="D8" s="27" t="inlineStr">
        <is>
          <t>1</t>
        </is>
      </c>
    </row>
    <row r="9" ht="15" customHeight="1">
      <c r="A9" s="27" t="inlineStr">
        <is>
          <t>Nguyễn Ly</t>
        </is>
      </c>
      <c r="B9" s="27" t="inlineStr">
        <is>
          <t>4</t>
        </is>
      </c>
      <c r="C9" s="27" t="inlineStr">
        <is>
          <t>S</t>
        </is>
      </c>
      <c r="D9" s="27" t="inlineStr">
        <is>
          <t>1</t>
        </is>
      </c>
    </row>
    <row r="10" ht="15" customHeight="1">
      <c r="A10" s="27" t="inlineStr">
        <is>
          <t>Nguyễn Ly</t>
        </is>
      </c>
      <c r="B10" s="27" t="inlineStr">
        <is>
          <t>6</t>
        </is>
      </c>
      <c r="C10" s="27" t="inlineStr">
        <is>
          <t>S</t>
        </is>
      </c>
      <c r="D10" s="27" t="inlineStr">
        <is>
          <t>1</t>
        </is>
      </c>
    </row>
    <row r="11" ht="15" customHeight="1">
      <c r="A11" s="27" t="inlineStr">
        <is>
          <t>Sơn</t>
        </is>
      </c>
      <c r="B11" s="27" t="inlineStr">
        <is>
          <t>3</t>
        </is>
      </c>
      <c r="C11" s="27" t="inlineStr">
        <is>
          <t>S</t>
        </is>
      </c>
      <c r="D11" s="27" t="inlineStr">
        <is>
          <t>1</t>
        </is>
      </c>
    </row>
    <row r="12" ht="15" customHeight="1">
      <c r="A12" s="27" t="inlineStr">
        <is>
          <t>Sơn</t>
        </is>
      </c>
      <c r="B12" s="27" t="inlineStr">
        <is>
          <t>5</t>
        </is>
      </c>
      <c r="C12" s="27" t="inlineStr">
        <is>
          <t>S</t>
        </is>
      </c>
      <c r="D12" s="27" t="inlineStr">
        <is>
          <t>1</t>
        </is>
      </c>
    </row>
    <row r="13">
      <c r="A13" t="inlineStr">
        <is>
          <t>Sơn</t>
        </is>
      </c>
      <c r="B13" t="inlineStr">
        <is>
          <t>6</t>
        </is>
      </c>
      <c r="C13" t="inlineStr">
        <is>
          <t>S</t>
        </is>
      </c>
      <c r="D13" t="inlineStr">
        <is>
          <t>1</t>
        </is>
      </c>
    </row>
    <row r="14" ht="15" customHeight="1">
      <c r="A14" s="23" t="inlineStr">
        <is>
          <t>Khu</t>
        </is>
      </c>
      <c r="B14" t="inlineStr">
        <is>
          <t>3</t>
        </is>
      </c>
      <c r="C14" t="inlineStr">
        <is>
          <t>S</t>
        </is>
      </c>
      <c r="D14" t="inlineStr">
        <is>
          <t>1</t>
        </is>
      </c>
    </row>
    <row r="15" ht="15" customHeight="1">
      <c r="A15" s="23" t="inlineStr">
        <is>
          <t>Khu</t>
        </is>
      </c>
      <c r="B15" t="inlineStr">
        <is>
          <t>5</t>
        </is>
      </c>
      <c r="C15" t="inlineStr">
        <is>
          <t>S</t>
        </is>
      </c>
      <c r="D15" t="inlineStr">
        <is>
          <t>1</t>
        </is>
      </c>
    </row>
  </sheetData>
  <mergeCells count="1">
    <mergeCell ref="A1:D1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24"/>
  <sheetViews>
    <sheetView zoomScaleNormal="100" workbookViewId="0">
      <selection activeCell="A1" sqref="A1:F1"/>
    </sheetView>
  </sheetViews>
  <sheetFormatPr baseColWidth="8" defaultColWidth="8.7109375" defaultRowHeight="15"/>
  <cols>
    <col width="15" customWidth="1" min="1" max="2"/>
    <col width="12" customWidth="1" min="3" max="7"/>
    <col width="11" customWidth="1" min="8" max="9"/>
  </cols>
  <sheetData>
    <row r="1" ht="15.75" customHeight="1">
      <c r="A1" s="2" t="inlineStr">
        <is>
          <t>ĐỊNH MỨC GIÁO VIÊN — Vượt&gt;0 (đỏ)=quá tải. Chức vụ điền sẵn từ Sheet2.</t>
        </is>
      </c>
      <c r="H1" s="5" t="inlineStr">
        <is>
          <t>Chuẩn:</t>
        </is>
      </c>
      <c r="I1" s="18" t="n">
        <v>19</v>
      </c>
      <c r="K1" s="28" t="inlineStr">
        <is>
          <t>Chức vụ</t>
        </is>
      </c>
      <c r="L1" s="28" t="inlineStr">
        <is>
          <t>Giảm</t>
        </is>
      </c>
    </row>
    <row r="2" ht="15" customHeight="1">
      <c r="A2" s="11" t="inlineStr">
        <is>
          <t>Giáo viên</t>
        </is>
      </c>
      <c r="B2" s="11" t="inlineStr">
        <is>
          <t>Chức vụ</t>
        </is>
      </c>
      <c r="C2" s="11" t="inlineStr">
        <is>
          <t>Giảm trừ</t>
        </is>
      </c>
      <c r="D2" s="11" t="inlineStr">
        <is>
          <t>Trần</t>
        </is>
      </c>
      <c r="E2" s="11" t="inlineStr">
        <is>
          <t>Tải Chẵn</t>
        </is>
      </c>
      <c r="F2" s="11" t="inlineStr">
        <is>
          <t>Tải Lẻ</t>
        </is>
      </c>
      <c r="G2" s="11" t="inlineStr">
        <is>
          <t>Vượt (Chẵn)</t>
        </is>
      </c>
      <c r="H2" s="11" t="inlineStr">
        <is>
          <t>Đi T2 (1/0)</t>
        </is>
      </c>
      <c r="I2" s="11" t="inlineStr">
        <is>
          <t>GVCN (1/0)</t>
        </is>
      </c>
      <c r="K2" s="29" t="inlineStr">
        <is>
          <t>GVCN</t>
        </is>
      </c>
      <c r="L2" s="30" t="n">
        <v>4</v>
      </c>
    </row>
    <row r="3" ht="15" customHeight="1">
      <c r="A3" s="29" t="inlineStr">
        <is>
          <t>Hà</t>
        </is>
      </c>
      <c r="B3" s="16" t="inlineStr">
        <is>
          <t>Phó hiệu trưởng</t>
        </is>
      </c>
      <c r="C3" s="30">
        <f>IFERROR(VLOOKUP(B3,$K$2:$L$8,2,0),0)</f>
        <v/>
      </c>
      <c r="D3" s="31">
        <f>$I$1-C3</f>
        <v/>
      </c>
      <c r="E3" s="30">
        <f>SUMPRODUCT((PhanCong!$B$3:$I$18=A3)*SoTiet!$B$3:$I$18)</f>
        <v/>
      </c>
      <c r="F3" s="30">
        <f>SUMPRODUCT((PhanCong!$B$3:$I$18=A3)*SoTiet!$K$3:$R$18)</f>
        <v/>
      </c>
      <c r="G3" s="31">
        <f>E3-D3</f>
        <v/>
      </c>
      <c r="H3" s="16" t="n">
        <v>1</v>
      </c>
      <c r="I3" s="16" t="n">
        <v>0</v>
      </c>
      <c r="K3" s="29" t="inlineStr">
        <is>
          <t>Tổ trưởng</t>
        </is>
      </c>
      <c r="L3" s="30" t="n">
        <v>3</v>
      </c>
    </row>
    <row r="4" ht="15" customHeight="1">
      <c r="A4" s="29" t="inlineStr">
        <is>
          <t>Huyền Ly</t>
        </is>
      </c>
      <c r="B4" s="16" t="inlineStr">
        <is>
          <t>Tổ trưởng</t>
        </is>
      </c>
      <c r="C4" s="30">
        <f>IFERROR(VLOOKUP(B4,$K$2:$L$8,2,0),0)</f>
        <v/>
      </c>
      <c r="D4" s="31">
        <f>$I$1-C4</f>
        <v/>
      </c>
      <c r="E4" s="30">
        <f>SUMPRODUCT((PhanCong!$B$3:$I$18=A4)*SoTiet!$B$3:$I$18)</f>
        <v/>
      </c>
      <c r="F4" s="30">
        <f>SUMPRODUCT((PhanCong!$B$3:$I$18=A4)*SoTiet!$K$3:$R$18)</f>
        <v/>
      </c>
      <c r="G4" s="31">
        <f>E4-D4</f>
        <v/>
      </c>
      <c r="H4" s="16" t="n">
        <v>1</v>
      </c>
      <c r="I4" s="16" t="n">
        <v>0</v>
      </c>
      <c r="K4" s="29" t="inlineStr">
        <is>
          <t>Tổ phó</t>
        </is>
      </c>
      <c r="L4" s="30" t="n">
        <v>1</v>
      </c>
    </row>
    <row r="5" ht="15" customHeight="1">
      <c r="A5" s="29" t="inlineStr">
        <is>
          <t>Nguyễn Ly</t>
        </is>
      </c>
      <c r="B5" s="16" t="inlineStr">
        <is>
          <t>GVCN</t>
        </is>
      </c>
      <c r="C5" s="30">
        <f>IFERROR(VLOOKUP(B5,$K$2:$L$8,2,0),0)</f>
        <v/>
      </c>
      <c r="D5" s="31">
        <f>$I$1-C5</f>
        <v/>
      </c>
      <c r="E5" s="30">
        <f>SUMPRODUCT((PhanCong!$B$3:$I$18=A5)*SoTiet!$B$3:$I$18)</f>
        <v/>
      </c>
      <c r="F5" s="30">
        <f>SUMPRODUCT((PhanCong!$B$3:$I$18=A5)*SoTiet!$K$3:$R$18)</f>
        <v/>
      </c>
      <c r="G5" s="31">
        <f>E5-D5</f>
        <v/>
      </c>
      <c r="H5" s="16" t="n">
        <v>1</v>
      </c>
      <c r="I5" s="16" t="n">
        <v>1</v>
      </c>
      <c r="K5" s="29" t="inlineStr">
        <is>
          <t>Tổng phụ trách</t>
        </is>
      </c>
      <c r="L5" s="30" t="n">
        <v>8</v>
      </c>
    </row>
    <row r="6" ht="15" customHeight="1">
      <c r="A6" s="29" t="inlineStr">
        <is>
          <t>Sơn</t>
        </is>
      </c>
      <c r="B6" s="16" t="inlineStr">
        <is>
          <t>Tổ phó</t>
        </is>
      </c>
      <c r="C6" s="30">
        <f>IFERROR(VLOOKUP(B6,$K$2:$L$8,2,0),0)</f>
        <v/>
      </c>
      <c r="D6" s="31">
        <f>$I$1-C6</f>
        <v/>
      </c>
      <c r="E6" s="30">
        <f>SUMPRODUCT((PhanCong!$B$3:$I$18=A6)*SoTiet!$B$3:$I$18)</f>
        <v/>
      </c>
      <c r="F6" s="30">
        <f>SUMPRODUCT((PhanCong!$B$3:$I$18=A6)*SoTiet!$K$3:$R$18)</f>
        <v/>
      </c>
      <c r="G6" s="31">
        <f>E6-D6</f>
        <v/>
      </c>
      <c r="H6" s="16" t="n">
        <v>1</v>
      </c>
      <c r="I6" s="16" t="n">
        <v>0</v>
      </c>
      <c r="K6" t="inlineStr">
        <is>
          <t>Hỗ trợ TPT</t>
        </is>
      </c>
      <c r="L6" t="n">
        <v>5</v>
      </c>
    </row>
    <row r="7" ht="15" customHeight="1">
      <c r="A7" s="29" t="inlineStr">
        <is>
          <t>Hoà</t>
        </is>
      </c>
      <c r="B7" s="16" t="inlineStr">
        <is>
          <t>GVCN</t>
        </is>
      </c>
      <c r="C7" s="30">
        <f>IFERROR(VLOOKUP(B7,$K$2:$L$8,2,0),0)</f>
        <v/>
      </c>
      <c r="D7" s="31">
        <f>$I$1-C7</f>
        <v/>
      </c>
      <c r="E7" s="30">
        <f>SUMPRODUCT((PhanCong!$B$3:$I$18=A7)*SoTiet!$B$3:$I$18)</f>
        <v/>
      </c>
      <c r="F7" s="30">
        <f>SUMPRODUCT((PhanCong!$B$3:$I$18=A7)*SoTiet!$K$3:$R$18)</f>
        <v/>
      </c>
      <c r="G7" s="31">
        <f>E7-D7</f>
        <v/>
      </c>
      <c r="H7" s="16" t="n">
        <v>1</v>
      </c>
      <c r="I7" s="16" t="n">
        <v>1</v>
      </c>
      <c r="K7" t="inlineStr">
        <is>
          <t>Phó hiệu trưởng</t>
        </is>
      </c>
      <c r="L7" t="n">
        <v>15</v>
      </c>
    </row>
    <row r="8" ht="15" customHeight="1">
      <c r="A8" s="29" t="inlineStr">
        <is>
          <t>Khu</t>
        </is>
      </c>
      <c r="B8" s="16" t="inlineStr">
        <is>
          <t>Thư ký HĐ</t>
        </is>
      </c>
      <c r="C8" s="30">
        <f>IFERROR(VLOOKUP(B8,$K$2:$L$8,2,0),0)</f>
        <v/>
      </c>
      <c r="D8" s="31">
        <f>$I$1-C8</f>
        <v/>
      </c>
      <c r="E8" s="30">
        <f>SUMPRODUCT((PhanCong!$B$3:$I$18=A8)*SoTiet!$B$3:$I$18)</f>
        <v/>
      </c>
      <c r="F8" s="30">
        <f>SUMPRODUCT((PhanCong!$B$3:$I$18=A8)*SoTiet!$K$3:$R$18)</f>
        <v/>
      </c>
      <c r="G8" s="31">
        <f>E8-D8</f>
        <v/>
      </c>
      <c r="H8" s="16" t="n">
        <v>1</v>
      </c>
      <c r="I8" s="16" t="n">
        <v>0</v>
      </c>
      <c r="K8" t="inlineStr">
        <is>
          <t>Thư ký HĐ</t>
        </is>
      </c>
      <c r="L8" t="n">
        <v>2</v>
      </c>
    </row>
    <row r="9" ht="15" customHeight="1">
      <c r="A9" s="29" t="inlineStr">
        <is>
          <t>Hồng</t>
        </is>
      </c>
      <c r="B9" s="16" t="n"/>
      <c r="C9" s="30">
        <f>IFERROR(VLOOKUP(B9,$K$2:$L$8,2,0),0)</f>
        <v/>
      </c>
      <c r="D9" s="31">
        <f>$I$1-C9</f>
        <v/>
      </c>
      <c r="E9" s="30">
        <f>SUMPRODUCT((PhanCong!$B$3:$I$18=A9)*SoTiet!$B$3:$I$18)</f>
        <v/>
      </c>
      <c r="F9" s="30">
        <f>SUMPRODUCT((PhanCong!$B$3:$I$18=A9)*SoTiet!$K$3:$R$18)</f>
        <v/>
      </c>
      <c r="G9" s="31">
        <f>E9-D9</f>
        <v/>
      </c>
      <c r="H9" s="16" t="n">
        <v>0</v>
      </c>
      <c r="I9" s="16" t="n">
        <v>0</v>
      </c>
    </row>
    <row r="10" ht="15" customHeight="1">
      <c r="A10" s="29" t="inlineStr">
        <is>
          <t>Minh Anh</t>
        </is>
      </c>
      <c r="B10" s="16" t="inlineStr">
        <is>
          <t>GVCN</t>
        </is>
      </c>
      <c r="C10" s="30">
        <f>IFERROR(VLOOKUP(B10,$K$2:$L$8,2,0),0)</f>
        <v/>
      </c>
      <c r="D10" s="31">
        <f>$I$1-C10</f>
        <v/>
      </c>
      <c r="E10" s="30">
        <f>SUMPRODUCT((PhanCong!$B$3:$I$18=A10)*SoTiet!$B$3:$I$18)</f>
        <v/>
      </c>
      <c r="F10" s="30">
        <f>SUMPRODUCT((PhanCong!$B$3:$I$18=A10)*SoTiet!$K$3:$R$18)</f>
        <v/>
      </c>
      <c r="G10" s="31">
        <f>E10-D10</f>
        <v/>
      </c>
      <c r="H10" s="16" t="n">
        <v>1</v>
      </c>
      <c r="I10" s="16" t="n">
        <v>1</v>
      </c>
    </row>
    <row r="11" ht="15" customHeight="1">
      <c r="A11" s="29" t="inlineStr">
        <is>
          <t>Lệ</t>
        </is>
      </c>
      <c r="B11" s="16" t="inlineStr">
        <is>
          <t>GVCN</t>
        </is>
      </c>
      <c r="C11" s="30">
        <f>IFERROR(VLOOKUP(B11,$K$2:$L$8,2,0),0)</f>
        <v/>
      </c>
      <c r="D11" s="31">
        <f>$I$1-C11</f>
        <v/>
      </c>
      <c r="E11" s="30">
        <f>SUMPRODUCT((PhanCong!$B$3:$I$18=A11)*SoTiet!$B$3:$I$18)</f>
        <v/>
      </c>
      <c r="F11" s="30">
        <f>SUMPRODUCT((PhanCong!$B$3:$I$18=A11)*SoTiet!$K$3:$R$18)</f>
        <v/>
      </c>
      <c r="G11" s="31">
        <f>E11-D11</f>
        <v/>
      </c>
      <c r="H11" s="16" t="n">
        <v>1</v>
      </c>
      <c r="I11" s="16" t="n">
        <v>1</v>
      </c>
    </row>
    <row r="12" ht="15" customHeight="1">
      <c r="A12" s="29" t="inlineStr">
        <is>
          <t>Thành</t>
        </is>
      </c>
      <c r="B12" s="16" t="inlineStr">
        <is>
          <t>Tổ trưởng</t>
        </is>
      </c>
      <c r="C12" s="30">
        <f>IFERROR(VLOOKUP(B12,$K$2:$L$8,2,0),0)</f>
        <v/>
      </c>
      <c r="D12" s="31">
        <f>$I$1-C12</f>
        <v/>
      </c>
      <c r="E12" s="30">
        <f>SUMPRODUCT((PhanCong!$B$3:$I$18=A12)*SoTiet!$B$3:$I$18)</f>
        <v/>
      </c>
      <c r="F12" s="30">
        <f>SUMPRODUCT((PhanCong!$B$3:$I$18=A12)*SoTiet!$K$3:$R$18)</f>
        <v/>
      </c>
      <c r="G12" s="31">
        <f>E12-D12</f>
        <v/>
      </c>
      <c r="H12" s="16" t="n">
        <v>1</v>
      </c>
      <c r="I12" s="16" t="n">
        <v>0</v>
      </c>
    </row>
    <row r="13" ht="15" customHeight="1">
      <c r="A13" s="29" t="inlineStr">
        <is>
          <t>Lan</t>
        </is>
      </c>
      <c r="B13" s="16" t="inlineStr">
        <is>
          <t>GVCN</t>
        </is>
      </c>
      <c r="C13" s="30">
        <f>IFERROR(VLOOKUP(B13,$K$2:$L$8,2,0),0)</f>
        <v/>
      </c>
      <c r="D13" s="31">
        <f>$I$1-C13</f>
        <v/>
      </c>
      <c r="E13" s="30">
        <f>SUMPRODUCT((PhanCong!$B$3:$I$18=A13)*SoTiet!$B$3:$I$18)</f>
        <v/>
      </c>
      <c r="F13" s="30">
        <f>SUMPRODUCT((PhanCong!$B$3:$I$18=A13)*SoTiet!$K$3:$R$18)</f>
        <v/>
      </c>
      <c r="G13" s="31">
        <f>E13-D13</f>
        <v/>
      </c>
      <c r="H13" s="16" t="n">
        <v>1</v>
      </c>
      <c r="I13" s="16" t="n">
        <v>1</v>
      </c>
    </row>
    <row r="14" ht="15" customHeight="1">
      <c r="A14" s="29" t="inlineStr">
        <is>
          <t>Trung</t>
        </is>
      </c>
      <c r="B14" s="16" t="inlineStr">
        <is>
          <t>Tổ phó</t>
        </is>
      </c>
      <c r="C14" s="30">
        <f>IFERROR(VLOOKUP(B14,$K$2:$L$8,2,0),0)</f>
        <v/>
      </c>
      <c r="D14" s="31">
        <f>$I$1-C14</f>
        <v/>
      </c>
      <c r="E14" s="30">
        <f>SUMPRODUCT((PhanCong!$B$3:$I$18=A14)*SoTiet!$B$3:$I$18)</f>
        <v/>
      </c>
      <c r="F14" s="30">
        <f>SUMPRODUCT((PhanCong!$B$3:$I$18=A14)*SoTiet!$K$3:$R$18)</f>
        <v/>
      </c>
      <c r="G14" s="31">
        <f>E14-D14</f>
        <v/>
      </c>
      <c r="H14" s="16" t="n">
        <v>1</v>
      </c>
      <c r="I14" s="16" t="n">
        <v>0</v>
      </c>
    </row>
    <row r="15" ht="15" customHeight="1">
      <c r="A15" s="29" t="inlineStr">
        <is>
          <t>Giang</t>
        </is>
      </c>
      <c r="B15" s="16" t="inlineStr">
        <is>
          <t>GVCN</t>
        </is>
      </c>
      <c r="C15" s="30">
        <f>IFERROR(VLOOKUP(B15,$K$2:$L$8,2,0),0)</f>
        <v/>
      </c>
      <c r="D15" s="31">
        <f>$I$1-C15</f>
        <v/>
      </c>
      <c r="E15" s="30">
        <f>SUMPRODUCT((PhanCong!$B$3:$I$18=A15)*SoTiet!$B$3:$I$18)</f>
        <v/>
      </c>
      <c r="F15" s="30">
        <f>SUMPRODUCT((PhanCong!$B$3:$I$18=A15)*SoTiet!$K$3:$R$18)</f>
        <v/>
      </c>
      <c r="G15" s="31">
        <f>E15-D15</f>
        <v/>
      </c>
      <c r="H15" s="16" t="n">
        <v>1</v>
      </c>
      <c r="I15" s="16" t="n">
        <v>1</v>
      </c>
    </row>
    <row r="16" ht="15" customHeight="1">
      <c r="A16" s="29" t="inlineStr">
        <is>
          <t>Hoa</t>
        </is>
      </c>
      <c r="B16" s="16" t="inlineStr">
        <is>
          <t>GVCN</t>
        </is>
      </c>
      <c r="C16" s="30">
        <f>IFERROR(VLOOKUP(B16,$K$2:$L$8,2,0),0)</f>
        <v/>
      </c>
      <c r="D16" s="31">
        <f>$I$1-C16</f>
        <v/>
      </c>
      <c r="E16" s="30">
        <f>SUMPRODUCT((PhanCong!$B$3:$I$18=A16)*SoTiet!$B$3:$I$18)</f>
        <v/>
      </c>
      <c r="F16" s="30">
        <f>SUMPRODUCT((PhanCong!$B$3:$I$18=A16)*SoTiet!$K$3:$R$18)</f>
        <v/>
      </c>
      <c r="G16" s="31">
        <f>E16-D16</f>
        <v/>
      </c>
      <c r="H16" s="16" t="n">
        <v>1</v>
      </c>
      <c r="I16" s="16" t="n">
        <v>1</v>
      </c>
    </row>
    <row r="17" ht="15" customHeight="1">
      <c r="A17" s="29" t="inlineStr">
        <is>
          <t>Lan Ly</t>
        </is>
      </c>
      <c r="B17" s="16" t="inlineStr">
        <is>
          <t>Hỗ trợ TPT</t>
        </is>
      </c>
      <c r="C17" s="30">
        <f>IFERROR(VLOOKUP(B17,$K$2:$L$8,2,0),0)</f>
        <v/>
      </c>
      <c r="D17" s="31">
        <f>$I$1-C17</f>
        <v/>
      </c>
      <c r="E17" s="30">
        <f>SUMPRODUCT((PhanCong!$B$3:$I$18=A17)*SoTiet!$B$3:$I$18)</f>
        <v/>
      </c>
      <c r="F17" s="30">
        <f>SUMPRODUCT((PhanCong!$B$3:$I$18=A17)*SoTiet!$K$3:$R$18)</f>
        <v/>
      </c>
      <c r="G17" s="31">
        <f>E17-D17</f>
        <v/>
      </c>
      <c r="H17" s="16" t="n">
        <v>1</v>
      </c>
      <c r="I17" s="16" t="n">
        <v>0</v>
      </c>
    </row>
    <row r="18" ht="15" customHeight="1">
      <c r="A18" s="29" t="inlineStr">
        <is>
          <t>Uyên</t>
        </is>
      </c>
      <c r="B18" s="16" t="inlineStr">
        <is>
          <t>GVCN</t>
        </is>
      </c>
      <c r="C18" s="30">
        <f>IFERROR(VLOOKUP(B18,$K$2:$L$8,2,0),0)</f>
        <v/>
      </c>
      <c r="D18" s="31">
        <f>$I$1-C18</f>
        <v/>
      </c>
      <c r="E18" s="30">
        <f>SUMPRODUCT((PhanCong!$B$3:$I$18=A18)*SoTiet!$B$3:$I$18)</f>
        <v/>
      </c>
      <c r="F18" s="30">
        <f>SUMPRODUCT((PhanCong!$B$3:$I$18=A18)*SoTiet!$K$3:$R$18)</f>
        <v/>
      </c>
      <c r="G18" s="31">
        <f>E18-D18</f>
        <v/>
      </c>
      <c r="H18" s="16" t="n">
        <v>1</v>
      </c>
      <c r="I18" s="16" t="n">
        <v>1</v>
      </c>
    </row>
    <row r="19" ht="15" customHeight="1">
      <c r="A19" s="29" t="inlineStr">
        <is>
          <t>Nhung</t>
        </is>
      </c>
      <c r="B19" s="16" t="n"/>
      <c r="C19" s="30">
        <f>IFERROR(VLOOKUP(B19,$K$2:$L$8,2,0),0)</f>
        <v/>
      </c>
      <c r="D19" s="31">
        <f>$I$1-C19</f>
        <v/>
      </c>
      <c r="E19" s="30">
        <f>SUMPRODUCT((PhanCong!$B$3:$I$18=A19)*SoTiet!$B$3:$I$18)</f>
        <v/>
      </c>
      <c r="F19" s="30">
        <f>SUMPRODUCT((PhanCong!$B$3:$I$18=A19)*SoTiet!$K$3:$R$18)</f>
        <v/>
      </c>
      <c r="G19" s="31">
        <f>E19-D19</f>
        <v/>
      </c>
      <c r="H19" s="16" t="n">
        <v>1</v>
      </c>
      <c r="I19" s="16" t="n">
        <v>0</v>
      </c>
    </row>
    <row r="20" ht="15" customHeight="1">
      <c r="A20" s="29" t="n"/>
      <c r="B20" s="16" t="n"/>
      <c r="C20" s="30" t="n"/>
      <c r="D20" s="31" t="n"/>
      <c r="E20" s="30" t="n"/>
      <c r="F20" s="30" t="n"/>
      <c r="G20" s="31" t="n"/>
      <c r="H20" s="16" t="n"/>
      <c r="I20" s="16" t="n"/>
    </row>
    <row r="21" ht="15" customHeight="1">
      <c r="A21" s="29" t="n"/>
      <c r="B21" s="16" t="n"/>
      <c r="C21" s="30" t="n"/>
      <c r="D21" s="31" t="n"/>
      <c r="E21" s="30" t="n"/>
      <c r="F21" s="30" t="n"/>
      <c r="G21" s="31" t="n"/>
      <c r="H21" s="16" t="n"/>
      <c r="I21" s="16" t="n"/>
    </row>
    <row r="22" ht="15" customHeight="1">
      <c r="B22" s="32" t="n"/>
      <c r="D22" s="5" t="n"/>
      <c r="E22" s="5" t="n"/>
    </row>
    <row r="23" ht="15" customHeight="1">
      <c r="A23" s="23" t="n"/>
      <c r="D23" s="5" t="n"/>
      <c r="E23" s="5" t="n"/>
      <c r="H23" s="33" t="n"/>
    </row>
    <row r="24" ht="15" customHeight="1">
      <c r="A24" s="23" t="n"/>
      <c r="D24" s="5" t="n"/>
      <c r="E24" s="5" t="n"/>
      <c r="H24" s="33" t="n"/>
    </row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</sheetData>
  <mergeCells count="1">
    <mergeCell ref="A1:F1"/>
  </mergeCells>
  <conditionalFormatting sqref="E22:E24">
    <cfRule type="expression" priority="3" dxfId="0">
      <formula>E22&gt;E21</formula>
    </cfRule>
  </conditionalFormatting>
  <conditionalFormatting sqref="F3:G20">
    <cfRule type="expression" priority="2" dxfId="0">
      <formula>F3&gt;0</formula>
    </cfRule>
  </conditionalFormatting>
  <conditionalFormatting sqref="G3:G20">
    <cfRule type="expression" priority="5" dxfId="4">
      <formula>G3&lt;=0</formula>
    </cfRule>
  </conditionalFormatting>
  <conditionalFormatting sqref="G3:G21">
    <cfRule type="expression" priority="7" dxfId="0">
      <formula>G3&gt;0</formula>
    </cfRule>
    <cfRule type="expression" priority="8" dxfId="4">
      <formula>G3&lt;=0</formula>
    </cfRule>
    <cfRule type="expression" priority="9" dxfId="0">
      <formula>G3&gt;0</formula>
    </cfRule>
    <cfRule type="expression" priority="10" dxfId="4">
      <formula>G3&lt;=0</formula>
    </cfRule>
  </conditionalFormatting>
  <dataValidations count="1">
    <dataValidation sqref="B3:B21" showDropDown="0" showInputMessage="0" showErrorMessage="0" allowBlank="1" type="list">
      <formula1>"GVCN,Tổ trưởng,Tổ phó,Tổng phụ trách"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J73"/>
  <sheetViews>
    <sheetView tabSelected="1" zoomScaleNormal="100" workbookViewId="0">
      <pane xSplit="3" ySplit="1" topLeftCell="D6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4.75" customHeight="1">
      <c r="A2" s="30" t="inlineStr">
        <is>
          <t>6A5</t>
        </is>
      </c>
      <c r="B2" s="30" t="inlineStr">
        <is>
          <t>S</t>
        </is>
      </c>
      <c r="C2" s="30" t="n">
        <v>1</v>
      </c>
      <c r="D2" s="35" t="inlineStr">
        <is>
          <t>Hoạt động trải nghiệm, hướng nghiệp</t>
        </is>
      </c>
      <c r="E2" s="35" t="inlineStr">
        <is>
          <t>Giáo dục thể chất</t>
        </is>
      </c>
      <c r="F2" s="35" t="inlineStr">
        <is>
          <t>Ngữ văn</t>
        </is>
      </c>
      <c r="G2" s="35" t="inlineStr">
        <is>
          <t>Tin</t>
        </is>
      </c>
      <c r="H2" s="35" t="inlineStr">
        <is>
          <t>Toán học</t>
        </is>
      </c>
      <c r="I2" s="35" t="n"/>
      <c r="J2" s="35" t="n"/>
    </row>
    <row r="3" ht="15" customHeight="1">
      <c r="A3" s="30" t="inlineStr">
        <is>
          <t>6A5</t>
        </is>
      </c>
      <c r="B3" s="30" t="inlineStr">
        <is>
          <t>S</t>
        </is>
      </c>
      <c r="C3" s="30" t="n">
        <v>2</v>
      </c>
      <c r="D3" s="35" t="inlineStr">
        <is>
          <t>Khoa học tự nhiên (Hoá học)</t>
        </is>
      </c>
      <c r="E3" s="35" t="inlineStr">
        <is>
          <t>Ngữ văn</t>
        </is>
      </c>
      <c r="F3" s="35" t="inlineStr">
        <is>
          <t>Hoạt động trải nghiệm, hướng nghiệp</t>
        </is>
      </c>
      <c r="G3" s="35" t="inlineStr">
        <is>
          <t>Ngoại ngữ</t>
        </is>
      </c>
      <c r="H3" s="35" t="inlineStr">
        <is>
          <t>Giáo dục thể chất</t>
        </is>
      </c>
      <c r="I3" s="35" t="n"/>
      <c r="J3" s="35" t="n"/>
    </row>
    <row r="4" ht="24.75" customHeight="1">
      <c r="A4" s="30" t="inlineStr">
        <is>
          <t>6A5</t>
        </is>
      </c>
      <c r="B4" s="30" t="inlineStr">
        <is>
          <t>S</t>
        </is>
      </c>
      <c r="C4" s="30" t="n">
        <v>3</v>
      </c>
      <c r="D4" s="35" t="inlineStr">
        <is>
          <t>Ngữ văn</t>
        </is>
      </c>
      <c r="E4" s="35" t="inlineStr">
        <is>
          <t>Khoa học tự nhiên (Hoá học)</t>
        </is>
      </c>
      <c r="F4" s="35" t="inlineStr">
        <is>
          <t>Khoa học tự nhiên (Hoá học)</t>
        </is>
      </c>
      <c r="G4" s="35" t="inlineStr">
        <is>
          <t>Giáo dục công dân</t>
        </is>
      </c>
      <c r="H4" s="35" t="inlineStr">
        <is>
          <t>Khoa học tự nhiên (Hoá học)</t>
        </is>
      </c>
      <c r="I4" s="35" t="n"/>
      <c r="J4" s="35" t="n"/>
    </row>
    <row r="5" ht="15" customHeight="1">
      <c r="A5" s="30" t="inlineStr">
        <is>
          <t>6A5</t>
        </is>
      </c>
      <c r="B5" s="30" t="inlineStr">
        <is>
          <t>S</t>
        </is>
      </c>
      <c r="C5" s="30" t="n">
        <v>4</v>
      </c>
      <c r="D5" s="35" t="inlineStr">
        <is>
          <t>Toán học</t>
        </is>
      </c>
      <c r="E5" s="35" t="inlineStr">
        <is>
          <t>Nghệ thuật (Mỹ thuật)</t>
        </is>
      </c>
      <c r="F5" s="35" t="inlineStr">
        <is>
          <t>Toán học</t>
        </is>
      </c>
      <c r="G5" s="35" t="inlineStr">
        <is>
          <t>Ngữ văn</t>
        </is>
      </c>
      <c r="H5" s="35" t="inlineStr">
        <is>
          <t>Hoạt động trải nghiệm, hướng nghiệp</t>
        </is>
      </c>
      <c r="I5" s="35" t="n"/>
      <c r="J5" s="35" t="n"/>
    </row>
    <row r="6" ht="24.75" customHeight="1">
      <c r="A6" s="30" t="inlineStr">
        <is>
          <t>6A5</t>
        </is>
      </c>
      <c r="B6" s="30" t="inlineStr">
        <is>
          <t>C</t>
        </is>
      </c>
      <c r="C6" s="30" t="n">
        <v>1</v>
      </c>
      <c r="D6" s="35" t="inlineStr">
        <is>
          <t>Ngoại ngữ</t>
        </is>
      </c>
      <c r="E6" s="35" t="inlineStr">
        <is>
          <t>Toán học</t>
        </is>
      </c>
      <c r="F6" s="35" t="inlineStr">
        <is>
          <t>Lịch sử và địa lý (Địa lý)</t>
        </is>
      </c>
      <c r="G6" s="35" t="n"/>
      <c r="H6" s="35" t="n"/>
      <c r="I6" s="35" t="n"/>
      <c r="J6" s="35" t="n"/>
    </row>
    <row r="7" ht="24.75" customHeight="1">
      <c r="A7" s="30" t="inlineStr">
        <is>
          <t>6A5</t>
        </is>
      </c>
      <c r="B7" s="30" t="inlineStr">
        <is>
          <t>C</t>
        </is>
      </c>
      <c r="C7" s="30" t="n">
        <v>2</v>
      </c>
      <c r="D7" s="35" t="inlineStr">
        <is>
          <t>Lịch sử và địa lý (Địa lý)</t>
        </is>
      </c>
      <c r="E7" s="35" t="inlineStr">
        <is>
          <t>Ngoại ngữ</t>
        </is>
      </c>
      <c r="F7" s="35" t="inlineStr">
        <is>
          <t>Công nghệ</t>
        </is>
      </c>
      <c r="G7" s="35" t="n"/>
      <c r="H7" s="35" t="n"/>
      <c r="I7" s="35" t="n"/>
      <c r="J7" s="35" t="n"/>
    </row>
    <row r="8" ht="15" customHeight="1">
      <c r="A8" s="30" t="inlineStr">
        <is>
          <t>6A5</t>
        </is>
      </c>
      <c r="B8" s="30" t="inlineStr">
        <is>
          <t>C</t>
        </is>
      </c>
      <c r="C8" s="30" t="n">
        <v>3</v>
      </c>
      <c r="D8" s="35" t="inlineStr">
        <is>
          <t>Nội dung giáo dục của địa phương</t>
        </is>
      </c>
      <c r="E8" s="35" t="inlineStr">
        <is>
          <t>Nghệ thuật (Nhạc)</t>
        </is>
      </c>
      <c r="F8" s="35" t="inlineStr">
        <is>
          <t>Lịch sử và địa lý (Lịch sử)</t>
        </is>
      </c>
      <c r="G8" s="35" t="n"/>
      <c r="H8" s="35" t="n"/>
      <c r="I8" s="35" t="n"/>
      <c r="J8" s="35" t="n"/>
    </row>
    <row r="9" ht="15" customHeight="1">
      <c r="A9" s="30" t="inlineStr">
        <is>
          <t>6A6</t>
        </is>
      </c>
      <c r="B9" s="30" t="inlineStr">
        <is>
          <t>S</t>
        </is>
      </c>
      <c r="C9" s="30" t="n">
        <v>1</v>
      </c>
      <c r="D9" s="35" t="inlineStr">
        <is>
          <t>Hoạt động trải nghiệm, hướng nghiệp</t>
        </is>
      </c>
      <c r="E9" s="35" t="inlineStr">
        <is>
          <t>Ngữ văn</t>
        </is>
      </c>
      <c r="F9" s="35" t="inlineStr">
        <is>
          <t>Khoa học tự nhiên (Hoá học)</t>
        </is>
      </c>
      <c r="G9" s="35" t="inlineStr">
        <is>
          <t>Ngoại ngữ</t>
        </is>
      </c>
      <c r="H9" s="35" t="inlineStr">
        <is>
          <t>Giáo dục công dân</t>
        </is>
      </c>
      <c r="I9" s="35" t="n"/>
      <c r="J9" s="35" t="n"/>
    </row>
    <row r="10" ht="24.75" customHeight="1">
      <c r="A10" s="36" t="inlineStr">
        <is>
          <t>6A6</t>
        </is>
      </c>
      <c r="B10" s="36" t="inlineStr">
        <is>
          <t>S</t>
        </is>
      </c>
      <c r="C10" s="36" t="n">
        <v>2</v>
      </c>
      <c r="D10" s="37" t="inlineStr">
        <is>
          <t>Toán học</t>
        </is>
      </c>
      <c r="E10" s="37" t="inlineStr">
        <is>
          <t>Khoa học tự nhiên (Hoá học)</t>
        </is>
      </c>
      <c r="F10" s="37" t="inlineStr">
        <is>
          <t>Ngữ văn</t>
        </is>
      </c>
      <c r="G10" s="37" t="inlineStr">
        <is>
          <t>Nội dung giáo dục của địa phương</t>
        </is>
      </c>
      <c r="H10" s="37" t="inlineStr">
        <is>
          <t>Khoa học tự nhiên (Hoá học)</t>
        </is>
      </c>
      <c r="I10" s="37" t="n"/>
      <c r="J10" s="37" t="n"/>
    </row>
    <row r="11" ht="15" customHeight="1">
      <c r="A11" s="36" t="inlineStr">
        <is>
          <t>6A6</t>
        </is>
      </c>
      <c r="B11" s="36" t="inlineStr">
        <is>
          <t>S</t>
        </is>
      </c>
      <c r="C11" s="36" t="n">
        <v>3</v>
      </c>
      <c r="D11" s="37" t="inlineStr">
        <is>
          <t>Khoa học tự nhiên (Hoá học)</t>
        </is>
      </c>
      <c r="E11" s="37" t="inlineStr">
        <is>
          <t>Ngoại ngữ</t>
        </is>
      </c>
      <c r="F11" s="37" t="inlineStr">
        <is>
          <t>Nghệ thuật (Nhạc)</t>
        </is>
      </c>
      <c r="G11" s="37" t="inlineStr">
        <is>
          <t>Toán học</t>
        </is>
      </c>
      <c r="H11" s="37" t="inlineStr">
        <is>
          <t>Ngữ văn</t>
        </is>
      </c>
      <c r="I11" s="37" t="n"/>
      <c r="J11" s="37" t="n"/>
    </row>
    <row r="12" ht="15" customHeight="1">
      <c r="A12" s="36" t="inlineStr">
        <is>
          <t>6A6</t>
        </is>
      </c>
      <c r="B12" s="36" t="inlineStr">
        <is>
          <t>S</t>
        </is>
      </c>
      <c r="C12" s="36" t="n">
        <v>4</v>
      </c>
      <c r="D12" s="37" t="inlineStr">
        <is>
          <t>Ngữ văn</t>
        </is>
      </c>
      <c r="E12" s="37" t="inlineStr">
        <is>
          <t>Lịch sử và địa lý (Lịch sử)</t>
        </is>
      </c>
      <c r="F12" s="37" t="inlineStr">
        <is>
          <t>Hoạt động trải nghiệm, hướng nghiệp</t>
        </is>
      </c>
      <c r="G12" s="37" t="inlineStr">
        <is>
          <t>Lịch sử và địa lý (Địa lý)</t>
        </is>
      </c>
      <c r="H12" s="37" t="inlineStr">
        <is>
          <t>Hoạt động trải nghiệm, hướng nghiệp</t>
        </is>
      </c>
      <c r="I12" s="37" t="n"/>
      <c r="J12" s="37" t="n"/>
    </row>
    <row r="13" ht="15" customHeight="1">
      <c r="A13" s="36" t="inlineStr">
        <is>
          <t>6A6</t>
        </is>
      </c>
      <c r="B13" s="36" t="inlineStr">
        <is>
          <t>C</t>
        </is>
      </c>
      <c r="C13" s="36" t="n">
        <v>1</v>
      </c>
      <c r="D13" s="37" t="inlineStr">
        <is>
          <t>Ngoại ngữ</t>
        </is>
      </c>
      <c r="E13" s="37" t="inlineStr">
        <is>
          <t>Tin</t>
        </is>
      </c>
      <c r="F13" s="37" t="inlineStr">
        <is>
          <t>Nghệ thuật (Mỹ thuật)</t>
        </is>
      </c>
      <c r="G13" s="37" t="n"/>
      <c r="H13" s="37" t="n"/>
      <c r="I13" s="37" t="n"/>
      <c r="J13" s="37" t="n"/>
    </row>
    <row r="14" ht="24.75" customHeight="1">
      <c r="A14" s="36" t="inlineStr">
        <is>
          <t>6A6</t>
        </is>
      </c>
      <c r="B14" s="36" t="inlineStr">
        <is>
          <t>C</t>
        </is>
      </c>
      <c r="C14" s="36" t="n">
        <v>2</v>
      </c>
      <c r="D14" s="37" t="inlineStr">
        <is>
          <t>Giáo dục thể chất</t>
        </is>
      </c>
      <c r="E14" s="37" t="inlineStr">
        <is>
          <t>Toán học</t>
        </is>
      </c>
      <c r="F14" s="37" t="inlineStr">
        <is>
          <t>Giáo dục thể chất</t>
        </is>
      </c>
      <c r="G14" s="37" t="n"/>
      <c r="H14" s="37" t="n"/>
      <c r="I14" s="37" t="n"/>
      <c r="J14" s="37" t="n"/>
    </row>
    <row r="15" ht="24.75" customHeight="1">
      <c r="A15" s="36" t="inlineStr">
        <is>
          <t>6A6</t>
        </is>
      </c>
      <c r="B15" s="36" t="inlineStr">
        <is>
          <t>C</t>
        </is>
      </c>
      <c r="C15" s="36" t="n">
        <v>3</v>
      </c>
      <c r="D15" s="37" t="inlineStr">
        <is>
          <t>Lịch sử và địa lý (Địa lý)</t>
        </is>
      </c>
      <c r="E15" s="37" t="inlineStr">
        <is>
          <t>Toán học</t>
        </is>
      </c>
      <c r="F15" s="37" t="inlineStr">
        <is>
          <t>Công nghệ</t>
        </is>
      </c>
      <c r="G15" s="37" t="n"/>
      <c r="H15" s="37" t="n"/>
      <c r="I15" s="37" t="n"/>
      <c r="J15" s="37" t="n"/>
    </row>
    <row r="16" ht="15" customHeight="1">
      <c r="A16" s="36" t="inlineStr">
        <is>
          <t>7A4</t>
        </is>
      </c>
      <c r="B16" s="36" t="inlineStr">
        <is>
          <t>S</t>
        </is>
      </c>
      <c r="C16" s="36" t="n">
        <v>1</v>
      </c>
      <c r="D16" s="37" t="inlineStr">
        <is>
          <t>Hoạt động trải nghiệm, hướng nghiệp</t>
        </is>
      </c>
      <c r="E16" s="37" t="inlineStr">
        <is>
          <t>Ngoại ngữ</t>
        </is>
      </c>
      <c r="F16" s="37" t="inlineStr">
        <is>
          <t>Giáo dục thể chất</t>
        </is>
      </c>
      <c r="G16" s="37" t="inlineStr">
        <is>
          <t>Toán học</t>
        </is>
      </c>
      <c r="H16" s="37" t="inlineStr">
        <is>
          <t>Ngữ văn</t>
        </is>
      </c>
      <c r="I16" s="37" t="n"/>
      <c r="J16" s="37" t="n"/>
    </row>
    <row r="17" ht="24.75" customHeight="1">
      <c r="A17" s="36" t="inlineStr">
        <is>
          <t>7A4</t>
        </is>
      </c>
      <c r="B17" s="36" t="inlineStr">
        <is>
          <t>S</t>
        </is>
      </c>
      <c r="C17" s="36" t="n">
        <v>2</v>
      </c>
      <c r="D17" s="37" t="inlineStr">
        <is>
          <t>Ngữ văn</t>
        </is>
      </c>
      <c r="E17" s="37" t="inlineStr">
        <is>
          <t>Toán học</t>
        </is>
      </c>
      <c r="F17" s="37" t="inlineStr">
        <is>
          <t>Khoa học tự nhiên (Sinh học)</t>
        </is>
      </c>
      <c r="G17" s="37" t="inlineStr">
        <is>
          <t>Công nghệ</t>
        </is>
      </c>
      <c r="H17" s="37" t="inlineStr">
        <is>
          <t>Ngoại ngữ</t>
        </is>
      </c>
      <c r="I17" s="37" t="n"/>
      <c r="J17" s="37" t="n"/>
    </row>
    <row r="18" ht="15" customHeight="1">
      <c r="A18" s="30" t="inlineStr">
        <is>
          <t>7A4</t>
        </is>
      </c>
      <c r="B18" s="30" t="inlineStr">
        <is>
          <t>S</t>
        </is>
      </c>
      <c r="C18" s="30" t="n">
        <v>3</v>
      </c>
      <c r="D18" s="35" t="inlineStr">
        <is>
          <t>Ngoại ngữ</t>
        </is>
      </c>
      <c r="E18" s="35" t="inlineStr">
        <is>
          <t>Toán học</t>
        </is>
      </c>
      <c r="F18" s="35" t="inlineStr">
        <is>
          <t>Lịch sử và địa lý (Địa lý)</t>
        </is>
      </c>
      <c r="G18" s="35" t="inlineStr">
        <is>
          <t>Nghệ thuật (Nhạc)</t>
        </is>
      </c>
      <c r="H18" s="35" t="inlineStr">
        <is>
          <t>Toán học</t>
        </is>
      </c>
      <c r="I18" s="35" t="n"/>
      <c r="J18" s="35" t="n"/>
    </row>
    <row r="19" ht="15" customHeight="1">
      <c r="A19" s="30" t="inlineStr">
        <is>
          <t>7A4</t>
        </is>
      </c>
      <c r="B19" s="30" t="inlineStr">
        <is>
          <t>S</t>
        </is>
      </c>
      <c r="C19" s="30" t="n">
        <v>4</v>
      </c>
      <c r="D19" s="35" t="inlineStr">
        <is>
          <t>Giáo dục công dân</t>
        </is>
      </c>
      <c r="E19" s="35" t="inlineStr">
        <is>
          <t>Khoa học tự nhiên (Hoá học)</t>
        </is>
      </c>
      <c r="F19" s="35" t="inlineStr">
        <is>
          <t>Hoạt động trải nghiệm, hướng nghiệp</t>
        </is>
      </c>
      <c r="G19" s="35" t="inlineStr">
        <is>
          <t>Nghệ thuật (Mỹ thuật)</t>
        </is>
      </c>
      <c r="H19" s="35" t="inlineStr">
        <is>
          <t>Hoạt động trải nghiệm, hướng nghiệp</t>
        </is>
      </c>
      <c r="I19" s="35" t="n"/>
      <c r="J19" s="35" t="n"/>
    </row>
    <row r="20" ht="15" customHeight="1">
      <c r="A20" s="30" t="inlineStr">
        <is>
          <t>7A4</t>
        </is>
      </c>
      <c r="B20" s="30" t="inlineStr">
        <is>
          <t>C</t>
        </is>
      </c>
      <c r="C20" s="30" t="n">
        <v>1</v>
      </c>
      <c r="D20" s="35" t="inlineStr">
        <is>
          <t>Lịch sử và địa lý (Lịch sử)</t>
        </is>
      </c>
      <c r="E20" s="35" t="inlineStr">
        <is>
          <t>Nội dung giáo dục của địa phương</t>
        </is>
      </c>
      <c r="F20" s="35" t="inlineStr">
        <is>
          <t>Khoa học tự nhiên (Vật lý)</t>
        </is>
      </c>
      <c r="G20" s="35" t="n"/>
      <c r="H20" s="35" t="n"/>
      <c r="I20" s="35" t="n"/>
      <c r="J20" s="35" t="n"/>
    </row>
    <row r="21" ht="15" customHeight="1">
      <c r="A21" s="30" t="inlineStr">
        <is>
          <t>7A4</t>
        </is>
      </c>
      <c r="B21" s="30" t="inlineStr">
        <is>
          <t>C</t>
        </is>
      </c>
      <c r="C21" s="30" t="n">
        <v>2</v>
      </c>
      <c r="D21" s="35" t="inlineStr">
        <is>
          <t>Khoa học tự nhiên (Sinh học)</t>
        </is>
      </c>
      <c r="E21" s="35" t="inlineStr">
        <is>
          <t>Ngữ văn</t>
        </is>
      </c>
      <c r="F21" s="35" t="inlineStr">
        <is>
          <t>Tin</t>
        </is>
      </c>
      <c r="G21" s="35" t="n"/>
      <c r="H21" s="35" t="n"/>
      <c r="I21" s="35" t="n"/>
      <c r="J21" s="35" t="n"/>
    </row>
    <row r="22" ht="15" customHeight="1">
      <c r="A22" s="30" t="inlineStr">
        <is>
          <t>7A4</t>
        </is>
      </c>
      <c r="B22" s="30" t="inlineStr">
        <is>
          <t>C</t>
        </is>
      </c>
      <c r="C22" s="30" t="n">
        <v>3</v>
      </c>
      <c r="D22" s="35" t="inlineStr">
        <is>
          <t>Giáo dục thể chất</t>
        </is>
      </c>
      <c r="E22" s="35" t="inlineStr">
        <is>
          <t>Ngữ văn</t>
        </is>
      </c>
      <c r="F22" s="35" t="inlineStr">
        <is>
          <t>Lịch sử và địa lý (Lịch sử)</t>
        </is>
      </c>
      <c r="G22" s="35" t="n"/>
      <c r="H22" s="35" t="n"/>
      <c r="I22" s="35" t="n"/>
      <c r="J22" s="35" t="n"/>
    </row>
    <row r="23" ht="15" customHeight="1">
      <c r="A23" s="30" t="inlineStr">
        <is>
          <t>7A5</t>
        </is>
      </c>
      <c r="B23" s="30" t="inlineStr">
        <is>
          <t>S</t>
        </is>
      </c>
      <c r="C23" s="30" t="n">
        <v>1</v>
      </c>
      <c r="D23" s="35" t="inlineStr">
        <is>
          <t>Hoạt động trải nghiệm, hướng nghiệp</t>
        </is>
      </c>
      <c r="E23" s="35" t="inlineStr">
        <is>
          <t>Toán học</t>
        </is>
      </c>
      <c r="F23" s="35" t="inlineStr">
        <is>
          <t>Toán học</t>
        </is>
      </c>
      <c r="G23" s="35" t="inlineStr">
        <is>
          <t>Khoa học tự nhiên (Sinh học)</t>
        </is>
      </c>
      <c r="H23" s="35" t="inlineStr">
        <is>
          <t>Nghệ thuật (Mỹ thuật)</t>
        </is>
      </c>
      <c r="I23" s="35" t="n"/>
      <c r="J23" s="35" t="n"/>
    </row>
    <row r="24" ht="15" customHeight="1">
      <c r="A24" s="30" t="inlineStr">
        <is>
          <t>7A5</t>
        </is>
      </c>
      <c r="B24" s="30" t="inlineStr">
        <is>
          <t>S</t>
        </is>
      </c>
      <c r="C24" s="30" t="n">
        <v>2</v>
      </c>
      <c r="D24" s="35" t="inlineStr">
        <is>
          <t>Ngữ văn</t>
        </is>
      </c>
      <c r="E24" s="35" t="inlineStr">
        <is>
          <t>Ngữ văn</t>
        </is>
      </c>
      <c r="F24" s="35" t="inlineStr">
        <is>
          <t>Khoa học tự nhiên (Vật lý)</t>
        </is>
      </c>
      <c r="G24" s="35" t="inlineStr">
        <is>
          <t>Ngoại ngữ</t>
        </is>
      </c>
      <c r="H24" s="35" t="inlineStr">
        <is>
          <t>Toán học</t>
        </is>
      </c>
      <c r="I24" s="35" t="n"/>
      <c r="J24" s="35" t="n"/>
    </row>
    <row r="25" ht="15" customHeight="1">
      <c r="A25" s="30" t="inlineStr">
        <is>
          <t>7A5</t>
        </is>
      </c>
      <c r="B25" s="30" t="inlineStr">
        <is>
          <t>S</t>
        </is>
      </c>
      <c r="C25" s="30" t="n">
        <v>3</v>
      </c>
      <c r="D25" s="35" t="inlineStr">
        <is>
          <t>Toán học</t>
        </is>
      </c>
      <c r="E25" s="35" t="inlineStr">
        <is>
          <t>Giáo dục thể chất</t>
        </is>
      </c>
      <c r="F25" s="35" t="inlineStr">
        <is>
          <t>Ngữ văn</t>
        </is>
      </c>
      <c r="G25" s="35" t="inlineStr">
        <is>
          <t>Giáo dục thể chất</t>
        </is>
      </c>
      <c r="H25" s="35" t="inlineStr">
        <is>
          <t>Giáo dục công dân</t>
        </is>
      </c>
      <c r="I25" s="35" t="n"/>
      <c r="J25" s="35" t="n"/>
    </row>
    <row r="26" ht="24.75" customHeight="1">
      <c r="A26" s="36" t="inlineStr">
        <is>
          <t>7A5</t>
        </is>
      </c>
      <c r="B26" s="36" t="inlineStr">
        <is>
          <t>S</t>
        </is>
      </c>
      <c r="C26" s="36" t="n">
        <v>4</v>
      </c>
      <c r="D26" s="37" t="inlineStr">
        <is>
          <t>Ngoại ngữ</t>
        </is>
      </c>
      <c r="E26" s="37" t="inlineStr">
        <is>
          <t>Ngoại ngữ</t>
        </is>
      </c>
      <c r="F26" s="37" t="inlineStr">
        <is>
          <t>Lịch sử và địa lý (Địa lý)</t>
        </is>
      </c>
      <c r="G26" s="37" t="inlineStr">
        <is>
          <t>Ngữ văn</t>
        </is>
      </c>
      <c r="H26" s="37" t="inlineStr">
        <is>
          <t>Hoạt động trải nghiệm, hướng nghiệp</t>
        </is>
      </c>
      <c r="I26" s="37" t="n"/>
      <c r="J26" s="37" t="n"/>
    </row>
    <row r="27" ht="15" customHeight="1">
      <c r="A27" s="36" t="inlineStr">
        <is>
          <t>7A5</t>
        </is>
      </c>
      <c r="B27" s="36" t="inlineStr">
        <is>
          <t>C</t>
        </is>
      </c>
      <c r="C27" s="36" t="n">
        <v>1</v>
      </c>
      <c r="D27" s="37" t="inlineStr">
        <is>
          <t>Khoa học tự nhiên (Sinh học)</t>
        </is>
      </c>
      <c r="E27" s="37" t="inlineStr">
        <is>
          <t>Nghệ thuật (Nhạc)</t>
        </is>
      </c>
      <c r="F27" s="37" t="inlineStr">
        <is>
          <t>Lịch sử và địa lý (Lịch sử)</t>
        </is>
      </c>
      <c r="G27" s="37" t="n"/>
      <c r="H27" s="37" t="n"/>
      <c r="I27" s="37" t="n"/>
      <c r="J27" s="37" t="n"/>
    </row>
    <row r="28" ht="15" customHeight="1">
      <c r="A28" s="36" t="inlineStr">
        <is>
          <t>7A5</t>
        </is>
      </c>
      <c r="B28" s="36" t="inlineStr">
        <is>
          <t>C</t>
        </is>
      </c>
      <c r="C28" s="36" t="n">
        <v>2</v>
      </c>
      <c r="D28" s="37" t="inlineStr">
        <is>
          <t>Lịch sử và địa lý (Lịch sử)</t>
        </is>
      </c>
      <c r="E28" s="37" t="inlineStr">
        <is>
          <t>Công nghệ</t>
        </is>
      </c>
      <c r="F28" s="37" t="inlineStr">
        <is>
          <t>Hoạt động trải nghiệm, hướng nghiệp</t>
        </is>
      </c>
      <c r="G28" s="37" t="n"/>
      <c r="H28" s="37" t="n"/>
      <c r="I28" s="37" t="n"/>
      <c r="J28" s="37" t="n"/>
    </row>
    <row r="29" ht="24.75" customHeight="1">
      <c r="A29" s="36" t="inlineStr">
        <is>
          <t>7A5</t>
        </is>
      </c>
      <c r="B29" s="36" t="inlineStr">
        <is>
          <t>C</t>
        </is>
      </c>
      <c r="C29" s="36" t="n">
        <v>3</v>
      </c>
      <c r="D29" s="37" t="inlineStr">
        <is>
          <t>Khoa học tự nhiên (Hoá học)</t>
        </is>
      </c>
      <c r="E29" s="37" t="inlineStr">
        <is>
          <t>Nội dung giáo dục của địa phương</t>
        </is>
      </c>
      <c r="F29" s="37" t="inlineStr">
        <is>
          <t>Tin</t>
        </is>
      </c>
      <c r="G29" s="37" t="n"/>
      <c r="H29" s="37" t="n"/>
      <c r="I29" s="37" t="n"/>
      <c r="J29" s="37" t="n"/>
    </row>
    <row r="30" ht="24.75" customHeight="1">
      <c r="A30" s="36" t="inlineStr">
        <is>
          <t>8A5</t>
        </is>
      </c>
      <c r="B30" s="36" t="inlineStr">
        <is>
          <t>S</t>
        </is>
      </c>
      <c r="C30" s="36" t="n">
        <v>1</v>
      </c>
      <c r="D30" s="37" t="inlineStr">
        <is>
          <t>Hoạt động trải nghiệm, hướng nghiệp</t>
        </is>
      </c>
      <c r="E30" s="37" t="inlineStr">
        <is>
          <t>Toán học</t>
        </is>
      </c>
      <c r="F30" s="37" t="inlineStr">
        <is>
          <t>Toán học</t>
        </is>
      </c>
      <c r="G30" s="37" t="inlineStr">
        <is>
          <t>Lịch sử và địa lý (Địa lý)</t>
        </is>
      </c>
      <c r="H30" s="37" t="inlineStr">
        <is>
          <t>Toán học</t>
        </is>
      </c>
      <c r="I30" s="37" t="n"/>
      <c r="J30" s="37" t="n"/>
    </row>
    <row r="31" ht="24.75" customHeight="1">
      <c r="A31" s="36" t="inlineStr">
        <is>
          <t>8A5</t>
        </is>
      </c>
      <c r="B31" s="36" t="inlineStr">
        <is>
          <t>S</t>
        </is>
      </c>
      <c r="C31" s="36" t="n">
        <v>2</v>
      </c>
      <c r="D31" s="37" t="inlineStr">
        <is>
          <t>Toán học</t>
        </is>
      </c>
      <c r="E31" s="37" t="inlineStr">
        <is>
          <t>Giáo dục thể chất</t>
        </is>
      </c>
      <c r="F31" s="37" t="inlineStr">
        <is>
          <t>Lịch sử và địa lý (Lịch sử)</t>
        </is>
      </c>
      <c r="G31" s="37" t="inlineStr">
        <is>
          <t>Giáo dục thể chất</t>
        </is>
      </c>
      <c r="H31" s="37" t="inlineStr">
        <is>
          <t>Ngữ văn</t>
        </is>
      </c>
      <c r="I31" s="37" t="n"/>
      <c r="J31" s="37" t="n"/>
    </row>
    <row r="32" ht="15" customHeight="1">
      <c r="A32" s="36" t="inlineStr">
        <is>
          <t>8A5</t>
        </is>
      </c>
      <c r="B32" s="36" t="inlineStr">
        <is>
          <t>S</t>
        </is>
      </c>
      <c r="C32" s="36" t="n">
        <v>3</v>
      </c>
      <c r="D32" s="37" t="inlineStr">
        <is>
          <t>Ngữ văn</t>
        </is>
      </c>
      <c r="E32" s="37" t="inlineStr">
        <is>
          <t>Ngữ văn</t>
        </is>
      </c>
      <c r="F32" s="37" t="inlineStr">
        <is>
          <t>Giáo dục công dân</t>
        </is>
      </c>
      <c r="G32" s="37" t="inlineStr">
        <is>
          <t>Hoạt động trải nghiệm, hướng nghiệp</t>
        </is>
      </c>
      <c r="H32" s="37" t="inlineStr">
        <is>
          <t>Ngoại ngữ</t>
        </is>
      </c>
      <c r="I32" s="37" t="n"/>
      <c r="J32" s="37" t="n"/>
    </row>
    <row r="33" ht="15" customHeight="1">
      <c r="A33" s="36" t="inlineStr">
        <is>
          <t>8A5</t>
        </is>
      </c>
      <c r="B33" s="36" t="inlineStr">
        <is>
          <t>S</t>
        </is>
      </c>
      <c r="C33" s="36" t="n">
        <v>4</v>
      </c>
      <c r="D33" s="37" t="inlineStr">
        <is>
          <t>Ngữ văn</t>
        </is>
      </c>
      <c r="E33" s="37" t="inlineStr">
        <is>
          <t>Tin</t>
        </is>
      </c>
      <c r="F33" s="37" t="inlineStr">
        <is>
          <t>Công nghệ</t>
        </is>
      </c>
      <c r="G33" s="37" t="inlineStr">
        <is>
          <t>Ngoại ngữ</t>
        </is>
      </c>
      <c r="H33" s="37" t="inlineStr">
        <is>
          <t>Hoạt động trải nghiệm, hướng nghiệp</t>
        </is>
      </c>
      <c r="I33" s="37" t="n"/>
      <c r="J33" s="37" t="n"/>
    </row>
    <row r="34" ht="24.75" customHeight="1">
      <c r="A34" s="30" t="inlineStr">
        <is>
          <t>8A5</t>
        </is>
      </c>
      <c r="B34" s="30" t="inlineStr">
        <is>
          <t>C</t>
        </is>
      </c>
      <c r="C34" s="30" t="n">
        <v>1</v>
      </c>
      <c r="D34" s="35" t="inlineStr">
        <is>
          <t>Nghệ thuật (Nhạc)</t>
        </is>
      </c>
      <c r="E34" s="35" t="inlineStr">
        <is>
          <t>Lịch sử và địa lý (Địa lý)</t>
        </is>
      </c>
      <c r="F34" s="35" t="inlineStr">
        <is>
          <t>Khoa học tự nhiên (Hoá học)</t>
        </is>
      </c>
      <c r="G34" s="35" t="n"/>
      <c r="H34" s="35" t="n"/>
      <c r="I34" s="35" t="n"/>
      <c r="J34" s="35" t="n"/>
    </row>
    <row r="35" ht="24.75" customHeight="1">
      <c r="A35" s="30" t="inlineStr">
        <is>
          <t>8A5</t>
        </is>
      </c>
      <c r="B35" s="30" t="inlineStr">
        <is>
          <t>C</t>
        </is>
      </c>
      <c r="C35" s="30" t="n">
        <v>2</v>
      </c>
      <c r="D35" s="35" t="inlineStr">
        <is>
          <t>Khoa học tự nhiên (Hoá học)</t>
        </is>
      </c>
      <c r="E35" s="35" t="inlineStr">
        <is>
          <t>Khoa học tự nhiên (Hoá học)</t>
        </is>
      </c>
      <c r="F35" s="35" t="inlineStr">
        <is>
          <t>Nội dung giáo dục của địa phương</t>
        </is>
      </c>
      <c r="G35" s="35" t="n"/>
      <c r="H35" s="35" t="n"/>
      <c r="I35" s="35" t="n"/>
      <c r="J35" s="35" t="n"/>
    </row>
    <row r="36" ht="24.75" customHeight="1">
      <c r="A36" s="30" t="inlineStr">
        <is>
          <t>8A5</t>
        </is>
      </c>
      <c r="B36" s="30" t="inlineStr">
        <is>
          <t>C</t>
        </is>
      </c>
      <c r="C36" s="30" t="n">
        <v>3</v>
      </c>
      <c r="D36" s="35" t="inlineStr">
        <is>
          <t>Nghệ thuật (Mỹ thuật)</t>
        </is>
      </c>
      <c r="E36" s="35" t="inlineStr">
        <is>
          <t>Ngoại ngữ</t>
        </is>
      </c>
      <c r="F36" s="35" t="inlineStr">
        <is>
          <t>Khoa học tự nhiên (Vật lý)</t>
        </is>
      </c>
      <c r="G36" s="35" t="n"/>
      <c r="H36" s="35" t="n"/>
      <c r="I36" s="35" t="n"/>
      <c r="J36" s="35" t="n"/>
    </row>
    <row r="37" ht="15" customHeight="1">
      <c r="A37" s="30" t="inlineStr">
        <is>
          <t>8A6</t>
        </is>
      </c>
      <c r="B37" s="30" t="inlineStr">
        <is>
          <t>S</t>
        </is>
      </c>
      <c r="C37" s="30" t="n">
        <v>1</v>
      </c>
      <c r="D37" s="35" t="inlineStr">
        <is>
          <t>Hoạt động trải nghiệm, hướng nghiệp</t>
        </is>
      </c>
      <c r="E37" s="35" t="inlineStr">
        <is>
          <t>Ngữ văn</t>
        </is>
      </c>
      <c r="F37" s="35" t="inlineStr">
        <is>
          <t>Nội dung giáo dục của địa phương</t>
        </is>
      </c>
      <c r="G37" s="35" t="inlineStr">
        <is>
          <t>Nghệ thuật (Nhạc)</t>
        </is>
      </c>
      <c r="H37" s="35" t="inlineStr">
        <is>
          <t>Giáo dục thể chất</t>
        </is>
      </c>
      <c r="I37" s="35" t="n"/>
      <c r="J37" s="35" t="n"/>
    </row>
    <row r="38" ht="24.75" customHeight="1">
      <c r="A38" s="30" t="inlineStr">
        <is>
          <t>8A6</t>
        </is>
      </c>
      <c r="B38" s="30" t="inlineStr">
        <is>
          <t>S</t>
        </is>
      </c>
      <c r="C38" s="30" t="n">
        <v>2</v>
      </c>
      <c r="D38" s="35" t="inlineStr">
        <is>
          <t>Ngữ văn</t>
        </is>
      </c>
      <c r="E38" s="35" t="inlineStr">
        <is>
          <t>Khoa học tự nhiên (Hoá học)</t>
        </is>
      </c>
      <c r="F38" s="35" t="inlineStr">
        <is>
          <t>Công nghệ</t>
        </is>
      </c>
      <c r="G38" s="35" t="inlineStr">
        <is>
          <t>Giáo dục công dân</t>
        </is>
      </c>
      <c r="H38" s="35" t="inlineStr">
        <is>
          <t>Khoa học tự nhiên (Hoá học)</t>
        </is>
      </c>
      <c r="I38" s="35" t="n"/>
      <c r="J38" s="35" t="n"/>
    </row>
    <row r="39" ht="15" customHeight="1">
      <c r="A39" s="30" t="inlineStr">
        <is>
          <t>8A6</t>
        </is>
      </c>
      <c r="B39" s="30" t="inlineStr">
        <is>
          <t>S</t>
        </is>
      </c>
      <c r="C39" s="30" t="n">
        <v>3</v>
      </c>
      <c r="D39" s="35" t="inlineStr">
        <is>
          <t>Toán học</t>
        </is>
      </c>
      <c r="E39" s="35" t="inlineStr">
        <is>
          <t>Toán học</t>
        </is>
      </c>
      <c r="F39" s="35" t="inlineStr">
        <is>
          <t>Ngoại ngữ</t>
        </is>
      </c>
      <c r="G39" s="35" t="inlineStr">
        <is>
          <t>Lịch sử và địa lý (Địa lý)</t>
        </is>
      </c>
      <c r="H39" s="35" t="inlineStr">
        <is>
          <t>Ngữ văn</t>
        </is>
      </c>
      <c r="I39" s="35" t="n"/>
      <c r="J39" s="35" t="n"/>
    </row>
    <row r="40" ht="24.75" customHeight="1">
      <c r="A40" s="30" t="inlineStr">
        <is>
          <t>8A6</t>
        </is>
      </c>
      <c r="B40" s="30" t="inlineStr">
        <is>
          <t>S</t>
        </is>
      </c>
      <c r="C40" s="30" t="n">
        <v>4</v>
      </c>
      <c r="D40" s="35" t="inlineStr">
        <is>
          <t>Toán học</t>
        </is>
      </c>
      <c r="E40" s="35" t="inlineStr">
        <is>
          <t>Khoa học tự nhiên (Vật lý)</t>
        </is>
      </c>
      <c r="F40" s="35" t="inlineStr">
        <is>
          <t>Lịch sử và địa lý (Lịch sử)</t>
        </is>
      </c>
      <c r="G40" s="35" t="inlineStr">
        <is>
          <t>Toán học</t>
        </is>
      </c>
      <c r="H40" s="35" t="inlineStr">
        <is>
          <t>Hoạt động trải nghiệm, hướng nghiệp</t>
        </is>
      </c>
      <c r="I40" s="35" t="n"/>
      <c r="J40" s="35" t="n"/>
    </row>
    <row r="41" ht="24.75" customHeight="1">
      <c r="A41" s="30" t="inlineStr">
        <is>
          <t>8A6</t>
        </is>
      </c>
      <c r="B41" s="30" t="inlineStr">
        <is>
          <t>C</t>
        </is>
      </c>
      <c r="C41" s="30" t="n">
        <v>1</v>
      </c>
      <c r="D41" s="35" t="inlineStr">
        <is>
          <t>Lịch sử và địa lý (Địa lý)</t>
        </is>
      </c>
      <c r="E41" s="35" t="inlineStr">
        <is>
          <t>Ngoại ngữ</t>
        </is>
      </c>
      <c r="F41" s="35" t="inlineStr">
        <is>
          <t>Ngữ văn</t>
        </is>
      </c>
      <c r="G41" s="35" t="n"/>
      <c r="H41" s="35" t="n"/>
      <c r="I41" s="35" t="n"/>
      <c r="J41" s="35" t="n"/>
    </row>
    <row r="42" ht="24.75" customHeight="1">
      <c r="A42" s="36" t="inlineStr">
        <is>
          <t>8A6</t>
        </is>
      </c>
      <c r="B42" s="36" t="inlineStr">
        <is>
          <t>C</t>
        </is>
      </c>
      <c r="C42" s="36" t="n">
        <v>2</v>
      </c>
      <c r="D42" s="37" t="inlineStr">
        <is>
          <t>Ngoại ngữ</t>
        </is>
      </c>
      <c r="E42" s="37" t="inlineStr">
        <is>
          <t>Giáo dục thể chất</t>
        </is>
      </c>
      <c r="F42" s="37" t="inlineStr">
        <is>
          <t>Hoạt động trải nghiệm, hướng nghiệp</t>
        </is>
      </c>
      <c r="G42" s="37" t="n"/>
      <c r="H42" s="37" t="n"/>
      <c r="I42" s="37" t="n"/>
      <c r="J42" s="37" t="n"/>
    </row>
    <row r="43" ht="24.75" customHeight="1">
      <c r="A43" s="36" t="inlineStr">
        <is>
          <t>8A6</t>
        </is>
      </c>
      <c r="B43" s="36" t="inlineStr">
        <is>
          <t>C</t>
        </is>
      </c>
      <c r="C43" s="36" t="n">
        <v>3</v>
      </c>
      <c r="D43" s="37" t="inlineStr">
        <is>
          <t>Khoa học tự nhiên (Hoá học)</t>
        </is>
      </c>
      <c r="E43" s="37" t="inlineStr">
        <is>
          <t>Tin</t>
        </is>
      </c>
      <c r="F43" s="37" t="inlineStr">
        <is>
          <t>Nghệ thuật (Mỹ thuật)</t>
        </is>
      </c>
      <c r="G43" s="37" t="n"/>
      <c r="H43" s="37" t="n"/>
      <c r="I43" s="37" t="n"/>
      <c r="J43" s="37" t="n"/>
    </row>
    <row r="44" ht="24.75" customHeight="1">
      <c r="A44" s="36" t="inlineStr">
        <is>
          <t>9A5</t>
        </is>
      </c>
      <c r="B44" s="36" t="inlineStr">
        <is>
          <t>S</t>
        </is>
      </c>
      <c r="C44" s="36" t="n">
        <v>1</v>
      </c>
      <c r="D44" s="37" t="inlineStr">
        <is>
          <t>Hoạt động trải nghiệm, hướng nghiệp</t>
        </is>
      </c>
      <c r="E44" s="37" t="inlineStr">
        <is>
          <t>Nội dung giáo dục của địa phương</t>
        </is>
      </c>
      <c r="F44" s="37" t="inlineStr">
        <is>
          <t>Ngoại ngữ</t>
        </is>
      </c>
      <c r="G44" s="37" t="inlineStr">
        <is>
          <t>Hoạt động trải nghiệm, hướng nghiệp</t>
        </is>
      </c>
      <c r="H44" s="37" t="inlineStr">
        <is>
          <t>Ngoại ngữ</t>
        </is>
      </c>
      <c r="I44" s="37" t="n"/>
      <c r="J44" s="37" t="n"/>
    </row>
    <row r="45" ht="24.75" customHeight="1">
      <c r="A45" s="36" t="inlineStr">
        <is>
          <t>9A5</t>
        </is>
      </c>
      <c r="B45" s="36" t="inlineStr">
        <is>
          <t>S</t>
        </is>
      </c>
      <c r="C45" s="36" t="n">
        <v>2</v>
      </c>
      <c r="D45" s="37" t="inlineStr">
        <is>
          <t>Ngữ văn</t>
        </is>
      </c>
      <c r="E45" s="37" t="inlineStr">
        <is>
          <t>Toán học</t>
        </is>
      </c>
      <c r="F45" s="37" t="inlineStr">
        <is>
          <t>Ngữ văn</t>
        </is>
      </c>
      <c r="G45" s="37" t="inlineStr">
        <is>
          <t>Khoa học tự nhiên (Hoá học)</t>
        </is>
      </c>
      <c r="H45" s="37" t="inlineStr">
        <is>
          <t>Lịch sử và địa lý (Địa lý)</t>
        </is>
      </c>
      <c r="I45" s="37" t="n"/>
      <c r="J45" s="37" t="n"/>
    </row>
    <row r="46" ht="24.75" customHeight="1">
      <c r="A46" s="36" t="inlineStr">
        <is>
          <t>9A5</t>
        </is>
      </c>
      <c r="B46" s="36" t="inlineStr">
        <is>
          <t>S</t>
        </is>
      </c>
      <c r="C46" s="36" t="n">
        <v>3</v>
      </c>
      <c r="D46" s="37" t="inlineStr">
        <is>
          <t>Toán học</t>
        </is>
      </c>
      <c r="E46" s="37" t="inlineStr">
        <is>
          <t>Ngữ văn</t>
        </is>
      </c>
      <c r="F46" s="37" t="inlineStr">
        <is>
          <t>Tin</t>
        </is>
      </c>
      <c r="G46" s="37" t="inlineStr">
        <is>
          <t>Khoa học tự nhiên (Sinh học)</t>
        </is>
      </c>
      <c r="H46" s="37" t="inlineStr">
        <is>
          <t>Toán học</t>
        </is>
      </c>
      <c r="I46" s="37" t="n"/>
      <c r="J46" s="37" t="n"/>
    </row>
    <row r="47" ht="15" customHeight="1">
      <c r="A47" s="36" t="inlineStr">
        <is>
          <t>9A5</t>
        </is>
      </c>
      <c r="B47" s="36" t="inlineStr">
        <is>
          <t>S</t>
        </is>
      </c>
      <c r="C47" s="36" t="n">
        <v>4</v>
      </c>
      <c r="D47" s="37" t="inlineStr">
        <is>
          <t>Ngoại ngữ</t>
        </is>
      </c>
      <c r="E47" s="37" t="inlineStr">
        <is>
          <t>Khoa học tự nhiên (Hoá học)</t>
        </is>
      </c>
      <c r="F47" s="37" t="inlineStr">
        <is>
          <t>Công nghệ</t>
        </is>
      </c>
      <c r="G47" s="37" t="inlineStr">
        <is>
          <t>Ngữ văn</t>
        </is>
      </c>
      <c r="H47" s="37" t="inlineStr">
        <is>
          <t>Hoạt động trải nghiệm, hướng nghiệp</t>
        </is>
      </c>
      <c r="I47" s="37" t="n"/>
      <c r="J47" s="37" t="n"/>
    </row>
    <row r="48" ht="15" customHeight="1">
      <c r="A48" s="36" t="inlineStr">
        <is>
          <t>9A5</t>
        </is>
      </c>
      <c r="B48" s="36" t="inlineStr">
        <is>
          <t>C</t>
        </is>
      </c>
      <c r="C48" s="36" t="n">
        <v>1</v>
      </c>
      <c r="D48" s="37" t="inlineStr">
        <is>
          <t>Khoa học tự nhiên (Hoá học)</t>
        </is>
      </c>
      <c r="E48" s="37" t="inlineStr">
        <is>
          <t>Nghệ thuật (Nhạc)</t>
        </is>
      </c>
      <c r="F48" s="37" t="inlineStr">
        <is>
          <t>Toán học</t>
        </is>
      </c>
      <c r="G48" s="37" t="n"/>
      <c r="H48" s="37" t="n"/>
      <c r="I48" s="37" t="n"/>
      <c r="J48" s="37" t="n"/>
    </row>
    <row r="49" ht="24.75" customHeight="1">
      <c r="A49" s="36" t="inlineStr">
        <is>
          <t>9A5</t>
        </is>
      </c>
      <c r="B49" s="36" t="inlineStr">
        <is>
          <t>C</t>
        </is>
      </c>
      <c r="C49" s="36" t="n">
        <v>2</v>
      </c>
      <c r="D49" s="37" t="inlineStr">
        <is>
          <t>Nghệ thuật (Mỹ thuật)</t>
        </is>
      </c>
      <c r="E49" s="37" t="inlineStr">
        <is>
          <t>Giáo dục công dân</t>
        </is>
      </c>
      <c r="F49" s="37" t="inlineStr">
        <is>
          <t>Lịch sử và địa lý (Lịch sử)</t>
        </is>
      </c>
      <c r="G49" s="37" t="n"/>
      <c r="H49" s="37" t="n"/>
      <c r="I49" s="37" t="n"/>
      <c r="J49" s="37" t="n"/>
    </row>
    <row r="50" ht="24.75" customHeight="1">
      <c r="A50" s="30" t="inlineStr">
        <is>
          <t>9A5</t>
        </is>
      </c>
      <c r="B50" s="30" t="inlineStr">
        <is>
          <t>C</t>
        </is>
      </c>
      <c r="C50" s="30" t="n">
        <v>3</v>
      </c>
      <c r="D50" s="35" t="inlineStr">
        <is>
          <t>Lịch sử và địa lý (Lịch sử)</t>
        </is>
      </c>
      <c r="E50" s="35" t="inlineStr">
        <is>
          <t>Giáo dục thể chất</t>
        </is>
      </c>
      <c r="F50" s="35" t="inlineStr">
        <is>
          <t>Giáo dục thể chất</t>
        </is>
      </c>
      <c r="G50" s="35" t="n"/>
      <c r="H50" s="35" t="n"/>
      <c r="I50" s="35" t="n"/>
      <c r="J50" s="35" t="n"/>
    </row>
    <row r="51" ht="24.75" customHeight="1">
      <c r="A51" s="30" t="inlineStr">
        <is>
          <t>9A6</t>
        </is>
      </c>
      <c r="B51" s="30" t="inlineStr">
        <is>
          <t>S</t>
        </is>
      </c>
      <c r="C51" s="30" t="n">
        <v>1</v>
      </c>
      <c r="D51" s="35" t="inlineStr">
        <is>
          <t>Hoạt động trải nghiệm, hướng nghiệp</t>
        </is>
      </c>
      <c r="E51" s="35" t="inlineStr">
        <is>
          <t>Ngữ văn</t>
        </is>
      </c>
      <c r="F51" s="35" t="inlineStr">
        <is>
          <t>Khoa học tự nhiên (Hoá học)</t>
        </is>
      </c>
      <c r="G51" s="35" t="inlineStr">
        <is>
          <t>Nội dung giáo dục của địa phương</t>
        </is>
      </c>
      <c r="H51" s="35" t="inlineStr">
        <is>
          <t>Ngữ văn</t>
        </is>
      </c>
      <c r="I51" s="35" t="n"/>
      <c r="J51" s="35" t="n"/>
    </row>
    <row r="52" ht="24.75" customHeight="1">
      <c r="A52" s="30" t="inlineStr">
        <is>
          <t>9A6</t>
        </is>
      </c>
      <c r="B52" s="30" t="inlineStr">
        <is>
          <t>S</t>
        </is>
      </c>
      <c r="C52" s="30" t="n">
        <v>2</v>
      </c>
      <c r="D52" s="35" t="inlineStr">
        <is>
          <t>Toán học</t>
        </is>
      </c>
      <c r="E52" s="35" t="inlineStr">
        <is>
          <t>Ngữ văn</t>
        </is>
      </c>
      <c r="F52" s="35" t="inlineStr">
        <is>
          <t>Giáo dục thể chất</t>
        </is>
      </c>
      <c r="G52" s="35" t="inlineStr">
        <is>
          <t>Nghệ thuật (Mỹ thuật)</t>
        </is>
      </c>
      <c r="H52" s="35" t="inlineStr">
        <is>
          <t>Toán học</t>
        </is>
      </c>
      <c r="I52" s="35" t="n"/>
      <c r="J52" s="35" t="n"/>
    </row>
    <row r="53" ht="24.75" customHeight="1">
      <c r="A53" s="30" t="inlineStr">
        <is>
          <t>9A6</t>
        </is>
      </c>
      <c r="B53" s="30" t="inlineStr">
        <is>
          <t>S</t>
        </is>
      </c>
      <c r="C53" s="30" t="n">
        <v>3</v>
      </c>
      <c r="D53" s="35" t="inlineStr">
        <is>
          <t>Ngữ văn</t>
        </is>
      </c>
      <c r="E53" s="35" t="inlineStr">
        <is>
          <t>Toán học</t>
        </is>
      </c>
      <c r="F53" s="35" t="inlineStr">
        <is>
          <t>Công nghệ</t>
        </is>
      </c>
      <c r="G53" s="35" t="inlineStr">
        <is>
          <t>Lịch sử và địa lý (Lịch sử)</t>
        </is>
      </c>
      <c r="H53" s="35" t="inlineStr">
        <is>
          <t>Giáo dục thể chất</t>
        </is>
      </c>
      <c r="I53" s="35" t="n"/>
      <c r="J53" s="35" t="n"/>
    </row>
    <row r="54" ht="24.75" customHeight="1">
      <c r="A54" s="30" t="inlineStr">
        <is>
          <t>9A6</t>
        </is>
      </c>
      <c r="B54" s="30" t="inlineStr">
        <is>
          <t>S</t>
        </is>
      </c>
      <c r="C54" s="30" t="n">
        <v>4</v>
      </c>
      <c r="D54" s="35" t="inlineStr">
        <is>
          <t>Khoa học tự nhiên (Hoá học)</t>
        </is>
      </c>
      <c r="E54" s="35" t="inlineStr">
        <is>
          <t>Lịch sử và địa lý (Lịch sử)</t>
        </is>
      </c>
      <c r="F54" s="35" t="inlineStr">
        <is>
          <t>Hoạt động trải nghiệm, hướng nghiệp</t>
        </is>
      </c>
      <c r="G54" s="35" t="inlineStr">
        <is>
          <t>Khoa học tự nhiên (Hoá học)</t>
        </is>
      </c>
      <c r="H54" s="35" t="inlineStr">
        <is>
          <t>Hoạt động trải nghiệm, hướng nghiệp</t>
        </is>
      </c>
      <c r="I54" s="35" t="n"/>
      <c r="J54" s="35" t="n"/>
    </row>
    <row r="55" ht="15" customHeight="1">
      <c r="A55" s="30" t="inlineStr">
        <is>
          <t>9A6</t>
        </is>
      </c>
      <c r="B55" s="30" t="inlineStr">
        <is>
          <t>C</t>
        </is>
      </c>
      <c r="C55" s="30" t="n">
        <v>1</v>
      </c>
      <c r="D55" s="35" t="inlineStr">
        <is>
          <t>Nghệ thuật (Nhạc)</t>
        </is>
      </c>
      <c r="E55" s="35" t="inlineStr">
        <is>
          <t>Ngoại ngữ</t>
        </is>
      </c>
      <c r="F55" s="35" t="inlineStr">
        <is>
          <t>Ngoại ngữ</t>
        </is>
      </c>
      <c r="G55" s="35" t="n"/>
      <c r="H55" s="35" t="n"/>
      <c r="I55" s="35" t="n"/>
      <c r="J55" s="35" t="n"/>
    </row>
    <row r="56" ht="24.75" customHeight="1">
      <c r="A56" s="30" t="inlineStr">
        <is>
          <t>9A6</t>
        </is>
      </c>
      <c r="B56" s="30" t="inlineStr">
        <is>
          <t>C</t>
        </is>
      </c>
      <c r="C56" s="30" t="n">
        <v>2</v>
      </c>
      <c r="D56" s="35" t="inlineStr">
        <is>
          <t>Ngoại ngữ</t>
        </is>
      </c>
      <c r="E56" s="35" t="inlineStr">
        <is>
          <t>Tin</t>
        </is>
      </c>
      <c r="F56" s="35" t="inlineStr">
        <is>
          <t>Toán học</t>
        </is>
      </c>
      <c r="G56" s="35" t="n"/>
      <c r="H56" s="35" t="n"/>
      <c r="I56" s="35" t="n"/>
      <c r="J56" s="35" t="n"/>
    </row>
    <row r="57" ht="15" customHeight="1">
      <c r="A57" s="30" t="inlineStr">
        <is>
          <t>9A6</t>
        </is>
      </c>
      <c r="B57" s="30" t="inlineStr">
        <is>
          <t>C</t>
        </is>
      </c>
      <c r="C57" s="30" t="n">
        <v>3</v>
      </c>
      <c r="D57" s="35" t="inlineStr">
        <is>
          <t>Khoa học tự nhiên (Sinh học)</t>
        </is>
      </c>
      <c r="E57" s="35" t="inlineStr">
        <is>
          <t>Giáo dục công dân</t>
        </is>
      </c>
      <c r="F57" s="35" t="inlineStr">
        <is>
          <t>Lịch sử và địa lý (Địa lý)</t>
        </is>
      </c>
      <c r="G57" s="35" t="n"/>
      <c r="H57" s="35" t="n"/>
      <c r="I57" s="35" t="n"/>
      <c r="J57" s="35" t="n"/>
    </row>
    <row r="58" ht="24.75" customHeight="1">
      <c r="A58" s="36" t="n"/>
      <c r="B58" s="36" t="n"/>
      <c r="C58" s="36" t="n"/>
      <c r="D58" s="37" t="n"/>
      <c r="E58" s="37" t="n"/>
      <c r="F58" s="37" t="n"/>
      <c r="G58" s="37" t="n"/>
      <c r="H58" s="37" t="n"/>
      <c r="I58" s="37" t="n"/>
      <c r="J58" s="37" t="n"/>
    </row>
    <row r="59" ht="24.75" customHeight="1">
      <c r="A59" s="36" t="n"/>
      <c r="B59" s="36" t="n"/>
      <c r="C59" s="36" t="n"/>
      <c r="D59" s="37" t="n"/>
      <c r="E59" s="37" t="n"/>
      <c r="F59" s="37" t="n"/>
      <c r="G59" s="37" t="n"/>
      <c r="H59" s="37" t="n"/>
      <c r="I59" s="37" t="n"/>
      <c r="J59" s="37" t="n"/>
    </row>
    <row r="60" ht="15" customHeight="1">
      <c r="A60" s="36" t="n"/>
      <c r="B60" s="36" t="n"/>
      <c r="C60" s="36" t="n"/>
      <c r="D60" s="37" t="n"/>
      <c r="E60" s="37" t="n"/>
      <c r="F60" s="37" t="n"/>
      <c r="G60" s="37" t="n"/>
      <c r="H60" s="37" t="n"/>
      <c r="I60" s="37" t="n"/>
      <c r="J60" s="37" t="n"/>
    </row>
    <row r="61" ht="15" customHeight="1">
      <c r="A61" s="36" t="n"/>
      <c r="B61" s="36" t="n"/>
      <c r="C61" s="36" t="n"/>
      <c r="D61" s="37" t="n"/>
      <c r="E61" s="37" t="n"/>
      <c r="F61" s="37" t="n"/>
      <c r="G61" s="37" t="n"/>
      <c r="H61" s="37" t="n"/>
      <c r="I61" s="37" t="n"/>
      <c r="J61" s="37" t="n"/>
    </row>
    <row r="62" ht="24.75" customHeight="1">
      <c r="A62" s="36" t="n"/>
      <c r="B62" s="36" t="n"/>
      <c r="C62" s="36" t="n"/>
      <c r="D62" s="37" t="n"/>
      <c r="E62" s="37" t="n"/>
      <c r="F62" s="37" t="n"/>
      <c r="G62" s="37" t="n"/>
      <c r="H62" s="37" t="n"/>
      <c r="I62" s="37" t="n"/>
      <c r="J62" s="37" t="n"/>
    </row>
    <row r="63" ht="24.75" customHeight="1">
      <c r="A63" s="36" t="n"/>
      <c r="B63" s="36" t="n"/>
      <c r="C63" s="36" t="n"/>
      <c r="D63" s="37" t="n"/>
      <c r="E63" s="37" t="n"/>
      <c r="F63" s="37" t="n"/>
      <c r="G63" s="37" t="n"/>
      <c r="H63" s="37" t="n"/>
      <c r="I63" s="37" t="n"/>
      <c r="J63" s="37" t="n"/>
    </row>
    <row r="64" ht="24.75" customHeight="1">
      <c r="A64" s="36" t="n"/>
      <c r="B64" s="36" t="n"/>
      <c r="C64" s="36" t="n"/>
      <c r="D64" s="37" t="n"/>
      <c r="E64" s="37" t="n"/>
      <c r="F64" s="37" t="n"/>
      <c r="G64" s="37" t="n"/>
      <c r="H64" s="37" t="n"/>
      <c r="I64" s="37" t="n"/>
      <c r="J64" s="37" t="n"/>
    </row>
    <row r="65" ht="15" customHeight="1">
      <c r="A65" s="36" t="n"/>
      <c r="B65" s="36" t="n"/>
      <c r="C65" s="36" t="n"/>
      <c r="D65" s="37" t="n"/>
      <c r="E65" s="37" t="n"/>
      <c r="F65" s="37" t="n"/>
      <c r="G65" s="37" t="n"/>
      <c r="H65" s="37" t="n"/>
      <c r="I65" s="37" t="n"/>
      <c r="J65" s="37" t="n"/>
    </row>
    <row r="66" ht="24.75" customHeight="1">
      <c r="A66" s="30" t="n"/>
      <c r="B66" s="30" t="n"/>
      <c r="C66" s="30" t="n"/>
      <c r="D66" s="35" t="n"/>
      <c r="E66" s="35" t="n"/>
      <c r="F66" s="35" t="n"/>
      <c r="G66" s="35" t="n"/>
      <c r="H66" s="35" t="n"/>
      <c r="I66" s="35" t="n"/>
      <c r="J66" s="35" t="n"/>
    </row>
    <row r="67" ht="24.75" customHeight="1">
      <c r="A67" s="30" t="n"/>
      <c r="B67" s="30" t="n"/>
      <c r="C67" s="30" t="n"/>
      <c r="D67" s="35" t="n"/>
      <c r="E67" s="35" t="n"/>
      <c r="F67" s="35" t="n"/>
      <c r="G67" s="35" t="n"/>
      <c r="H67" s="35" t="n"/>
      <c r="I67" s="35" t="n"/>
      <c r="J67" s="35" t="n"/>
    </row>
    <row r="68" ht="15" customHeight="1">
      <c r="A68" s="30" t="n"/>
      <c r="B68" s="30" t="n"/>
      <c r="C68" s="30" t="n"/>
      <c r="D68" s="35" t="n"/>
      <c r="E68" s="35" t="n"/>
      <c r="F68" s="35" t="n"/>
      <c r="G68" s="35" t="n"/>
      <c r="H68" s="35" t="n"/>
      <c r="I68" s="35" t="n"/>
      <c r="J68" s="35" t="n"/>
    </row>
    <row r="69" ht="15" customHeight="1">
      <c r="A69" s="30" t="n"/>
      <c r="B69" s="30" t="n"/>
      <c r="C69" s="30" t="n"/>
      <c r="D69" s="35" t="n"/>
      <c r="E69" s="35" t="n"/>
      <c r="F69" s="35" t="n"/>
      <c r="G69" s="35" t="n"/>
      <c r="H69" s="35" t="n"/>
      <c r="I69" s="35" t="n"/>
      <c r="J69" s="35" t="n"/>
    </row>
    <row r="70" ht="24.75" customHeight="1">
      <c r="A70" s="30" t="n"/>
      <c r="B70" s="30" t="n"/>
      <c r="C70" s="30" t="n"/>
      <c r="D70" s="35" t="n"/>
      <c r="E70" s="35" t="n"/>
      <c r="F70" s="35" t="n"/>
      <c r="G70" s="35" t="n"/>
      <c r="H70" s="35" t="n"/>
      <c r="I70" s="35" t="n"/>
      <c r="J70" s="35" t="n"/>
    </row>
    <row r="71" ht="24.75" customHeight="1">
      <c r="A71" s="30" t="n"/>
      <c r="B71" s="30" t="n"/>
      <c r="C71" s="30" t="n"/>
      <c r="D71" s="35" t="n"/>
      <c r="E71" s="35" t="n"/>
      <c r="F71" s="35" t="n"/>
      <c r="G71" s="35" t="n"/>
      <c r="H71" s="35" t="n"/>
      <c r="I71" s="35" t="n"/>
      <c r="J71" s="35" t="n"/>
    </row>
    <row r="72" ht="15" customHeight="1">
      <c r="A72" s="30" t="n"/>
      <c r="B72" s="30" t="n"/>
      <c r="C72" s="30" t="n"/>
      <c r="D72" s="35" t="n"/>
      <c r="E72" s="35" t="n"/>
      <c r="F72" s="35" t="n"/>
      <c r="G72" s="35" t="n"/>
      <c r="H72" s="35" t="n"/>
      <c r="I72" s="35" t="n"/>
      <c r="J72" s="35" t="n"/>
    </row>
    <row r="73" ht="24.75" customHeight="1">
      <c r="A73" s="30" t="n"/>
      <c r="B73" s="30" t="n"/>
      <c r="C73" s="30" t="n"/>
      <c r="D73" s="35" t="n"/>
      <c r="E73" s="35" t="n"/>
      <c r="F73" s="35" t="n"/>
      <c r="G73" s="35" t="n"/>
      <c r="H73" s="35" t="n"/>
      <c r="I73" s="35" t="n"/>
      <c r="J73" s="35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dataValidations count="1">
    <dataValidation sqref="D2:J73" showDropDown="0" showInputMessage="0" showErrorMessage="0" allowBlank="1" type="list">
      <formula1>DS_Mon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J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7.75" customHeight="1">
      <c r="A2" s="30">
        <f>TKB_Nhap!A2</f>
        <v/>
      </c>
      <c r="B2" s="30">
        <f>TKB_Nhap!B2</f>
        <v/>
      </c>
      <c r="C2" s="30">
        <f>TKB_Nhap!C2</f>
        <v/>
      </c>
      <c r="D2" s="26">
        <f>IF(TKB_Nhap!D2="","",TKB_Nhap!D2&amp;CHAR(10)&amp;IF(T(INDEX(PhanCong!$B$3:$I$18,MATCH(TKB_Nhap!D2,PhanCong!$A$3:$A$18,0),MATCH($A2,PhanCong!$B$2:$I$2,0)))="","(chưa PC GV)","GV: "&amp;INDEX(PhanCong!$B$3:$I$18,MATCH(TKB_Nhap!D2,PhanCong!$A$3:$A$18,0),MATCH($A2,PhanCong!$B$2:$I$2,0))))</f>
        <v/>
      </c>
      <c r="E2" s="26">
        <f>IF(TKB_Nhap!E2="","",TKB_Nhap!E2&amp;CHAR(10)&amp;IF(T(INDEX(PhanCong!$B$3:$I$18,MATCH(TKB_Nhap!E2,PhanCong!$A$3:$A$18,0),MATCH($A2,PhanCong!$B$2:$I$2,0)))="","(chưa PC GV)","GV: "&amp;INDEX(PhanCong!$B$3:$I$18,MATCH(TKB_Nhap!E2,PhanCong!$A$3:$A$18,0),MATCH($A2,PhanCong!$B$2:$I$2,0))))</f>
        <v/>
      </c>
      <c r="F2" s="26">
        <f>IF(TKB_Nhap!F2="","",TKB_Nhap!F2&amp;CHAR(10)&amp;IF(T(INDEX(PhanCong!$B$3:$I$18,MATCH(TKB_Nhap!F2,PhanCong!$A$3:$A$18,0),MATCH($A2,PhanCong!$B$2:$I$2,0)))="","(chưa PC GV)","GV: "&amp;INDEX(PhanCong!$B$3:$I$18,MATCH(TKB_Nhap!F2,PhanCong!$A$3:$A$18,0),MATCH($A2,PhanCong!$B$2:$I$2,0))))</f>
        <v/>
      </c>
      <c r="G2" s="26">
        <f>IF(TKB_Nhap!G2="","",TKB_Nhap!G2&amp;CHAR(10)&amp;IF(T(INDEX(PhanCong!$B$3:$I$18,MATCH(TKB_Nhap!G2,PhanCong!$A$3:$A$18,0),MATCH($A2,PhanCong!$B$2:$I$2,0)))="","(chưa PC GV)","GV: "&amp;INDEX(PhanCong!$B$3:$I$18,MATCH(TKB_Nhap!G2,PhanCong!$A$3:$A$18,0),MATCH($A2,PhanCong!$B$2:$I$2,0))))</f>
        <v/>
      </c>
      <c r="H2" s="26">
        <f>IF(TKB_Nhap!H2="","",TKB_Nhap!H2&amp;CHAR(10)&amp;IF(T(INDEX(PhanCong!$B$3:$I$18,MATCH(TKB_Nhap!H2,PhanCong!$A$3:$A$18,0),MATCH($A2,PhanCong!$B$2:$I$2,0)))="","(chưa PC GV)","GV: "&amp;INDEX(PhanCong!$B$3:$I$18,MATCH(TKB_Nhap!H2,PhanCong!$A$3:$A$18,0),MATCH($A2,PhanCong!$B$2:$I$2,0))))</f>
        <v/>
      </c>
      <c r="I2" s="26">
        <f>IF(TKB_Nhap!I2="","",TKB_Nhap!I2&amp;CHAR(10)&amp;IF(T(INDEX(PhanCong!$B$3:$I$18,MATCH(TKB_Nhap!I2,PhanCong!$A$3:$A$18,0),MATCH($A2,PhanCong!$B$2:$I$2,0)))="","(chưa PC GV)","GV: "&amp;INDEX(PhanCong!$B$3:$I$18,MATCH(TKB_Nhap!I2,PhanCong!$A$3:$A$18,0),MATCH($A2,PhanCong!$B$2:$I$2,0))))</f>
        <v/>
      </c>
      <c r="J2" s="26" t="n"/>
    </row>
    <row r="3" ht="27.75" customHeight="1">
      <c r="A3" s="30">
        <f>TKB_Nhap!A3</f>
        <v/>
      </c>
      <c r="B3" s="30">
        <f>TKB_Nhap!B3</f>
        <v/>
      </c>
      <c r="C3" s="30">
        <f>TKB_Nhap!C3</f>
        <v/>
      </c>
      <c r="D3" s="26">
        <f>IF(TKB_Nhap!D3="","",TKB_Nhap!D3&amp;CHAR(10)&amp;IF(T(INDEX(PhanCong!$B$3:$I$18,MATCH(TKB_Nhap!D3,PhanCong!$A$3:$A$18,0),MATCH($A3,PhanCong!$B$2:$I$2,0)))="","(chưa PC GV)","GV: "&amp;INDEX(PhanCong!$B$3:$I$18,MATCH(TKB_Nhap!D3,PhanCong!$A$3:$A$18,0),MATCH($A3,PhanCong!$B$2:$I$2,0))))</f>
        <v/>
      </c>
      <c r="E3" s="26">
        <f>IF(TKB_Nhap!E3="","",TKB_Nhap!E3&amp;CHAR(10)&amp;IF(T(INDEX(PhanCong!$B$3:$I$18,MATCH(TKB_Nhap!E3,PhanCong!$A$3:$A$18,0),MATCH($A3,PhanCong!$B$2:$I$2,0)))="","(chưa PC GV)","GV: "&amp;INDEX(PhanCong!$B$3:$I$18,MATCH(TKB_Nhap!E3,PhanCong!$A$3:$A$18,0),MATCH($A3,PhanCong!$B$2:$I$2,0))))</f>
        <v/>
      </c>
      <c r="F3" s="26">
        <f>IF(TKB_Nhap!F3="","",TKB_Nhap!F3&amp;CHAR(10)&amp;IF(T(INDEX(PhanCong!$B$3:$I$18,MATCH(TKB_Nhap!F3,PhanCong!$A$3:$A$18,0),MATCH($A3,PhanCong!$B$2:$I$2,0)))="","(chưa PC GV)","GV: "&amp;INDEX(PhanCong!$B$3:$I$18,MATCH(TKB_Nhap!F3,PhanCong!$A$3:$A$18,0),MATCH($A3,PhanCong!$B$2:$I$2,0))))</f>
        <v/>
      </c>
      <c r="G3" s="26">
        <f>IF(TKB_Nhap!G3="","",TKB_Nhap!G3&amp;CHAR(10)&amp;IF(T(INDEX(PhanCong!$B$3:$I$18,MATCH(TKB_Nhap!G3,PhanCong!$A$3:$A$18,0),MATCH($A3,PhanCong!$B$2:$I$2,0)))="","(chưa PC GV)","GV: "&amp;INDEX(PhanCong!$B$3:$I$18,MATCH(TKB_Nhap!G3,PhanCong!$A$3:$A$18,0),MATCH($A3,PhanCong!$B$2:$I$2,0))))</f>
        <v/>
      </c>
      <c r="H3" s="26">
        <f>IF(TKB_Nhap!H3="","",TKB_Nhap!H3&amp;CHAR(10)&amp;IF(T(INDEX(PhanCong!$B$3:$I$18,MATCH(TKB_Nhap!H3,PhanCong!$A$3:$A$18,0),MATCH($A3,PhanCong!$B$2:$I$2,0)))="","(chưa PC GV)","GV: "&amp;INDEX(PhanCong!$B$3:$I$18,MATCH(TKB_Nhap!H3,PhanCong!$A$3:$A$18,0),MATCH($A3,PhanCong!$B$2:$I$2,0))))</f>
        <v/>
      </c>
      <c r="I3" s="26">
        <f>IF(TKB_Nhap!I3="","",TKB_Nhap!I3&amp;CHAR(10)&amp;IF(T(INDEX(PhanCong!$B$3:$I$18,MATCH(TKB_Nhap!I3,PhanCong!$A$3:$A$18,0),MATCH($A3,PhanCong!$B$2:$I$2,0)))="","(chưa PC GV)","GV: "&amp;INDEX(PhanCong!$B$3:$I$18,MATCH(TKB_Nhap!I3,PhanCong!$A$3:$A$18,0),MATCH($A3,PhanCong!$B$2:$I$2,0))))</f>
        <v/>
      </c>
      <c r="J3" s="26" t="n"/>
    </row>
    <row r="4" ht="27.75" customHeight="1">
      <c r="A4" s="30">
        <f>TKB_Nhap!A4</f>
        <v/>
      </c>
      <c r="B4" s="30">
        <f>TKB_Nhap!B4</f>
        <v/>
      </c>
      <c r="C4" s="30">
        <f>TKB_Nhap!C4</f>
        <v/>
      </c>
      <c r="D4" s="26">
        <f>IF(TKB_Nhap!D4="","",TKB_Nhap!D4&amp;CHAR(10)&amp;IF(T(INDEX(PhanCong!$B$3:$I$18,MATCH(TKB_Nhap!D4,PhanCong!$A$3:$A$18,0),MATCH($A4,PhanCong!$B$2:$I$2,0)))="","(chưa PC GV)","GV: "&amp;INDEX(PhanCong!$B$3:$I$18,MATCH(TKB_Nhap!D4,PhanCong!$A$3:$A$18,0),MATCH($A4,PhanCong!$B$2:$I$2,0))))</f>
        <v/>
      </c>
      <c r="E4" s="26">
        <f>IF(TKB_Nhap!E4="","",TKB_Nhap!E4&amp;CHAR(10)&amp;IF(T(INDEX(PhanCong!$B$3:$I$18,MATCH(TKB_Nhap!E4,PhanCong!$A$3:$A$18,0),MATCH($A4,PhanCong!$B$2:$I$2,0)))="","(chưa PC GV)","GV: "&amp;INDEX(PhanCong!$B$3:$I$18,MATCH(TKB_Nhap!E4,PhanCong!$A$3:$A$18,0),MATCH($A4,PhanCong!$B$2:$I$2,0))))</f>
        <v/>
      </c>
      <c r="F4" s="26">
        <f>IF(TKB_Nhap!F4="","",TKB_Nhap!F4&amp;CHAR(10)&amp;IF(T(INDEX(PhanCong!$B$3:$I$18,MATCH(TKB_Nhap!F4,PhanCong!$A$3:$A$18,0),MATCH($A4,PhanCong!$B$2:$I$2,0)))="","(chưa PC GV)","GV: "&amp;INDEX(PhanCong!$B$3:$I$18,MATCH(TKB_Nhap!F4,PhanCong!$A$3:$A$18,0),MATCH($A4,PhanCong!$B$2:$I$2,0))))</f>
        <v/>
      </c>
      <c r="G4" s="26">
        <f>IF(TKB_Nhap!G4="","",TKB_Nhap!G4&amp;CHAR(10)&amp;IF(T(INDEX(PhanCong!$B$3:$I$18,MATCH(TKB_Nhap!G4,PhanCong!$A$3:$A$18,0),MATCH($A4,PhanCong!$B$2:$I$2,0)))="","(chưa PC GV)","GV: "&amp;INDEX(PhanCong!$B$3:$I$18,MATCH(TKB_Nhap!G4,PhanCong!$A$3:$A$18,0),MATCH($A4,PhanCong!$B$2:$I$2,0))))</f>
        <v/>
      </c>
      <c r="H4" s="26">
        <f>IF(TKB_Nhap!H4="","",TKB_Nhap!H4&amp;CHAR(10)&amp;IF(T(INDEX(PhanCong!$B$3:$I$18,MATCH(TKB_Nhap!H4,PhanCong!$A$3:$A$18,0),MATCH($A4,PhanCong!$B$2:$I$2,0)))="","(chưa PC GV)","GV: "&amp;INDEX(PhanCong!$B$3:$I$18,MATCH(TKB_Nhap!H4,PhanCong!$A$3:$A$18,0),MATCH($A4,PhanCong!$B$2:$I$2,0))))</f>
        <v/>
      </c>
      <c r="I4" s="26">
        <f>IF(TKB_Nhap!I4="","",TKB_Nhap!I4&amp;CHAR(10)&amp;IF(T(INDEX(PhanCong!$B$3:$I$18,MATCH(TKB_Nhap!I4,PhanCong!$A$3:$A$18,0),MATCH($A4,PhanCong!$B$2:$I$2,0)))="","(chưa PC GV)","GV: "&amp;INDEX(PhanCong!$B$3:$I$18,MATCH(TKB_Nhap!I4,PhanCong!$A$3:$A$18,0),MATCH($A4,PhanCong!$B$2:$I$2,0))))</f>
        <v/>
      </c>
      <c r="J4" s="26" t="n"/>
    </row>
    <row r="5" ht="27.75" customHeight="1">
      <c r="A5" s="30">
        <f>TKB_Nhap!A5</f>
        <v/>
      </c>
      <c r="B5" s="30">
        <f>TKB_Nhap!B5</f>
        <v/>
      </c>
      <c r="C5" s="30">
        <f>TKB_Nhap!C5</f>
        <v/>
      </c>
      <c r="D5" s="26">
        <f>IF(TKB_Nhap!D5="","",TKB_Nhap!D5&amp;CHAR(10)&amp;IF(T(INDEX(PhanCong!$B$3:$I$18,MATCH(TKB_Nhap!D5,PhanCong!$A$3:$A$18,0),MATCH($A5,PhanCong!$B$2:$I$2,0)))="","(chưa PC GV)","GV: "&amp;INDEX(PhanCong!$B$3:$I$18,MATCH(TKB_Nhap!D5,PhanCong!$A$3:$A$18,0),MATCH($A5,PhanCong!$B$2:$I$2,0))))</f>
        <v/>
      </c>
      <c r="E5" s="26">
        <f>IF(TKB_Nhap!E5="","",TKB_Nhap!E5&amp;CHAR(10)&amp;IF(T(INDEX(PhanCong!$B$3:$I$18,MATCH(TKB_Nhap!E5,PhanCong!$A$3:$A$18,0),MATCH($A5,PhanCong!$B$2:$I$2,0)))="","(chưa PC GV)","GV: "&amp;INDEX(PhanCong!$B$3:$I$18,MATCH(TKB_Nhap!E5,PhanCong!$A$3:$A$18,0),MATCH($A5,PhanCong!$B$2:$I$2,0))))</f>
        <v/>
      </c>
      <c r="F5" s="26">
        <f>IF(TKB_Nhap!F5="","",TKB_Nhap!F5&amp;CHAR(10)&amp;IF(T(INDEX(PhanCong!$B$3:$I$18,MATCH(TKB_Nhap!F5,PhanCong!$A$3:$A$18,0),MATCH($A5,PhanCong!$B$2:$I$2,0)))="","(chưa PC GV)","GV: "&amp;INDEX(PhanCong!$B$3:$I$18,MATCH(TKB_Nhap!F5,PhanCong!$A$3:$A$18,0),MATCH($A5,PhanCong!$B$2:$I$2,0))))</f>
        <v/>
      </c>
      <c r="G5" s="26">
        <f>IF(TKB_Nhap!G5="","",TKB_Nhap!G5&amp;CHAR(10)&amp;IF(T(INDEX(PhanCong!$B$3:$I$18,MATCH(TKB_Nhap!G5,PhanCong!$A$3:$A$18,0),MATCH($A5,PhanCong!$B$2:$I$2,0)))="","(chưa PC GV)","GV: "&amp;INDEX(PhanCong!$B$3:$I$18,MATCH(TKB_Nhap!G5,PhanCong!$A$3:$A$18,0),MATCH($A5,PhanCong!$B$2:$I$2,0))))</f>
        <v/>
      </c>
      <c r="H5" s="26">
        <f>IF(TKB_Nhap!H5="","",TKB_Nhap!H5&amp;CHAR(10)&amp;IF(T(INDEX(PhanCong!$B$3:$I$18,MATCH(TKB_Nhap!H5,PhanCong!$A$3:$A$18,0),MATCH($A5,PhanCong!$B$2:$I$2,0)))="","(chưa PC GV)","GV: "&amp;INDEX(PhanCong!$B$3:$I$18,MATCH(TKB_Nhap!H5,PhanCong!$A$3:$A$18,0),MATCH($A5,PhanCong!$B$2:$I$2,0))))</f>
        <v/>
      </c>
      <c r="I5" s="26">
        <f>IF(TKB_Nhap!I5="","",TKB_Nhap!I5&amp;CHAR(10)&amp;IF(T(INDEX(PhanCong!$B$3:$I$18,MATCH(TKB_Nhap!I5,PhanCong!$A$3:$A$18,0),MATCH($A5,PhanCong!$B$2:$I$2,0)))="","(chưa PC GV)","GV: "&amp;INDEX(PhanCong!$B$3:$I$18,MATCH(TKB_Nhap!I5,PhanCong!$A$3:$A$18,0),MATCH($A5,PhanCong!$B$2:$I$2,0))))</f>
        <v/>
      </c>
      <c r="J5" s="26" t="n"/>
    </row>
    <row r="6" ht="27.75" customHeight="1">
      <c r="A6" s="30">
        <f>TKB_Nhap!A6</f>
        <v/>
      </c>
      <c r="B6" s="30">
        <f>TKB_Nhap!B6</f>
        <v/>
      </c>
      <c r="C6" s="30">
        <f>TKB_Nhap!C6</f>
        <v/>
      </c>
      <c r="D6" s="26">
        <f>IF(TKB_Nhap!D6="","",TKB_Nhap!D6&amp;CHAR(10)&amp;IF(T(INDEX(PhanCong!$B$3:$I$18,MATCH(TKB_Nhap!D6,PhanCong!$A$3:$A$18,0),MATCH($A6,PhanCong!$B$2:$I$2,0)))="","(chưa PC GV)","GV: "&amp;INDEX(PhanCong!$B$3:$I$18,MATCH(TKB_Nhap!D6,PhanCong!$A$3:$A$18,0),MATCH($A6,PhanCong!$B$2:$I$2,0))))</f>
        <v/>
      </c>
      <c r="E6" s="26">
        <f>IF(TKB_Nhap!E6="","",TKB_Nhap!E6&amp;CHAR(10)&amp;IF(T(INDEX(PhanCong!$B$3:$I$18,MATCH(TKB_Nhap!E6,PhanCong!$A$3:$A$18,0),MATCH($A6,PhanCong!$B$2:$I$2,0)))="","(chưa PC GV)","GV: "&amp;INDEX(PhanCong!$B$3:$I$18,MATCH(TKB_Nhap!E6,PhanCong!$A$3:$A$18,0),MATCH($A6,PhanCong!$B$2:$I$2,0))))</f>
        <v/>
      </c>
      <c r="F6" s="26">
        <f>IF(TKB_Nhap!F6="","",TKB_Nhap!F6&amp;CHAR(10)&amp;IF(T(INDEX(PhanCong!$B$3:$I$18,MATCH(TKB_Nhap!F6,PhanCong!$A$3:$A$18,0),MATCH($A6,PhanCong!$B$2:$I$2,0)))="","(chưa PC GV)","GV: "&amp;INDEX(PhanCong!$B$3:$I$18,MATCH(TKB_Nhap!F6,PhanCong!$A$3:$A$18,0),MATCH($A6,PhanCong!$B$2:$I$2,0))))</f>
        <v/>
      </c>
      <c r="G6" s="26">
        <f>IF(TKB_Nhap!G6="","",TKB_Nhap!G6&amp;CHAR(10)&amp;IF(T(INDEX(PhanCong!$B$3:$I$18,MATCH(TKB_Nhap!G6,PhanCong!$A$3:$A$18,0),MATCH($A6,PhanCong!$B$2:$I$2,0)))="","(chưa PC GV)","GV: "&amp;INDEX(PhanCong!$B$3:$I$18,MATCH(TKB_Nhap!G6,PhanCong!$A$3:$A$18,0),MATCH($A6,PhanCong!$B$2:$I$2,0))))</f>
        <v/>
      </c>
      <c r="H6" s="26">
        <f>IF(TKB_Nhap!H6="","",TKB_Nhap!H6&amp;CHAR(10)&amp;IF(T(INDEX(PhanCong!$B$3:$I$18,MATCH(TKB_Nhap!H6,PhanCong!$A$3:$A$18,0),MATCH($A6,PhanCong!$B$2:$I$2,0)))="","(chưa PC GV)","GV: "&amp;INDEX(PhanCong!$B$3:$I$18,MATCH(TKB_Nhap!H6,PhanCong!$A$3:$A$18,0),MATCH($A6,PhanCong!$B$2:$I$2,0))))</f>
        <v/>
      </c>
      <c r="I6" s="26">
        <f>IF(TKB_Nhap!I6="","",TKB_Nhap!I6&amp;CHAR(10)&amp;IF(T(INDEX(PhanCong!$B$3:$I$18,MATCH(TKB_Nhap!I6,PhanCong!$A$3:$A$18,0),MATCH($A6,PhanCong!$B$2:$I$2,0)))="","(chưa PC GV)","GV: "&amp;INDEX(PhanCong!$B$3:$I$18,MATCH(TKB_Nhap!I6,PhanCong!$A$3:$A$18,0),MATCH($A6,PhanCong!$B$2:$I$2,0))))</f>
        <v/>
      </c>
      <c r="J6" s="26" t="n"/>
    </row>
    <row r="7" ht="27.75" customHeight="1">
      <c r="A7" s="30">
        <f>TKB_Nhap!A7</f>
        <v/>
      </c>
      <c r="B7" s="30">
        <f>TKB_Nhap!B7</f>
        <v/>
      </c>
      <c r="C7" s="30">
        <f>TKB_Nhap!C7</f>
        <v/>
      </c>
      <c r="D7" s="26">
        <f>IF(TKB_Nhap!D7="","",TKB_Nhap!D7&amp;CHAR(10)&amp;IF(T(INDEX(PhanCong!$B$3:$I$18,MATCH(TKB_Nhap!D7,PhanCong!$A$3:$A$18,0),MATCH($A7,PhanCong!$B$2:$I$2,0)))="","(chưa PC GV)","GV: "&amp;INDEX(PhanCong!$B$3:$I$18,MATCH(TKB_Nhap!D7,PhanCong!$A$3:$A$18,0),MATCH($A7,PhanCong!$B$2:$I$2,0))))</f>
        <v/>
      </c>
      <c r="E7" s="26">
        <f>IF(TKB_Nhap!E7="","",TKB_Nhap!E7&amp;CHAR(10)&amp;IF(T(INDEX(PhanCong!$B$3:$I$18,MATCH(TKB_Nhap!E7,PhanCong!$A$3:$A$18,0),MATCH($A7,PhanCong!$B$2:$I$2,0)))="","(chưa PC GV)","GV: "&amp;INDEX(PhanCong!$B$3:$I$18,MATCH(TKB_Nhap!E7,PhanCong!$A$3:$A$18,0),MATCH($A7,PhanCong!$B$2:$I$2,0))))</f>
        <v/>
      </c>
      <c r="F7" s="26">
        <f>IF(TKB_Nhap!F7="","",TKB_Nhap!F7&amp;CHAR(10)&amp;IF(T(INDEX(PhanCong!$B$3:$I$18,MATCH(TKB_Nhap!F7,PhanCong!$A$3:$A$18,0),MATCH($A7,PhanCong!$B$2:$I$2,0)))="","(chưa PC GV)","GV: "&amp;INDEX(PhanCong!$B$3:$I$18,MATCH(TKB_Nhap!F7,PhanCong!$A$3:$A$18,0),MATCH($A7,PhanCong!$B$2:$I$2,0))))</f>
        <v/>
      </c>
      <c r="G7" s="26">
        <f>IF(TKB_Nhap!G7="","",TKB_Nhap!G7&amp;CHAR(10)&amp;IF(T(INDEX(PhanCong!$B$3:$I$18,MATCH(TKB_Nhap!G7,PhanCong!$A$3:$A$18,0),MATCH($A7,PhanCong!$B$2:$I$2,0)))="","(chưa PC GV)","GV: "&amp;INDEX(PhanCong!$B$3:$I$18,MATCH(TKB_Nhap!G7,PhanCong!$A$3:$A$18,0),MATCH($A7,PhanCong!$B$2:$I$2,0))))</f>
        <v/>
      </c>
      <c r="H7" s="26">
        <f>IF(TKB_Nhap!H7="","",TKB_Nhap!H7&amp;CHAR(10)&amp;IF(T(INDEX(PhanCong!$B$3:$I$18,MATCH(TKB_Nhap!H7,PhanCong!$A$3:$A$18,0),MATCH($A7,PhanCong!$B$2:$I$2,0)))="","(chưa PC GV)","GV: "&amp;INDEX(PhanCong!$B$3:$I$18,MATCH(TKB_Nhap!H7,PhanCong!$A$3:$A$18,0),MATCH($A7,PhanCong!$B$2:$I$2,0))))</f>
        <v/>
      </c>
      <c r="I7" s="26">
        <f>IF(TKB_Nhap!I7="","",TKB_Nhap!I7&amp;CHAR(10)&amp;IF(T(INDEX(PhanCong!$B$3:$I$18,MATCH(TKB_Nhap!I7,PhanCong!$A$3:$A$18,0),MATCH($A7,PhanCong!$B$2:$I$2,0)))="","(chưa PC GV)","GV: "&amp;INDEX(PhanCong!$B$3:$I$18,MATCH(TKB_Nhap!I7,PhanCong!$A$3:$A$18,0),MATCH($A7,PhanCong!$B$2:$I$2,0))))</f>
        <v/>
      </c>
      <c r="J7" s="26" t="n"/>
    </row>
    <row r="8" ht="27.75" customHeight="1">
      <c r="A8" s="30">
        <f>TKB_Nhap!A8</f>
        <v/>
      </c>
      <c r="B8" s="30">
        <f>TKB_Nhap!B8</f>
        <v/>
      </c>
      <c r="C8" s="30">
        <f>TKB_Nhap!C8</f>
        <v/>
      </c>
      <c r="D8" s="26">
        <f>IF(TKB_Nhap!D8="","",TKB_Nhap!D8&amp;CHAR(10)&amp;IF(T(INDEX(PhanCong!$B$3:$I$18,MATCH(TKB_Nhap!D8,PhanCong!$A$3:$A$18,0),MATCH($A8,PhanCong!$B$2:$I$2,0)))="","(chưa PC GV)","GV: "&amp;INDEX(PhanCong!$B$3:$I$18,MATCH(TKB_Nhap!D8,PhanCong!$A$3:$A$18,0),MATCH($A8,PhanCong!$B$2:$I$2,0))))</f>
        <v/>
      </c>
      <c r="E8" s="26">
        <f>IF(TKB_Nhap!E8="","",TKB_Nhap!E8&amp;CHAR(10)&amp;IF(T(INDEX(PhanCong!$B$3:$I$18,MATCH(TKB_Nhap!E8,PhanCong!$A$3:$A$18,0),MATCH($A8,PhanCong!$B$2:$I$2,0)))="","(chưa PC GV)","GV: "&amp;INDEX(PhanCong!$B$3:$I$18,MATCH(TKB_Nhap!E8,PhanCong!$A$3:$A$18,0),MATCH($A8,PhanCong!$B$2:$I$2,0))))</f>
        <v/>
      </c>
      <c r="F8" s="26">
        <f>IF(TKB_Nhap!F8="","",TKB_Nhap!F8&amp;CHAR(10)&amp;IF(T(INDEX(PhanCong!$B$3:$I$18,MATCH(TKB_Nhap!F8,PhanCong!$A$3:$A$18,0),MATCH($A8,PhanCong!$B$2:$I$2,0)))="","(chưa PC GV)","GV: "&amp;INDEX(PhanCong!$B$3:$I$18,MATCH(TKB_Nhap!F8,PhanCong!$A$3:$A$18,0),MATCH($A8,PhanCong!$B$2:$I$2,0))))</f>
        <v/>
      </c>
      <c r="G8" s="26">
        <f>IF(TKB_Nhap!G8="","",TKB_Nhap!G8&amp;CHAR(10)&amp;IF(T(INDEX(PhanCong!$B$3:$I$18,MATCH(TKB_Nhap!G8,PhanCong!$A$3:$A$18,0),MATCH($A8,PhanCong!$B$2:$I$2,0)))="","(chưa PC GV)","GV: "&amp;INDEX(PhanCong!$B$3:$I$18,MATCH(TKB_Nhap!G8,PhanCong!$A$3:$A$18,0),MATCH($A8,PhanCong!$B$2:$I$2,0))))</f>
        <v/>
      </c>
      <c r="H8" s="26">
        <f>IF(TKB_Nhap!H8="","",TKB_Nhap!H8&amp;CHAR(10)&amp;IF(T(INDEX(PhanCong!$B$3:$I$18,MATCH(TKB_Nhap!H8,PhanCong!$A$3:$A$18,0),MATCH($A8,PhanCong!$B$2:$I$2,0)))="","(chưa PC GV)","GV: "&amp;INDEX(PhanCong!$B$3:$I$18,MATCH(TKB_Nhap!H8,PhanCong!$A$3:$A$18,0),MATCH($A8,PhanCong!$B$2:$I$2,0))))</f>
        <v/>
      </c>
      <c r="I8" s="26">
        <f>IF(TKB_Nhap!I8="","",TKB_Nhap!I8&amp;CHAR(10)&amp;IF(T(INDEX(PhanCong!$B$3:$I$18,MATCH(TKB_Nhap!I8,PhanCong!$A$3:$A$18,0),MATCH($A8,PhanCong!$B$2:$I$2,0)))="","(chưa PC GV)","GV: "&amp;INDEX(PhanCong!$B$3:$I$18,MATCH(TKB_Nhap!I8,PhanCong!$A$3:$A$18,0),MATCH($A8,PhanCong!$B$2:$I$2,0))))</f>
        <v/>
      </c>
      <c r="J8" s="26" t="n"/>
    </row>
    <row r="9" ht="27.75" customHeight="1">
      <c r="A9" s="30">
        <f>TKB_Nhap!A9</f>
        <v/>
      </c>
      <c r="B9" s="30">
        <f>TKB_Nhap!B9</f>
        <v/>
      </c>
      <c r="C9" s="30">
        <f>TKB_Nhap!C9</f>
        <v/>
      </c>
      <c r="D9" s="26">
        <f>IF(TKB_Nhap!D9="","",TKB_Nhap!D9&amp;CHAR(10)&amp;IF(T(INDEX(PhanCong!$B$3:$I$18,MATCH(TKB_Nhap!D9,PhanCong!$A$3:$A$18,0),MATCH($A9,PhanCong!$B$2:$I$2,0)))="","(chưa PC GV)","GV: "&amp;INDEX(PhanCong!$B$3:$I$18,MATCH(TKB_Nhap!D9,PhanCong!$A$3:$A$18,0),MATCH($A9,PhanCong!$B$2:$I$2,0))))</f>
        <v/>
      </c>
      <c r="E9" s="26">
        <f>IF(TKB_Nhap!E9="","",TKB_Nhap!E9&amp;CHAR(10)&amp;IF(T(INDEX(PhanCong!$B$3:$I$18,MATCH(TKB_Nhap!E9,PhanCong!$A$3:$A$18,0),MATCH($A9,PhanCong!$B$2:$I$2,0)))="","(chưa PC GV)","GV: "&amp;INDEX(PhanCong!$B$3:$I$18,MATCH(TKB_Nhap!E9,PhanCong!$A$3:$A$18,0),MATCH($A9,PhanCong!$B$2:$I$2,0))))</f>
        <v/>
      </c>
      <c r="F9" s="26">
        <f>IF(TKB_Nhap!F9="","",TKB_Nhap!F9&amp;CHAR(10)&amp;IF(T(INDEX(PhanCong!$B$3:$I$18,MATCH(TKB_Nhap!F9,PhanCong!$A$3:$A$18,0),MATCH($A9,PhanCong!$B$2:$I$2,0)))="","(chưa PC GV)","GV: "&amp;INDEX(PhanCong!$B$3:$I$18,MATCH(TKB_Nhap!F9,PhanCong!$A$3:$A$18,0),MATCH($A9,PhanCong!$B$2:$I$2,0))))</f>
        <v/>
      </c>
      <c r="G9" s="26">
        <f>IF(TKB_Nhap!G9="","",TKB_Nhap!G9&amp;CHAR(10)&amp;IF(T(INDEX(PhanCong!$B$3:$I$18,MATCH(TKB_Nhap!G9,PhanCong!$A$3:$A$18,0),MATCH($A9,PhanCong!$B$2:$I$2,0)))="","(chưa PC GV)","GV: "&amp;INDEX(PhanCong!$B$3:$I$18,MATCH(TKB_Nhap!G9,PhanCong!$A$3:$A$18,0),MATCH($A9,PhanCong!$B$2:$I$2,0))))</f>
        <v/>
      </c>
      <c r="H9" s="26">
        <f>IF(TKB_Nhap!H9="","",TKB_Nhap!H9&amp;CHAR(10)&amp;IF(T(INDEX(PhanCong!$B$3:$I$18,MATCH(TKB_Nhap!H9,PhanCong!$A$3:$A$18,0),MATCH($A9,PhanCong!$B$2:$I$2,0)))="","(chưa PC GV)","GV: "&amp;INDEX(PhanCong!$B$3:$I$18,MATCH(TKB_Nhap!H9,PhanCong!$A$3:$A$18,0),MATCH($A9,PhanCong!$B$2:$I$2,0))))</f>
        <v/>
      </c>
      <c r="I9" s="26">
        <f>IF(TKB_Nhap!I9="","",TKB_Nhap!I9&amp;CHAR(10)&amp;IF(T(INDEX(PhanCong!$B$3:$I$18,MATCH(TKB_Nhap!I9,PhanCong!$A$3:$A$18,0),MATCH($A9,PhanCong!$B$2:$I$2,0)))="","(chưa PC GV)","GV: "&amp;INDEX(PhanCong!$B$3:$I$18,MATCH(TKB_Nhap!I9,PhanCong!$A$3:$A$18,0),MATCH($A9,PhanCong!$B$2:$I$2,0))))</f>
        <v/>
      </c>
      <c r="J9" s="26" t="n"/>
    </row>
    <row r="10" ht="27.75" customHeight="1">
      <c r="A10" s="36">
        <f>TKB_Nhap!A10</f>
        <v/>
      </c>
      <c r="B10" s="36">
        <f>TKB_Nhap!B10</f>
        <v/>
      </c>
      <c r="C10" s="36">
        <f>TKB_Nhap!C10</f>
        <v/>
      </c>
      <c r="D10" s="38">
        <f>IF(TKB_Nhap!D10="","",TKB_Nhap!D10&amp;CHAR(10)&amp;IF(T(INDEX(PhanCong!$B$3:$I$18,MATCH(TKB_Nhap!D10,PhanCong!$A$3:$A$18,0),MATCH($A10,PhanCong!$B$2:$I$2,0)))="","(chưa PC GV)","GV: "&amp;INDEX(PhanCong!$B$3:$I$18,MATCH(TKB_Nhap!D10,PhanCong!$A$3:$A$18,0),MATCH($A10,PhanCong!$B$2:$I$2,0))))</f>
        <v/>
      </c>
      <c r="E10" s="38">
        <f>IF(TKB_Nhap!E10="","",TKB_Nhap!E10&amp;CHAR(10)&amp;IF(T(INDEX(PhanCong!$B$3:$I$18,MATCH(TKB_Nhap!E10,PhanCong!$A$3:$A$18,0),MATCH($A10,PhanCong!$B$2:$I$2,0)))="","(chưa PC GV)","GV: "&amp;INDEX(PhanCong!$B$3:$I$18,MATCH(TKB_Nhap!E10,PhanCong!$A$3:$A$18,0),MATCH($A10,PhanCong!$B$2:$I$2,0))))</f>
        <v/>
      </c>
      <c r="F10" s="38">
        <f>IF(TKB_Nhap!F10="","",TKB_Nhap!F10&amp;CHAR(10)&amp;IF(T(INDEX(PhanCong!$B$3:$I$18,MATCH(TKB_Nhap!F10,PhanCong!$A$3:$A$18,0),MATCH($A10,PhanCong!$B$2:$I$2,0)))="","(chưa PC GV)","GV: "&amp;INDEX(PhanCong!$B$3:$I$18,MATCH(TKB_Nhap!F10,PhanCong!$A$3:$A$18,0),MATCH($A10,PhanCong!$B$2:$I$2,0))))</f>
        <v/>
      </c>
      <c r="G10" s="38">
        <f>IF(TKB_Nhap!G10="","",TKB_Nhap!G10&amp;CHAR(10)&amp;IF(T(INDEX(PhanCong!$B$3:$I$18,MATCH(TKB_Nhap!G10,PhanCong!$A$3:$A$18,0),MATCH($A10,PhanCong!$B$2:$I$2,0)))="","(chưa PC GV)","GV: "&amp;INDEX(PhanCong!$B$3:$I$18,MATCH(TKB_Nhap!G10,PhanCong!$A$3:$A$18,0),MATCH($A10,PhanCong!$B$2:$I$2,0))))</f>
        <v/>
      </c>
      <c r="H10" s="38">
        <f>IF(TKB_Nhap!H10="","",TKB_Nhap!H10&amp;CHAR(10)&amp;IF(T(INDEX(PhanCong!$B$3:$I$18,MATCH(TKB_Nhap!H10,PhanCong!$A$3:$A$18,0),MATCH($A10,PhanCong!$B$2:$I$2,0)))="","(chưa PC GV)","GV: "&amp;INDEX(PhanCong!$B$3:$I$18,MATCH(TKB_Nhap!H10,PhanCong!$A$3:$A$18,0),MATCH($A10,PhanCong!$B$2:$I$2,0))))</f>
        <v/>
      </c>
      <c r="I10" s="38">
        <f>IF(TKB_Nhap!I10="","",TKB_Nhap!I10&amp;CHAR(10)&amp;IF(T(INDEX(PhanCong!$B$3:$I$18,MATCH(TKB_Nhap!I10,PhanCong!$A$3:$A$18,0),MATCH($A10,PhanCong!$B$2:$I$2,0)))="","(chưa PC GV)","GV: "&amp;INDEX(PhanCong!$B$3:$I$18,MATCH(TKB_Nhap!I10,PhanCong!$A$3:$A$18,0),MATCH($A10,PhanCong!$B$2:$I$2,0))))</f>
        <v/>
      </c>
      <c r="J10" s="38" t="n"/>
    </row>
    <row r="11" ht="27.75" customHeight="1">
      <c r="A11" s="36">
        <f>TKB_Nhap!A11</f>
        <v/>
      </c>
      <c r="B11" s="36">
        <f>TKB_Nhap!B11</f>
        <v/>
      </c>
      <c r="C11" s="36">
        <f>TKB_Nhap!C11</f>
        <v/>
      </c>
      <c r="D11" s="38">
        <f>IF(TKB_Nhap!D11="","",TKB_Nhap!D11&amp;CHAR(10)&amp;IF(T(INDEX(PhanCong!$B$3:$I$18,MATCH(TKB_Nhap!D11,PhanCong!$A$3:$A$18,0),MATCH($A11,PhanCong!$B$2:$I$2,0)))="","(chưa PC GV)","GV: "&amp;INDEX(PhanCong!$B$3:$I$18,MATCH(TKB_Nhap!D11,PhanCong!$A$3:$A$18,0),MATCH($A11,PhanCong!$B$2:$I$2,0))))</f>
        <v/>
      </c>
      <c r="E11" s="38">
        <f>IF(TKB_Nhap!E11="","",TKB_Nhap!E11&amp;CHAR(10)&amp;IF(T(INDEX(PhanCong!$B$3:$I$18,MATCH(TKB_Nhap!E11,PhanCong!$A$3:$A$18,0),MATCH($A11,PhanCong!$B$2:$I$2,0)))="","(chưa PC GV)","GV: "&amp;INDEX(PhanCong!$B$3:$I$18,MATCH(TKB_Nhap!E11,PhanCong!$A$3:$A$18,0),MATCH($A11,PhanCong!$B$2:$I$2,0))))</f>
        <v/>
      </c>
      <c r="F11" s="38">
        <f>IF(TKB_Nhap!F11="","",TKB_Nhap!F11&amp;CHAR(10)&amp;IF(T(INDEX(PhanCong!$B$3:$I$18,MATCH(TKB_Nhap!F11,PhanCong!$A$3:$A$18,0),MATCH($A11,PhanCong!$B$2:$I$2,0)))="","(chưa PC GV)","GV: "&amp;INDEX(PhanCong!$B$3:$I$18,MATCH(TKB_Nhap!F11,PhanCong!$A$3:$A$18,0),MATCH($A11,PhanCong!$B$2:$I$2,0))))</f>
        <v/>
      </c>
      <c r="G11" s="38">
        <f>IF(TKB_Nhap!G11="","",TKB_Nhap!G11&amp;CHAR(10)&amp;IF(T(INDEX(PhanCong!$B$3:$I$18,MATCH(TKB_Nhap!G11,PhanCong!$A$3:$A$18,0),MATCH($A11,PhanCong!$B$2:$I$2,0)))="","(chưa PC GV)","GV: "&amp;INDEX(PhanCong!$B$3:$I$18,MATCH(TKB_Nhap!G11,PhanCong!$A$3:$A$18,0),MATCH($A11,PhanCong!$B$2:$I$2,0))))</f>
        <v/>
      </c>
      <c r="H11" s="38">
        <f>IF(TKB_Nhap!H11="","",TKB_Nhap!H11&amp;CHAR(10)&amp;IF(T(INDEX(PhanCong!$B$3:$I$18,MATCH(TKB_Nhap!H11,PhanCong!$A$3:$A$18,0),MATCH($A11,PhanCong!$B$2:$I$2,0)))="","(chưa PC GV)","GV: "&amp;INDEX(PhanCong!$B$3:$I$18,MATCH(TKB_Nhap!H11,PhanCong!$A$3:$A$18,0),MATCH($A11,PhanCong!$B$2:$I$2,0))))</f>
        <v/>
      </c>
      <c r="I11" s="38">
        <f>IF(TKB_Nhap!I11="","",TKB_Nhap!I11&amp;CHAR(10)&amp;IF(T(INDEX(PhanCong!$B$3:$I$18,MATCH(TKB_Nhap!I11,PhanCong!$A$3:$A$18,0),MATCH($A11,PhanCong!$B$2:$I$2,0)))="","(chưa PC GV)","GV: "&amp;INDEX(PhanCong!$B$3:$I$18,MATCH(TKB_Nhap!I11,PhanCong!$A$3:$A$18,0),MATCH($A11,PhanCong!$B$2:$I$2,0))))</f>
        <v/>
      </c>
      <c r="J11" s="38" t="n"/>
    </row>
    <row r="12" ht="27.75" customHeight="1">
      <c r="A12" s="36">
        <f>TKB_Nhap!A12</f>
        <v/>
      </c>
      <c r="B12" s="36">
        <f>TKB_Nhap!B12</f>
        <v/>
      </c>
      <c r="C12" s="36">
        <f>TKB_Nhap!C12</f>
        <v/>
      </c>
      <c r="D12" s="38">
        <f>IF(TKB_Nhap!D12="","",TKB_Nhap!D12&amp;CHAR(10)&amp;IF(T(INDEX(PhanCong!$B$3:$I$18,MATCH(TKB_Nhap!D12,PhanCong!$A$3:$A$18,0),MATCH($A12,PhanCong!$B$2:$I$2,0)))="","(chưa PC GV)","GV: "&amp;INDEX(PhanCong!$B$3:$I$18,MATCH(TKB_Nhap!D12,PhanCong!$A$3:$A$18,0),MATCH($A12,PhanCong!$B$2:$I$2,0))))</f>
        <v/>
      </c>
      <c r="E12" s="38">
        <f>IF(TKB_Nhap!E12="","",TKB_Nhap!E12&amp;CHAR(10)&amp;IF(T(INDEX(PhanCong!$B$3:$I$18,MATCH(TKB_Nhap!E12,PhanCong!$A$3:$A$18,0),MATCH($A12,PhanCong!$B$2:$I$2,0)))="","(chưa PC GV)","GV: "&amp;INDEX(PhanCong!$B$3:$I$18,MATCH(TKB_Nhap!E12,PhanCong!$A$3:$A$18,0),MATCH($A12,PhanCong!$B$2:$I$2,0))))</f>
        <v/>
      </c>
      <c r="F12" s="38">
        <f>IF(TKB_Nhap!F12="","",TKB_Nhap!F12&amp;CHAR(10)&amp;IF(T(INDEX(PhanCong!$B$3:$I$18,MATCH(TKB_Nhap!F12,PhanCong!$A$3:$A$18,0),MATCH($A12,PhanCong!$B$2:$I$2,0)))="","(chưa PC GV)","GV: "&amp;INDEX(PhanCong!$B$3:$I$18,MATCH(TKB_Nhap!F12,PhanCong!$A$3:$A$18,0),MATCH($A12,PhanCong!$B$2:$I$2,0))))</f>
        <v/>
      </c>
      <c r="G12" s="38">
        <f>IF(TKB_Nhap!G12="","",TKB_Nhap!G12&amp;CHAR(10)&amp;IF(T(INDEX(PhanCong!$B$3:$I$18,MATCH(TKB_Nhap!G12,PhanCong!$A$3:$A$18,0),MATCH($A12,PhanCong!$B$2:$I$2,0)))="","(chưa PC GV)","GV: "&amp;INDEX(PhanCong!$B$3:$I$18,MATCH(TKB_Nhap!G12,PhanCong!$A$3:$A$18,0),MATCH($A12,PhanCong!$B$2:$I$2,0))))</f>
        <v/>
      </c>
      <c r="H12" s="38">
        <f>IF(TKB_Nhap!H12="","",TKB_Nhap!H12&amp;CHAR(10)&amp;IF(T(INDEX(PhanCong!$B$3:$I$18,MATCH(TKB_Nhap!H12,PhanCong!$A$3:$A$18,0),MATCH($A12,PhanCong!$B$2:$I$2,0)))="","(chưa PC GV)","GV: "&amp;INDEX(PhanCong!$B$3:$I$18,MATCH(TKB_Nhap!H12,PhanCong!$A$3:$A$18,0),MATCH($A12,PhanCong!$B$2:$I$2,0))))</f>
        <v/>
      </c>
      <c r="I12" s="38">
        <f>IF(TKB_Nhap!I12="","",TKB_Nhap!I12&amp;CHAR(10)&amp;IF(T(INDEX(PhanCong!$B$3:$I$18,MATCH(TKB_Nhap!I12,PhanCong!$A$3:$A$18,0),MATCH($A12,PhanCong!$B$2:$I$2,0)))="","(chưa PC GV)","GV: "&amp;INDEX(PhanCong!$B$3:$I$18,MATCH(TKB_Nhap!I12,PhanCong!$A$3:$A$18,0),MATCH($A12,PhanCong!$B$2:$I$2,0))))</f>
        <v/>
      </c>
      <c r="J12" s="38" t="n"/>
    </row>
    <row r="13" ht="27.75" customHeight="1">
      <c r="A13" s="36">
        <f>TKB_Nhap!A13</f>
        <v/>
      </c>
      <c r="B13" s="36">
        <f>TKB_Nhap!B13</f>
        <v/>
      </c>
      <c r="C13" s="36">
        <f>TKB_Nhap!C13</f>
        <v/>
      </c>
      <c r="D13" s="38">
        <f>IF(TKB_Nhap!D13="","",TKB_Nhap!D13&amp;CHAR(10)&amp;IF(T(INDEX(PhanCong!$B$3:$I$18,MATCH(TKB_Nhap!D13,PhanCong!$A$3:$A$18,0),MATCH($A13,PhanCong!$B$2:$I$2,0)))="","(chưa PC GV)","GV: "&amp;INDEX(PhanCong!$B$3:$I$18,MATCH(TKB_Nhap!D13,PhanCong!$A$3:$A$18,0),MATCH($A13,PhanCong!$B$2:$I$2,0))))</f>
        <v/>
      </c>
      <c r="E13" s="38">
        <f>IF(TKB_Nhap!E13="","",TKB_Nhap!E13&amp;CHAR(10)&amp;IF(T(INDEX(PhanCong!$B$3:$I$18,MATCH(TKB_Nhap!E13,PhanCong!$A$3:$A$18,0),MATCH($A13,PhanCong!$B$2:$I$2,0)))="","(chưa PC GV)","GV: "&amp;INDEX(PhanCong!$B$3:$I$18,MATCH(TKB_Nhap!E13,PhanCong!$A$3:$A$18,0),MATCH($A13,PhanCong!$B$2:$I$2,0))))</f>
        <v/>
      </c>
      <c r="F13" s="38">
        <f>IF(TKB_Nhap!F13="","",TKB_Nhap!F13&amp;CHAR(10)&amp;IF(T(INDEX(PhanCong!$B$3:$I$18,MATCH(TKB_Nhap!F13,PhanCong!$A$3:$A$18,0),MATCH($A13,PhanCong!$B$2:$I$2,0)))="","(chưa PC GV)","GV: "&amp;INDEX(PhanCong!$B$3:$I$18,MATCH(TKB_Nhap!F13,PhanCong!$A$3:$A$18,0),MATCH($A13,PhanCong!$B$2:$I$2,0))))</f>
        <v/>
      </c>
      <c r="G13" s="38">
        <f>IF(TKB_Nhap!G13="","",TKB_Nhap!G13&amp;CHAR(10)&amp;IF(T(INDEX(PhanCong!$B$3:$I$18,MATCH(TKB_Nhap!G13,PhanCong!$A$3:$A$18,0),MATCH($A13,PhanCong!$B$2:$I$2,0)))="","(chưa PC GV)","GV: "&amp;INDEX(PhanCong!$B$3:$I$18,MATCH(TKB_Nhap!G13,PhanCong!$A$3:$A$18,0),MATCH($A13,PhanCong!$B$2:$I$2,0))))</f>
        <v/>
      </c>
      <c r="H13" s="38">
        <f>IF(TKB_Nhap!H13="","",TKB_Nhap!H13&amp;CHAR(10)&amp;IF(T(INDEX(PhanCong!$B$3:$I$18,MATCH(TKB_Nhap!H13,PhanCong!$A$3:$A$18,0),MATCH($A13,PhanCong!$B$2:$I$2,0)))="","(chưa PC GV)","GV: "&amp;INDEX(PhanCong!$B$3:$I$18,MATCH(TKB_Nhap!H13,PhanCong!$A$3:$A$18,0),MATCH($A13,PhanCong!$B$2:$I$2,0))))</f>
        <v/>
      </c>
      <c r="I13" s="38">
        <f>IF(TKB_Nhap!I13="","",TKB_Nhap!I13&amp;CHAR(10)&amp;IF(T(INDEX(PhanCong!$B$3:$I$18,MATCH(TKB_Nhap!I13,PhanCong!$A$3:$A$18,0),MATCH($A13,PhanCong!$B$2:$I$2,0)))="","(chưa PC GV)","GV: "&amp;INDEX(PhanCong!$B$3:$I$18,MATCH(TKB_Nhap!I13,PhanCong!$A$3:$A$18,0),MATCH($A13,PhanCong!$B$2:$I$2,0))))</f>
        <v/>
      </c>
      <c r="J13" s="38" t="n"/>
    </row>
    <row r="14" ht="27.75" customHeight="1">
      <c r="A14" s="36">
        <f>TKB_Nhap!A14</f>
        <v/>
      </c>
      <c r="B14" s="36">
        <f>TKB_Nhap!B14</f>
        <v/>
      </c>
      <c r="C14" s="36">
        <f>TKB_Nhap!C14</f>
        <v/>
      </c>
      <c r="D14" s="38">
        <f>IF(TKB_Nhap!D14="","",TKB_Nhap!D14&amp;CHAR(10)&amp;IF(T(INDEX(PhanCong!$B$3:$I$18,MATCH(TKB_Nhap!D14,PhanCong!$A$3:$A$18,0),MATCH($A14,PhanCong!$B$2:$I$2,0)))="","(chưa PC GV)","GV: "&amp;INDEX(PhanCong!$B$3:$I$18,MATCH(TKB_Nhap!D14,PhanCong!$A$3:$A$18,0),MATCH($A14,PhanCong!$B$2:$I$2,0))))</f>
        <v/>
      </c>
      <c r="E14" s="38">
        <f>IF(TKB_Nhap!E14="","",TKB_Nhap!E14&amp;CHAR(10)&amp;IF(T(INDEX(PhanCong!$B$3:$I$18,MATCH(TKB_Nhap!E14,PhanCong!$A$3:$A$18,0),MATCH($A14,PhanCong!$B$2:$I$2,0)))="","(chưa PC GV)","GV: "&amp;INDEX(PhanCong!$B$3:$I$18,MATCH(TKB_Nhap!E14,PhanCong!$A$3:$A$18,0),MATCH($A14,PhanCong!$B$2:$I$2,0))))</f>
        <v/>
      </c>
      <c r="F14" s="38">
        <f>IF(TKB_Nhap!F14="","",TKB_Nhap!F14&amp;CHAR(10)&amp;IF(T(INDEX(PhanCong!$B$3:$I$18,MATCH(TKB_Nhap!F14,PhanCong!$A$3:$A$18,0),MATCH($A14,PhanCong!$B$2:$I$2,0)))="","(chưa PC GV)","GV: "&amp;INDEX(PhanCong!$B$3:$I$18,MATCH(TKB_Nhap!F14,PhanCong!$A$3:$A$18,0),MATCH($A14,PhanCong!$B$2:$I$2,0))))</f>
        <v/>
      </c>
      <c r="G14" s="38">
        <f>IF(TKB_Nhap!G14="","",TKB_Nhap!G14&amp;CHAR(10)&amp;IF(T(INDEX(PhanCong!$B$3:$I$18,MATCH(TKB_Nhap!G14,PhanCong!$A$3:$A$18,0),MATCH($A14,PhanCong!$B$2:$I$2,0)))="","(chưa PC GV)","GV: "&amp;INDEX(PhanCong!$B$3:$I$18,MATCH(TKB_Nhap!G14,PhanCong!$A$3:$A$18,0),MATCH($A14,PhanCong!$B$2:$I$2,0))))</f>
        <v/>
      </c>
      <c r="H14" s="38">
        <f>IF(TKB_Nhap!H14="","",TKB_Nhap!H14&amp;CHAR(10)&amp;IF(T(INDEX(PhanCong!$B$3:$I$18,MATCH(TKB_Nhap!H14,PhanCong!$A$3:$A$18,0),MATCH($A14,PhanCong!$B$2:$I$2,0)))="","(chưa PC GV)","GV: "&amp;INDEX(PhanCong!$B$3:$I$18,MATCH(TKB_Nhap!H14,PhanCong!$A$3:$A$18,0),MATCH($A14,PhanCong!$B$2:$I$2,0))))</f>
        <v/>
      </c>
      <c r="I14" s="38">
        <f>IF(TKB_Nhap!I14="","",TKB_Nhap!I14&amp;CHAR(10)&amp;IF(T(INDEX(PhanCong!$B$3:$I$18,MATCH(TKB_Nhap!I14,PhanCong!$A$3:$A$18,0),MATCH($A14,PhanCong!$B$2:$I$2,0)))="","(chưa PC GV)","GV: "&amp;INDEX(PhanCong!$B$3:$I$18,MATCH(TKB_Nhap!I14,PhanCong!$A$3:$A$18,0),MATCH($A14,PhanCong!$B$2:$I$2,0))))</f>
        <v/>
      </c>
      <c r="J14" s="38" t="n"/>
    </row>
    <row r="15" ht="27.75" customHeight="1">
      <c r="A15" s="36">
        <f>TKB_Nhap!A15</f>
        <v/>
      </c>
      <c r="B15" s="36">
        <f>TKB_Nhap!B15</f>
        <v/>
      </c>
      <c r="C15" s="36">
        <f>TKB_Nhap!C15</f>
        <v/>
      </c>
      <c r="D15" s="38">
        <f>IF(TKB_Nhap!D15="","",TKB_Nhap!D15&amp;CHAR(10)&amp;IF(T(INDEX(PhanCong!$B$3:$I$18,MATCH(TKB_Nhap!D15,PhanCong!$A$3:$A$18,0),MATCH($A15,PhanCong!$B$2:$I$2,0)))="","(chưa PC GV)","GV: "&amp;INDEX(PhanCong!$B$3:$I$18,MATCH(TKB_Nhap!D15,PhanCong!$A$3:$A$18,0),MATCH($A15,PhanCong!$B$2:$I$2,0))))</f>
        <v/>
      </c>
      <c r="E15" s="38">
        <f>IF(TKB_Nhap!E15="","",TKB_Nhap!E15&amp;CHAR(10)&amp;IF(T(INDEX(PhanCong!$B$3:$I$18,MATCH(TKB_Nhap!E15,PhanCong!$A$3:$A$18,0),MATCH($A15,PhanCong!$B$2:$I$2,0)))="","(chưa PC GV)","GV: "&amp;INDEX(PhanCong!$B$3:$I$18,MATCH(TKB_Nhap!E15,PhanCong!$A$3:$A$18,0),MATCH($A15,PhanCong!$B$2:$I$2,0))))</f>
        <v/>
      </c>
      <c r="F15" s="38">
        <f>IF(TKB_Nhap!F15="","",TKB_Nhap!F15&amp;CHAR(10)&amp;IF(T(INDEX(PhanCong!$B$3:$I$18,MATCH(TKB_Nhap!F15,PhanCong!$A$3:$A$18,0),MATCH($A15,PhanCong!$B$2:$I$2,0)))="","(chưa PC GV)","GV: "&amp;INDEX(PhanCong!$B$3:$I$18,MATCH(TKB_Nhap!F15,PhanCong!$A$3:$A$18,0),MATCH($A15,PhanCong!$B$2:$I$2,0))))</f>
        <v/>
      </c>
      <c r="G15" s="38">
        <f>IF(TKB_Nhap!G15="","",TKB_Nhap!G15&amp;CHAR(10)&amp;IF(T(INDEX(PhanCong!$B$3:$I$18,MATCH(TKB_Nhap!G15,PhanCong!$A$3:$A$18,0),MATCH($A15,PhanCong!$B$2:$I$2,0)))="","(chưa PC GV)","GV: "&amp;INDEX(PhanCong!$B$3:$I$18,MATCH(TKB_Nhap!G15,PhanCong!$A$3:$A$18,0),MATCH($A15,PhanCong!$B$2:$I$2,0))))</f>
        <v/>
      </c>
      <c r="H15" s="38">
        <f>IF(TKB_Nhap!H15="","",TKB_Nhap!H15&amp;CHAR(10)&amp;IF(T(INDEX(PhanCong!$B$3:$I$18,MATCH(TKB_Nhap!H15,PhanCong!$A$3:$A$18,0),MATCH($A15,PhanCong!$B$2:$I$2,0)))="","(chưa PC GV)","GV: "&amp;INDEX(PhanCong!$B$3:$I$18,MATCH(TKB_Nhap!H15,PhanCong!$A$3:$A$18,0),MATCH($A15,PhanCong!$B$2:$I$2,0))))</f>
        <v/>
      </c>
      <c r="I15" s="38">
        <f>IF(TKB_Nhap!I15="","",TKB_Nhap!I15&amp;CHAR(10)&amp;IF(T(INDEX(PhanCong!$B$3:$I$18,MATCH(TKB_Nhap!I15,PhanCong!$A$3:$A$18,0),MATCH($A15,PhanCong!$B$2:$I$2,0)))="","(chưa PC GV)","GV: "&amp;INDEX(PhanCong!$B$3:$I$18,MATCH(TKB_Nhap!I15,PhanCong!$A$3:$A$18,0),MATCH($A15,PhanCong!$B$2:$I$2,0))))</f>
        <v/>
      </c>
      <c r="J15" s="38" t="n"/>
    </row>
    <row r="16" ht="27.75" customHeight="1">
      <c r="A16" s="36">
        <f>TKB_Nhap!A16</f>
        <v/>
      </c>
      <c r="B16" s="36">
        <f>TKB_Nhap!B16</f>
        <v/>
      </c>
      <c r="C16" s="36">
        <f>TKB_Nhap!C16</f>
        <v/>
      </c>
      <c r="D16" s="38">
        <f>IF(TKB_Nhap!D16="","",TKB_Nhap!D16&amp;CHAR(10)&amp;IF(T(INDEX(PhanCong!$B$3:$I$18,MATCH(TKB_Nhap!D16,PhanCong!$A$3:$A$18,0),MATCH($A16,PhanCong!$B$2:$I$2,0)))="","(chưa PC GV)","GV: "&amp;INDEX(PhanCong!$B$3:$I$18,MATCH(TKB_Nhap!D16,PhanCong!$A$3:$A$18,0),MATCH($A16,PhanCong!$B$2:$I$2,0))))</f>
        <v/>
      </c>
      <c r="E16" s="38">
        <f>IF(TKB_Nhap!E16="","",TKB_Nhap!E16&amp;CHAR(10)&amp;IF(T(INDEX(PhanCong!$B$3:$I$18,MATCH(TKB_Nhap!E16,PhanCong!$A$3:$A$18,0),MATCH($A16,PhanCong!$B$2:$I$2,0)))="","(chưa PC GV)","GV: "&amp;INDEX(PhanCong!$B$3:$I$18,MATCH(TKB_Nhap!E16,PhanCong!$A$3:$A$18,0),MATCH($A16,PhanCong!$B$2:$I$2,0))))</f>
        <v/>
      </c>
      <c r="F16" s="38">
        <f>IF(TKB_Nhap!F16="","",TKB_Nhap!F16&amp;CHAR(10)&amp;IF(T(INDEX(PhanCong!$B$3:$I$18,MATCH(TKB_Nhap!F16,PhanCong!$A$3:$A$18,0),MATCH($A16,PhanCong!$B$2:$I$2,0)))="","(chưa PC GV)","GV: "&amp;INDEX(PhanCong!$B$3:$I$18,MATCH(TKB_Nhap!F16,PhanCong!$A$3:$A$18,0),MATCH($A16,PhanCong!$B$2:$I$2,0))))</f>
        <v/>
      </c>
      <c r="G16" s="38">
        <f>IF(TKB_Nhap!G16="","",TKB_Nhap!G16&amp;CHAR(10)&amp;IF(T(INDEX(PhanCong!$B$3:$I$18,MATCH(TKB_Nhap!G16,PhanCong!$A$3:$A$18,0),MATCH($A16,PhanCong!$B$2:$I$2,0)))="","(chưa PC GV)","GV: "&amp;INDEX(PhanCong!$B$3:$I$18,MATCH(TKB_Nhap!G16,PhanCong!$A$3:$A$18,0),MATCH($A16,PhanCong!$B$2:$I$2,0))))</f>
        <v/>
      </c>
      <c r="H16" s="38">
        <f>IF(TKB_Nhap!H16="","",TKB_Nhap!H16&amp;CHAR(10)&amp;IF(T(INDEX(PhanCong!$B$3:$I$18,MATCH(TKB_Nhap!H16,PhanCong!$A$3:$A$18,0),MATCH($A16,PhanCong!$B$2:$I$2,0)))="","(chưa PC GV)","GV: "&amp;INDEX(PhanCong!$B$3:$I$18,MATCH(TKB_Nhap!H16,PhanCong!$A$3:$A$18,0),MATCH($A16,PhanCong!$B$2:$I$2,0))))</f>
        <v/>
      </c>
      <c r="I16" s="38">
        <f>IF(TKB_Nhap!I16="","",TKB_Nhap!I16&amp;CHAR(10)&amp;IF(T(INDEX(PhanCong!$B$3:$I$18,MATCH(TKB_Nhap!I16,PhanCong!$A$3:$A$18,0),MATCH($A16,PhanCong!$B$2:$I$2,0)))="","(chưa PC GV)","GV: "&amp;INDEX(PhanCong!$B$3:$I$18,MATCH(TKB_Nhap!I16,PhanCong!$A$3:$A$18,0),MATCH($A16,PhanCong!$B$2:$I$2,0))))</f>
        <v/>
      </c>
      <c r="J16" s="38" t="n"/>
    </row>
    <row r="17" ht="27.75" customHeight="1">
      <c r="A17" s="36">
        <f>TKB_Nhap!A17</f>
        <v/>
      </c>
      <c r="B17" s="36">
        <f>TKB_Nhap!B17</f>
        <v/>
      </c>
      <c r="C17" s="36">
        <f>TKB_Nhap!C17</f>
        <v/>
      </c>
      <c r="D17" s="38">
        <f>IF(TKB_Nhap!D17="","",TKB_Nhap!D17&amp;CHAR(10)&amp;IF(T(INDEX(PhanCong!$B$3:$I$18,MATCH(TKB_Nhap!D17,PhanCong!$A$3:$A$18,0),MATCH($A17,PhanCong!$B$2:$I$2,0)))="","(chưa PC GV)","GV: "&amp;INDEX(PhanCong!$B$3:$I$18,MATCH(TKB_Nhap!D17,PhanCong!$A$3:$A$18,0),MATCH($A17,PhanCong!$B$2:$I$2,0))))</f>
        <v/>
      </c>
      <c r="E17" s="38">
        <f>IF(TKB_Nhap!E17="","",TKB_Nhap!E17&amp;CHAR(10)&amp;IF(T(INDEX(PhanCong!$B$3:$I$18,MATCH(TKB_Nhap!E17,PhanCong!$A$3:$A$18,0),MATCH($A17,PhanCong!$B$2:$I$2,0)))="","(chưa PC GV)","GV: "&amp;INDEX(PhanCong!$B$3:$I$18,MATCH(TKB_Nhap!E17,PhanCong!$A$3:$A$18,0),MATCH($A17,PhanCong!$B$2:$I$2,0))))</f>
        <v/>
      </c>
      <c r="F17" s="38">
        <f>IF(TKB_Nhap!F17="","",TKB_Nhap!F17&amp;CHAR(10)&amp;IF(T(INDEX(PhanCong!$B$3:$I$18,MATCH(TKB_Nhap!F17,PhanCong!$A$3:$A$18,0),MATCH($A17,PhanCong!$B$2:$I$2,0)))="","(chưa PC GV)","GV: "&amp;INDEX(PhanCong!$B$3:$I$18,MATCH(TKB_Nhap!F17,PhanCong!$A$3:$A$18,0),MATCH($A17,PhanCong!$B$2:$I$2,0))))</f>
        <v/>
      </c>
      <c r="G17" s="38">
        <f>IF(TKB_Nhap!G17="","",TKB_Nhap!G17&amp;CHAR(10)&amp;IF(T(INDEX(PhanCong!$B$3:$I$18,MATCH(TKB_Nhap!G17,PhanCong!$A$3:$A$18,0),MATCH($A17,PhanCong!$B$2:$I$2,0)))="","(chưa PC GV)","GV: "&amp;INDEX(PhanCong!$B$3:$I$18,MATCH(TKB_Nhap!G17,PhanCong!$A$3:$A$18,0),MATCH($A17,PhanCong!$B$2:$I$2,0))))</f>
        <v/>
      </c>
      <c r="H17" s="38">
        <f>IF(TKB_Nhap!H17="","",TKB_Nhap!H17&amp;CHAR(10)&amp;IF(T(INDEX(PhanCong!$B$3:$I$18,MATCH(TKB_Nhap!H17,PhanCong!$A$3:$A$18,0),MATCH($A17,PhanCong!$B$2:$I$2,0)))="","(chưa PC GV)","GV: "&amp;INDEX(PhanCong!$B$3:$I$18,MATCH(TKB_Nhap!H17,PhanCong!$A$3:$A$18,0),MATCH($A17,PhanCong!$B$2:$I$2,0))))</f>
        <v/>
      </c>
      <c r="I17" s="38">
        <f>IF(TKB_Nhap!I17="","",TKB_Nhap!I17&amp;CHAR(10)&amp;IF(T(INDEX(PhanCong!$B$3:$I$18,MATCH(TKB_Nhap!I17,PhanCong!$A$3:$A$18,0),MATCH($A17,PhanCong!$B$2:$I$2,0)))="","(chưa PC GV)","GV: "&amp;INDEX(PhanCong!$B$3:$I$18,MATCH(TKB_Nhap!I17,PhanCong!$A$3:$A$18,0),MATCH($A17,PhanCong!$B$2:$I$2,0))))</f>
        <v/>
      </c>
      <c r="J17" s="38" t="n"/>
    </row>
    <row r="18" ht="27.75" customHeight="1">
      <c r="A18" s="30">
        <f>TKB_Nhap!A18</f>
        <v/>
      </c>
      <c r="B18" s="30">
        <f>TKB_Nhap!B18</f>
        <v/>
      </c>
      <c r="C18" s="30">
        <f>TKB_Nhap!C18</f>
        <v/>
      </c>
      <c r="D18" s="26">
        <f>IF(TKB_Nhap!D18="","",TKB_Nhap!D18&amp;CHAR(10)&amp;IF(T(INDEX(PhanCong!$B$3:$I$18,MATCH(TKB_Nhap!D18,PhanCong!$A$3:$A$18,0),MATCH($A18,PhanCong!$B$2:$I$2,0)))="","(chưa PC GV)","GV: "&amp;INDEX(PhanCong!$B$3:$I$18,MATCH(TKB_Nhap!D18,PhanCong!$A$3:$A$18,0),MATCH($A18,PhanCong!$B$2:$I$2,0))))</f>
        <v/>
      </c>
      <c r="E18" s="26">
        <f>IF(TKB_Nhap!E18="","",TKB_Nhap!E18&amp;CHAR(10)&amp;IF(T(INDEX(PhanCong!$B$3:$I$18,MATCH(TKB_Nhap!E18,PhanCong!$A$3:$A$18,0),MATCH($A18,PhanCong!$B$2:$I$2,0)))="","(chưa PC GV)","GV: "&amp;INDEX(PhanCong!$B$3:$I$18,MATCH(TKB_Nhap!E18,PhanCong!$A$3:$A$18,0),MATCH($A18,PhanCong!$B$2:$I$2,0))))</f>
        <v/>
      </c>
      <c r="F18" s="26">
        <f>IF(TKB_Nhap!F18="","",TKB_Nhap!F18&amp;CHAR(10)&amp;IF(T(INDEX(PhanCong!$B$3:$I$18,MATCH(TKB_Nhap!F18,PhanCong!$A$3:$A$18,0),MATCH($A18,PhanCong!$B$2:$I$2,0)))="","(chưa PC GV)","GV: "&amp;INDEX(PhanCong!$B$3:$I$18,MATCH(TKB_Nhap!F18,PhanCong!$A$3:$A$18,0),MATCH($A18,PhanCong!$B$2:$I$2,0))))</f>
        <v/>
      </c>
      <c r="G18" s="26">
        <f>IF(TKB_Nhap!G18="","",TKB_Nhap!G18&amp;CHAR(10)&amp;IF(T(INDEX(PhanCong!$B$3:$I$18,MATCH(TKB_Nhap!G18,PhanCong!$A$3:$A$18,0),MATCH($A18,PhanCong!$B$2:$I$2,0)))="","(chưa PC GV)","GV: "&amp;INDEX(PhanCong!$B$3:$I$18,MATCH(TKB_Nhap!G18,PhanCong!$A$3:$A$18,0),MATCH($A18,PhanCong!$B$2:$I$2,0))))</f>
        <v/>
      </c>
      <c r="H18" s="26">
        <f>IF(TKB_Nhap!H18="","",TKB_Nhap!H18&amp;CHAR(10)&amp;IF(T(INDEX(PhanCong!$B$3:$I$18,MATCH(TKB_Nhap!H18,PhanCong!$A$3:$A$18,0),MATCH($A18,PhanCong!$B$2:$I$2,0)))="","(chưa PC GV)","GV: "&amp;INDEX(PhanCong!$B$3:$I$18,MATCH(TKB_Nhap!H18,PhanCong!$A$3:$A$18,0),MATCH($A18,PhanCong!$B$2:$I$2,0))))</f>
        <v/>
      </c>
      <c r="I18" s="26">
        <f>IF(TKB_Nhap!I18="","",TKB_Nhap!I18&amp;CHAR(10)&amp;IF(T(INDEX(PhanCong!$B$3:$I$18,MATCH(TKB_Nhap!I18,PhanCong!$A$3:$A$18,0),MATCH($A18,PhanCong!$B$2:$I$2,0)))="","(chưa PC GV)","GV: "&amp;INDEX(PhanCong!$B$3:$I$18,MATCH(TKB_Nhap!I18,PhanCong!$A$3:$A$18,0),MATCH($A18,PhanCong!$B$2:$I$2,0))))</f>
        <v/>
      </c>
      <c r="J18" s="26" t="n"/>
    </row>
    <row r="19" ht="27.75" customHeight="1">
      <c r="A19" s="30">
        <f>TKB_Nhap!A19</f>
        <v/>
      </c>
      <c r="B19" s="30">
        <f>TKB_Nhap!B19</f>
        <v/>
      </c>
      <c r="C19" s="30">
        <f>TKB_Nhap!C19</f>
        <v/>
      </c>
      <c r="D19" s="26">
        <f>IF(TKB_Nhap!D19="","",TKB_Nhap!D19&amp;CHAR(10)&amp;IF(T(INDEX(PhanCong!$B$3:$I$18,MATCH(TKB_Nhap!D19,PhanCong!$A$3:$A$18,0),MATCH($A19,PhanCong!$B$2:$I$2,0)))="","(chưa PC GV)","GV: "&amp;INDEX(PhanCong!$B$3:$I$18,MATCH(TKB_Nhap!D19,PhanCong!$A$3:$A$18,0),MATCH($A19,PhanCong!$B$2:$I$2,0))))</f>
        <v/>
      </c>
      <c r="E19" s="26">
        <f>IF(TKB_Nhap!E19="","",TKB_Nhap!E19&amp;CHAR(10)&amp;IF(T(INDEX(PhanCong!$B$3:$I$18,MATCH(TKB_Nhap!E19,PhanCong!$A$3:$A$18,0),MATCH($A19,PhanCong!$B$2:$I$2,0)))="","(chưa PC GV)","GV: "&amp;INDEX(PhanCong!$B$3:$I$18,MATCH(TKB_Nhap!E19,PhanCong!$A$3:$A$18,0),MATCH($A19,PhanCong!$B$2:$I$2,0))))</f>
        <v/>
      </c>
      <c r="F19" s="26">
        <f>IF(TKB_Nhap!F19="","",TKB_Nhap!F19&amp;CHAR(10)&amp;IF(T(INDEX(PhanCong!$B$3:$I$18,MATCH(TKB_Nhap!F19,PhanCong!$A$3:$A$18,0),MATCH($A19,PhanCong!$B$2:$I$2,0)))="","(chưa PC GV)","GV: "&amp;INDEX(PhanCong!$B$3:$I$18,MATCH(TKB_Nhap!F19,PhanCong!$A$3:$A$18,0),MATCH($A19,PhanCong!$B$2:$I$2,0))))</f>
        <v/>
      </c>
      <c r="G19" s="26">
        <f>IF(TKB_Nhap!G19="","",TKB_Nhap!G19&amp;CHAR(10)&amp;IF(T(INDEX(PhanCong!$B$3:$I$18,MATCH(TKB_Nhap!G19,PhanCong!$A$3:$A$18,0),MATCH($A19,PhanCong!$B$2:$I$2,0)))="","(chưa PC GV)","GV: "&amp;INDEX(PhanCong!$B$3:$I$18,MATCH(TKB_Nhap!G19,PhanCong!$A$3:$A$18,0),MATCH($A19,PhanCong!$B$2:$I$2,0))))</f>
        <v/>
      </c>
      <c r="H19" s="26">
        <f>IF(TKB_Nhap!H19="","",TKB_Nhap!H19&amp;CHAR(10)&amp;IF(T(INDEX(PhanCong!$B$3:$I$18,MATCH(TKB_Nhap!H19,PhanCong!$A$3:$A$18,0),MATCH($A19,PhanCong!$B$2:$I$2,0)))="","(chưa PC GV)","GV: "&amp;INDEX(PhanCong!$B$3:$I$18,MATCH(TKB_Nhap!H19,PhanCong!$A$3:$A$18,0),MATCH($A19,PhanCong!$B$2:$I$2,0))))</f>
        <v/>
      </c>
      <c r="I19" s="26">
        <f>IF(TKB_Nhap!I19="","",TKB_Nhap!I19&amp;CHAR(10)&amp;IF(T(INDEX(PhanCong!$B$3:$I$18,MATCH(TKB_Nhap!I19,PhanCong!$A$3:$A$18,0),MATCH($A19,PhanCong!$B$2:$I$2,0)))="","(chưa PC GV)","GV: "&amp;INDEX(PhanCong!$B$3:$I$18,MATCH(TKB_Nhap!I19,PhanCong!$A$3:$A$18,0),MATCH($A19,PhanCong!$B$2:$I$2,0))))</f>
        <v/>
      </c>
      <c r="J19" s="26" t="n"/>
    </row>
    <row r="20" ht="27.75" customHeight="1">
      <c r="A20" s="30">
        <f>TKB_Nhap!A20</f>
        <v/>
      </c>
      <c r="B20" s="30">
        <f>TKB_Nhap!B20</f>
        <v/>
      </c>
      <c r="C20" s="30">
        <f>TKB_Nhap!C20</f>
        <v/>
      </c>
      <c r="D20" s="26">
        <f>IF(TKB_Nhap!D20="","",TKB_Nhap!D20&amp;CHAR(10)&amp;IF(T(INDEX(PhanCong!$B$3:$I$18,MATCH(TKB_Nhap!D20,PhanCong!$A$3:$A$18,0),MATCH($A20,PhanCong!$B$2:$I$2,0)))="","(chưa PC GV)","GV: "&amp;INDEX(PhanCong!$B$3:$I$18,MATCH(TKB_Nhap!D20,PhanCong!$A$3:$A$18,0),MATCH($A20,PhanCong!$B$2:$I$2,0))))</f>
        <v/>
      </c>
      <c r="E20" s="26">
        <f>IF(TKB_Nhap!E20="","",TKB_Nhap!E20&amp;CHAR(10)&amp;IF(T(INDEX(PhanCong!$B$3:$I$18,MATCH(TKB_Nhap!E20,PhanCong!$A$3:$A$18,0),MATCH($A20,PhanCong!$B$2:$I$2,0)))="","(chưa PC GV)","GV: "&amp;INDEX(PhanCong!$B$3:$I$18,MATCH(TKB_Nhap!E20,PhanCong!$A$3:$A$18,0),MATCH($A20,PhanCong!$B$2:$I$2,0))))</f>
        <v/>
      </c>
      <c r="F20" s="26">
        <f>IF(TKB_Nhap!F20="","",TKB_Nhap!F20&amp;CHAR(10)&amp;IF(T(INDEX(PhanCong!$B$3:$I$18,MATCH(TKB_Nhap!F20,PhanCong!$A$3:$A$18,0),MATCH($A20,PhanCong!$B$2:$I$2,0)))="","(chưa PC GV)","GV: "&amp;INDEX(PhanCong!$B$3:$I$18,MATCH(TKB_Nhap!F20,PhanCong!$A$3:$A$18,0),MATCH($A20,PhanCong!$B$2:$I$2,0))))</f>
        <v/>
      </c>
      <c r="G20" s="26">
        <f>IF(TKB_Nhap!G20="","",TKB_Nhap!G20&amp;CHAR(10)&amp;IF(T(INDEX(PhanCong!$B$3:$I$18,MATCH(TKB_Nhap!G20,PhanCong!$A$3:$A$18,0),MATCH($A20,PhanCong!$B$2:$I$2,0)))="","(chưa PC GV)","GV: "&amp;INDEX(PhanCong!$B$3:$I$18,MATCH(TKB_Nhap!G20,PhanCong!$A$3:$A$18,0),MATCH($A20,PhanCong!$B$2:$I$2,0))))</f>
        <v/>
      </c>
      <c r="H20" s="26">
        <f>IF(TKB_Nhap!H20="","",TKB_Nhap!H20&amp;CHAR(10)&amp;IF(T(INDEX(PhanCong!$B$3:$I$18,MATCH(TKB_Nhap!H20,PhanCong!$A$3:$A$18,0),MATCH($A20,PhanCong!$B$2:$I$2,0)))="","(chưa PC GV)","GV: "&amp;INDEX(PhanCong!$B$3:$I$18,MATCH(TKB_Nhap!H20,PhanCong!$A$3:$A$18,0),MATCH($A20,PhanCong!$B$2:$I$2,0))))</f>
        <v/>
      </c>
      <c r="I20" s="26">
        <f>IF(TKB_Nhap!I20="","",TKB_Nhap!I20&amp;CHAR(10)&amp;IF(T(INDEX(PhanCong!$B$3:$I$18,MATCH(TKB_Nhap!I20,PhanCong!$A$3:$A$18,0),MATCH($A20,PhanCong!$B$2:$I$2,0)))="","(chưa PC GV)","GV: "&amp;INDEX(PhanCong!$B$3:$I$18,MATCH(TKB_Nhap!I20,PhanCong!$A$3:$A$18,0),MATCH($A20,PhanCong!$B$2:$I$2,0))))</f>
        <v/>
      </c>
      <c r="J20" s="26" t="n"/>
    </row>
    <row r="21" ht="27.75" customHeight="1">
      <c r="A21" s="30">
        <f>TKB_Nhap!A21</f>
        <v/>
      </c>
      <c r="B21" s="30">
        <f>TKB_Nhap!B21</f>
        <v/>
      </c>
      <c r="C21" s="30">
        <f>TKB_Nhap!C21</f>
        <v/>
      </c>
      <c r="D21" s="26">
        <f>IF(TKB_Nhap!D21="","",TKB_Nhap!D21&amp;CHAR(10)&amp;IF(T(INDEX(PhanCong!$B$3:$I$18,MATCH(TKB_Nhap!D21,PhanCong!$A$3:$A$18,0),MATCH($A21,PhanCong!$B$2:$I$2,0)))="","(chưa PC GV)","GV: "&amp;INDEX(PhanCong!$B$3:$I$18,MATCH(TKB_Nhap!D21,PhanCong!$A$3:$A$18,0),MATCH($A21,PhanCong!$B$2:$I$2,0))))</f>
        <v/>
      </c>
      <c r="E21" s="26">
        <f>IF(TKB_Nhap!E21="","",TKB_Nhap!E21&amp;CHAR(10)&amp;IF(T(INDEX(PhanCong!$B$3:$I$18,MATCH(TKB_Nhap!E21,PhanCong!$A$3:$A$18,0),MATCH($A21,PhanCong!$B$2:$I$2,0)))="","(chưa PC GV)","GV: "&amp;INDEX(PhanCong!$B$3:$I$18,MATCH(TKB_Nhap!E21,PhanCong!$A$3:$A$18,0),MATCH($A21,PhanCong!$B$2:$I$2,0))))</f>
        <v/>
      </c>
      <c r="F21" s="26">
        <f>IF(TKB_Nhap!F21="","",TKB_Nhap!F21&amp;CHAR(10)&amp;IF(T(INDEX(PhanCong!$B$3:$I$18,MATCH(TKB_Nhap!F21,PhanCong!$A$3:$A$18,0),MATCH($A21,PhanCong!$B$2:$I$2,0)))="","(chưa PC GV)","GV: "&amp;INDEX(PhanCong!$B$3:$I$18,MATCH(TKB_Nhap!F21,PhanCong!$A$3:$A$18,0),MATCH($A21,PhanCong!$B$2:$I$2,0))))</f>
        <v/>
      </c>
      <c r="G21" s="26">
        <f>IF(TKB_Nhap!G21="","",TKB_Nhap!G21&amp;CHAR(10)&amp;IF(T(INDEX(PhanCong!$B$3:$I$18,MATCH(TKB_Nhap!G21,PhanCong!$A$3:$A$18,0),MATCH($A21,PhanCong!$B$2:$I$2,0)))="","(chưa PC GV)","GV: "&amp;INDEX(PhanCong!$B$3:$I$18,MATCH(TKB_Nhap!G21,PhanCong!$A$3:$A$18,0),MATCH($A21,PhanCong!$B$2:$I$2,0))))</f>
        <v/>
      </c>
      <c r="H21" s="26">
        <f>IF(TKB_Nhap!H21="","",TKB_Nhap!H21&amp;CHAR(10)&amp;IF(T(INDEX(PhanCong!$B$3:$I$18,MATCH(TKB_Nhap!H21,PhanCong!$A$3:$A$18,0),MATCH($A21,PhanCong!$B$2:$I$2,0)))="","(chưa PC GV)","GV: "&amp;INDEX(PhanCong!$B$3:$I$18,MATCH(TKB_Nhap!H21,PhanCong!$A$3:$A$18,0),MATCH($A21,PhanCong!$B$2:$I$2,0))))</f>
        <v/>
      </c>
      <c r="I21" s="26">
        <f>IF(TKB_Nhap!I21="","",TKB_Nhap!I21&amp;CHAR(10)&amp;IF(T(INDEX(PhanCong!$B$3:$I$18,MATCH(TKB_Nhap!I21,PhanCong!$A$3:$A$18,0),MATCH($A21,PhanCong!$B$2:$I$2,0)))="","(chưa PC GV)","GV: "&amp;INDEX(PhanCong!$B$3:$I$18,MATCH(TKB_Nhap!I21,PhanCong!$A$3:$A$18,0),MATCH($A21,PhanCong!$B$2:$I$2,0))))</f>
        <v/>
      </c>
      <c r="J21" s="26" t="n"/>
    </row>
    <row r="22" ht="27.75" customHeight="1">
      <c r="A22" s="30">
        <f>TKB_Nhap!A22</f>
        <v/>
      </c>
      <c r="B22" s="30">
        <f>TKB_Nhap!B22</f>
        <v/>
      </c>
      <c r="C22" s="30">
        <f>TKB_Nhap!C22</f>
        <v/>
      </c>
      <c r="D22" s="26">
        <f>IF(TKB_Nhap!D22="","",TKB_Nhap!D22&amp;CHAR(10)&amp;IF(T(INDEX(PhanCong!$B$3:$I$18,MATCH(TKB_Nhap!D22,PhanCong!$A$3:$A$18,0),MATCH($A22,PhanCong!$B$2:$I$2,0)))="","(chưa PC GV)","GV: "&amp;INDEX(PhanCong!$B$3:$I$18,MATCH(TKB_Nhap!D22,PhanCong!$A$3:$A$18,0),MATCH($A22,PhanCong!$B$2:$I$2,0))))</f>
        <v/>
      </c>
      <c r="E22" s="26">
        <f>IF(TKB_Nhap!E22="","",TKB_Nhap!E22&amp;CHAR(10)&amp;IF(T(INDEX(PhanCong!$B$3:$I$18,MATCH(TKB_Nhap!E22,PhanCong!$A$3:$A$18,0),MATCH($A22,PhanCong!$B$2:$I$2,0)))="","(chưa PC GV)","GV: "&amp;INDEX(PhanCong!$B$3:$I$18,MATCH(TKB_Nhap!E22,PhanCong!$A$3:$A$18,0),MATCH($A22,PhanCong!$B$2:$I$2,0))))</f>
        <v/>
      </c>
      <c r="F22" s="26">
        <f>IF(TKB_Nhap!F22="","",TKB_Nhap!F22&amp;CHAR(10)&amp;IF(T(INDEX(PhanCong!$B$3:$I$18,MATCH(TKB_Nhap!F22,PhanCong!$A$3:$A$18,0),MATCH($A22,PhanCong!$B$2:$I$2,0)))="","(chưa PC GV)","GV: "&amp;INDEX(PhanCong!$B$3:$I$18,MATCH(TKB_Nhap!F22,PhanCong!$A$3:$A$18,0),MATCH($A22,PhanCong!$B$2:$I$2,0))))</f>
        <v/>
      </c>
      <c r="G22" s="26">
        <f>IF(TKB_Nhap!G22="","",TKB_Nhap!G22&amp;CHAR(10)&amp;IF(T(INDEX(PhanCong!$B$3:$I$18,MATCH(TKB_Nhap!G22,PhanCong!$A$3:$A$18,0),MATCH($A22,PhanCong!$B$2:$I$2,0)))="","(chưa PC GV)","GV: "&amp;INDEX(PhanCong!$B$3:$I$18,MATCH(TKB_Nhap!G22,PhanCong!$A$3:$A$18,0),MATCH($A22,PhanCong!$B$2:$I$2,0))))</f>
        <v/>
      </c>
      <c r="H22" s="26">
        <f>IF(TKB_Nhap!H22="","",TKB_Nhap!H22&amp;CHAR(10)&amp;IF(T(INDEX(PhanCong!$B$3:$I$18,MATCH(TKB_Nhap!H22,PhanCong!$A$3:$A$18,0),MATCH($A22,PhanCong!$B$2:$I$2,0)))="","(chưa PC GV)","GV: "&amp;INDEX(PhanCong!$B$3:$I$18,MATCH(TKB_Nhap!H22,PhanCong!$A$3:$A$18,0),MATCH($A22,PhanCong!$B$2:$I$2,0))))</f>
        <v/>
      </c>
      <c r="I22" s="26">
        <f>IF(TKB_Nhap!I22="","",TKB_Nhap!I22&amp;CHAR(10)&amp;IF(T(INDEX(PhanCong!$B$3:$I$18,MATCH(TKB_Nhap!I22,PhanCong!$A$3:$A$18,0),MATCH($A22,PhanCong!$B$2:$I$2,0)))="","(chưa PC GV)","GV: "&amp;INDEX(PhanCong!$B$3:$I$18,MATCH(TKB_Nhap!I22,PhanCong!$A$3:$A$18,0),MATCH($A22,PhanCong!$B$2:$I$2,0))))</f>
        <v/>
      </c>
      <c r="J22" s="26" t="n"/>
    </row>
    <row r="23" ht="27.75" customHeight="1">
      <c r="A23" s="30">
        <f>TKB_Nhap!A23</f>
        <v/>
      </c>
      <c r="B23" s="30">
        <f>TKB_Nhap!B23</f>
        <v/>
      </c>
      <c r="C23" s="30">
        <f>TKB_Nhap!C23</f>
        <v/>
      </c>
      <c r="D23" s="26">
        <f>IF(TKB_Nhap!D23="","",TKB_Nhap!D23&amp;CHAR(10)&amp;IF(T(INDEX(PhanCong!$B$3:$I$18,MATCH(TKB_Nhap!D23,PhanCong!$A$3:$A$18,0),MATCH($A23,PhanCong!$B$2:$I$2,0)))="","(chưa PC GV)","GV: "&amp;INDEX(PhanCong!$B$3:$I$18,MATCH(TKB_Nhap!D23,PhanCong!$A$3:$A$18,0),MATCH($A23,PhanCong!$B$2:$I$2,0))))</f>
        <v/>
      </c>
      <c r="E23" s="26">
        <f>IF(TKB_Nhap!E23="","",TKB_Nhap!E23&amp;CHAR(10)&amp;IF(T(INDEX(PhanCong!$B$3:$I$18,MATCH(TKB_Nhap!E23,PhanCong!$A$3:$A$18,0),MATCH($A23,PhanCong!$B$2:$I$2,0)))="","(chưa PC GV)","GV: "&amp;INDEX(PhanCong!$B$3:$I$18,MATCH(TKB_Nhap!E23,PhanCong!$A$3:$A$18,0),MATCH($A23,PhanCong!$B$2:$I$2,0))))</f>
        <v/>
      </c>
      <c r="F23" s="26">
        <f>IF(TKB_Nhap!F23="","",TKB_Nhap!F23&amp;CHAR(10)&amp;IF(T(INDEX(PhanCong!$B$3:$I$18,MATCH(TKB_Nhap!F23,PhanCong!$A$3:$A$18,0),MATCH($A23,PhanCong!$B$2:$I$2,0)))="","(chưa PC GV)","GV: "&amp;INDEX(PhanCong!$B$3:$I$18,MATCH(TKB_Nhap!F23,PhanCong!$A$3:$A$18,0),MATCH($A23,PhanCong!$B$2:$I$2,0))))</f>
        <v/>
      </c>
      <c r="G23" s="26">
        <f>IF(TKB_Nhap!G23="","",TKB_Nhap!G23&amp;CHAR(10)&amp;IF(T(INDEX(PhanCong!$B$3:$I$18,MATCH(TKB_Nhap!G23,PhanCong!$A$3:$A$18,0),MATCH($A23,PhanCong!$B$2:$I$2,0)))="","(chưa PC GV)","GV: "&amp;INDEX(PhanCong!$B$3:$I$18,MATCH(TKB_Nhap!G23,PhanCong!$A$3:$A$18,0),MATCH($A23,PhanCong!$B$2:$I$2,0))))</f>
        <v/>
      </c>
      <c r="H23" s="26">
        <f>IF(TKB_Nhap!H23="","",TKB_Nhap!H23&amp;CHAR(10)&amp;IF(T(INDEX(PhanCong!$B$3:$I$18,MATCH(TKB_Nhap!H23,PhanCong!$A$3:$A$18,0),MATCH($A23,PhanCong!$B$2:$I$2,0)))="","(chưa PC GV)","GV: "&amp;INDEX(PhanCong!$B$3:$I$18,MATCH(TKB_Nhap!H23,PhanCong!$A$3:$A$18,0),MATCH($A23,PhanCong!$B$2:$I$2,0))))</f>
        <v/>
      </c>
      <c r="I23" s="26">
        <f>IF(TKB_Nhap!I23="","",TKB_Nhap!I23&amp;CHAR(10)&amp;IF(T(INDEX(PhanCong!$B$3:$I$18,MATCH(TKB_Nhap!I23,PhanCong!$A$3:$A$18,0),MATCH($A23,PhanCong!$B$2:$I$2,0)))="","(chưa PC GV)","GV: "&amp;INDEX(PhanCong!$B$3:$I$18,MATCH(TKB_Nhap!I23,PhanCong!$A$3:$A$18,0),MATCH($A23,PhanCong!$B$2:$I$2,0))))</f>
        <v/>
      </c>
      <c r="J23" s="26" t="n"/>
    </row>
    <row r="24" ht="27.75" customHeight="1">
      <c r="A24" s="30">
        <f>TKB_Nhap!A24</f>
        <v/>
      </c>
      <c r="B24" s="30">
        <f>TKB_Nhap!B24</f>
        <v/>
      </c>
      <c r="C24" s="30">
        <f>TKB_Nhap!C24</f>
        <v/>
      </c>
      <c r="D24" s="26">
        <f>IF(TKB_Nhap!D24="","",TKB_Nhap!D24&amp;CHAR(10)&amp;IF(T(INDEX(PhanCong!$B$3:$I$18,MATCH(TKB_Nhap!D24,PhanCong!$A$3:$A$18,0),MATCH($A24,PhanCong!$B$2:$I$2,0)))="","(chưa PC GV)","GV: "&amp;INDEX(PhanCong!$B$3:$I$18,MATCH(TKB_Nhap!D24,PhanCong!$A$3:$A$18,0),MATCH($A24,PhanCong!$B$2:$I$2,0))))</f>
        <v/>
      </c>
      <c r="E24" s="26">
        <f>IF(TKB_Nhap!E24="","",TKB_Nhap!E24&amp;CHAR(10)&amp;IF(T(INDEX(PhanCong!$B$3:$I$18,MATCH(TKB_Nhap!E24,PhanCong!$A$3:$A$18,0),MATCH($A24,PhanCong!$B$2:$I$2,0)))="","(chưa PC GV)","GV: "&amp;INDEX(PhanCong!$B$3:$I$18,MATCH(TKB_Nhap!E24,PhanCong!$A$3:$A$18,0),MATCH($A24,PhanCong!$B$2:$I$2,0))))</f>
        <v/>
      </c>
      <c r="F24" s="26">
        <f>IF(TKB_Nhap!F24="","",TKB_Nhap!F24&amp;CHAR(10)&amp;IF(T(INDEX(PhanCong!$B$3:$I$18,MATCH(TKB_Nhap!F24,PhanCong!$A$3:$A$18,0),MATCH($A24,PhanCong!$B$2:$I$2,0)))="","(chưa PC GV)","GV: "&amp;INDEX(PhanCong!$B$3:$I$18,MATCH(TKB_Nhap!F24,PhanCong!$A$3:$A$18,0),MATCH($A24,PhanCong!$B$2:$I$2,0))))</f>
        <v/>
      </c>
      <c r="G24" s="26">
        <f>IF(TKB_Nhap!G24="","",TKB_Nhap!G24&amp;CHAR(10)&amp;IF(T(INDEX(PhanCong!$B$3:$I$18,MATCH(TKB_Nhap!G24,PhanCong!$A$3:$A$18,0),MATCH($A24,PhanCong!$B$2:$I$2,0)))="","(chưa PC GV)","GV: "&amp;INDEX(PhanCong!$B$3:$I$18,MATCH(TKB_Nhap!G24,PhanCong!$A$3:$A$18,0),MATCH($A24,PhanCong!$B$2:$I$2,0))))</f>
        <v/>
      </c>
      <c r="H24" s="26">
        <f>IF(TKB_Nhap!H24="","",TKB_Nhap!H24&amp;CHAR(10)&amp;IF(T(INDEX(PhanCong!$B$3:$I$18,MATCH(TKB_Nhap!H24,PhanCong!$A$3:$A$18,0),MATCH($A24,PhanCong!$B$2:$I$2,0)))="","(chưa PC GV)","GV: "&amp;INDEX(PhanCong!$B$3:$I$18,MATCH(TKB_Nhap!H24,PhanCong!$A$3:$A$18,0),MATCH($A24,PhanCong!$B$2:$I$2,0))))</f>
        <v/>
      </c>
      <c r="I24" s="26">
        <f>IF(TKB_Nhap!I24="","",TKB_Nhap!I24&amp;CHAR(10)&amp;IF(T(INDEX(PhanCong!$B$3:$I$18,MATCH(TKB_Nhap!I24,PhanCong!$A$3:$A$18,0),MATCH($A24,PhanCong!$B$2:$I$2,0)))="","(chưa PC GV)","GV: "&amp;INDEX(PhanCong!$B$3:$I$18,MATCH(TKB_Nhap!I24,PhanCong!$A$3:$A$18,0),MATCH($A24,PhanCong!$B$2:$I$2,0))))</f>
        <v/>
      </c>
      <c r="J24" s="26" t="n"/>
    </row>
    <row r="25" ht="27.75" customHeight="1">
      <c r="A25" s="30">
        <f>TKB_Nhap!A25</f>
        <v/>
      </c>
      <c r="B25" s="30">
        <f>TKB_Nhap!B25</f>
        <v/>
      </c>
      <c r="C25" s="30">
        <f>TKB_Nhap!C25</f>
        <v/>
      </c>
      <c r="D25" s="26">
        <f>IF(TKB_Nhap!D25="","",TKB_Nhap!D25&amp;CHAR(10)&amp;IF(T(INDEX(PhanCong!$B$3:$I$18,MATCH(TKB_Nhap!D25,PhanCong!$A$3:$A$18,0),MATCH($A25,PhanCong!$B$2:$I$2,0)))="","(chưa PC GV)","GV: "&amp;INDEX(PhanCong!$B$3:$I$18,MATCH(TKB_Nhap!D25,PhanCong!$A$3:$A$18,0),MATCH($A25,PhanCong!$B$2:$I$2,0))))</f>
        <v/>
      </c>
      <c r="E25" s="26">
        <f>IF(TKB_Nhap!E25="","",TKB_Nhap!E25&amp;CHAR(10)&amp;IF(T(INDEX(PhanCong!$B$3:$I$18,MATCH(TKB_Nhap!E25,PhanCong!$A$3:$A$18,0),MATCH($A25,PhanCong!$B$2:$I$2,0)))="","(chưa PC GV)","GV: "&amp;INDEX(PhanCong!$B$3:$I$18,MATCH(TKB_Nhap!E25,PhanCong!$A$3:$A$18,0),MATCH($A25,PhanCong!$B$2:$I$2,0))))</f>
        <v/>
      </c>
      <c r="F25" s="26">
        <f>IF(TKB_Nhap!F25="","",TKB_Nhap!F25&amp;CHAR(10)&amp;IF(T(INDEX(PhanCong!$B$3:$I$18,MATCH(TKB_Nhap!F25,PhanCong!$A$3:$A$18,0),MATCH($A25,PhanCong!$B$2:$I$2,0)))="","(chưa PC GV)","GV: "&amp;INDEX(PhanCong!$B$3:$I$18,MATCH(TKB_Nhap!F25,PhanCong!$A$3:$A$18,0),MATCH($A25,PhanCong!$B$2:$I$2,0))))</f>
        <v/>
      </c>
      <c r="G25" s="26">
        <f>IF(TKB_Nhap!G25="","",TKB_Nhap!G25&amp;CHAR(10)&amp;IF(T(INDEX(PhanCong!$B$3:$I$18,MATCH(TKB_Nhap!G25,PhanCong!$A$3:$A$18,0),MATCH($A25,PhanCong!$B$2:$I$2,0)))="","(chưa PC GV)","GV: "&amp;INDEX(PhanCong!$B$3:$I$18,MATCH(TKB_Nhap!G25,PhanCong!$A$3:$A$18,0),MATCH($A25,PhanCong!$B$2:$I$2,0))))</f>
        <v/>
      </c>
      <c r="H25" s="26">
        <f>IF(TKB_Nhap!H25="","",TKB_Nhap!H25&amp;CHAR(10)&amp;IF(T(INDEX(PhanCong!$B$3:$I$18,MATCH(TKB_Nhap!H25,PhanCong!$A$3:$A$18,0),MATCH($A25,PhanCong!$B$2:$I$2,0)))="","(chưa PC GV)","GV: "&amp;INDEX(PhanCong!$B$3:$I$18,MATCH(TKB_Nhap!H25,PhanCong!$A$3:$A$18,0),MATCH($A25,PhanCong!$B$2:$I$2,0))))</f>
        <v/>
      </c>
      <c r="I25" s="26">
        <f>IF(TKB_Nhap!I25="","",TKB_Nhap!I25&amp;CHAR(10)&amp;IF(T(INDEX(PhanCong!$B$3:$I$18,MATCH(TKB_Nhap!I25,PhanCong!$A$3:$A$18,0),MATCH($A25,PhanCong!$B$2:$I$2,0)))="","(chưa PC GV)","GV: "&amp;INDEX(PhanCong!$B$3:$I$18,MATCH(TKB_Nhap!I25,PhanCong!$A$3:$A$18,0),MATCH($A25,PhanCong!$B$2:$I$2,0))))</f>
        <v/>
      </c>
      <c r="J25" s="26" t="n"/>
    </row>
    <row r="26" ht="27.75" customHeight="1">
      <c r="A26" s="36">
        <f>TKB_Nhap!A26</f>
        <v/>
      </c>
      <c r="B26" s="36">
        <f>TKB_Nhap!B26</f>
        <v/>
      </c>
      <c r="C26" s="36">
        <f>TKB_Nhap!C26</f>
        <v/>
      </c>
      <c r="D26" s="38">
        <f>IF(TKB_Nhap!D26="","",TKB_Nhap!D26&amp;CHAR(10)&amp;IF(T(INDEX(PhanCong!$B$3:$I$18,MATCH(TKB_Nhap!D26,PhanCong!$A$3:$A$18,0),MATCH($A26,PhanCong!$B$2:$I$2,0)))="","(chưa PC GV)","GV: "&amp;INDEX(PhanCong!$B$3:$I$18,MATCH(TKB_Nhap!D26,PhanCong!$A$3:$A$18,0),MATCH($A26,PhanCong!$B$2:$I$2,0))))</f>
        <v/>
      </c>
      <c r="E26" s="38">
        <f>IF(TKB_Nhap!E26="","",TKB_Nhap!E26&amp;CHAR(10)&amp;IF(T(INDEX(PhanCong!$B$3:$I$18,MATCH(TKB_Nhap!E26,PhanCong!$A$3:$A$18,0),MATCH($A26,PhanCong!$B$2:$I$2,0)))="","(chưa PC GV)","GV: "&amp;INDEX(PhanCong!$B$3:$I$18,MATCH(TKB_Nhap!E26,PhanCong!$A$3:$A$18,0),MATCH($A26,PhanCong!$B$2:$I$2,0))))</f>
        <v/>
      </c>
      <c r="F26" s="38">
        <f>IF(TKB_Nhap!F26="","",TKB_Nhap!F26&amp;CHAR(10)&amp;IF(T(INDEX(PhanCong!$B$3:$I$18,MATCH(TKB_Nhap!F26,PhanCong!$A$3:$A$18,0),MATCH($A26,PhanCong!$B$2:$I$2,0)))="","(chưa PC GV)","GV: "&amp;INDEX(PhanCong!$B$3:$I$18,MATCH(TKB_Nhap!F26,PhanCong!$A$3:$A$18,0),MATCH($A26,PhanCong!$B$2:$I$2,0))))</f>
        <v/>
      </c>
      <c r="G26" s="38">
        <f>IF(TKB_Nhap!G26="","",TKB_Nhap!G26&amp;CHAR(10)&amp;IF(T(INDEX(PhanCong!$B$3:$I$18,MATCH(TKB_Nhap!G26,PhanCong!$A$3:$A$18,0),MATCH($A26,PhanCong!$B$2:$I$2,0)))="","(chưa PC GV)","GV: "&amp;INDEX(PhanCong!$B$3:$I$18,MATCH(TKB_Nhap!G26,PhanCong!$A$3:$A$18,0),MATCH($A26,PhanCong!$B$2:$I$2,0))))</f>
        <v/>
      </c>
      <c r="H26" s="38">
        <f>IF(TKB_Nhap!H26="","",TKB_Nhap!H26&amp;CHAR(10)&amp;IF(T(INDEX(PhanCong!$B$3:$I$18,MATCH(TKB_Nhap!H26,PhanCong!$A$3:$A$18,0),MATCH($A26,PhanCong!$B$2:$I$2,0)))="","(chưa PC GV)","GV: "&amp;INDEX(PhanCong!$B$3:$I$18,MATCH(TKB_Nhap!H26,PhanCong!$A$3:$A$18,0),MATCH($A26,PhanCong!$B$2:$I$2,0))))</f>
        <v/>
      </c>
      <c r="I26" s="38">
        <f>IF(TKB_Nhap!I26="","",TKB_Nhap!I26&amp;CHAR(10)&amp;IF(T(INDEX(PhanCong!$B$3:$I$18,MATCH(TKB_Nhap!I26,PhanCong!$A$3:$A$18,0),MATCH($A26,PhanCong!$B$2:$I$2,0)))="","(chưa PC GV)","GV: "&amp;INDEX(PhanCong!$B$3:$I$18,MATCH(TKB_Nhap!I26,PhanCong!$A$3:$A$18,0),MATCH($A26,PhanCong!$B$2:$I$2,0))))</f>
        <v/>
      </c>
      <c r="J26" s="38" t="n"/>
    </row>
    <row r="27" ht="27.75" customHeight="1">
      <c r="A27" s="36">
        <f>TKB_Nhap!A27</f>
        <v/>
      </c>
      <c r="B27" s="36">
        <f>TKB_Nhap!B27</f>
        <v/>
      </c>
      <c r="C27" s="36">
        <f>TKB_Nhap!C27</f>
        <v/>
      </c>
      <c r="D27" s="38">
        <f>IF(TKB_Nhap!D27="","",TKB_Nhap!D27&amp;CHAR(10)&amp;IF(T(INDEX(PhanCong!$B$3:$I$18,MATCH(TKB_Nhap!D27,PhanCong!$A$3:$A$18,0),MATCH($A27,PhanCong!$B$2:$I$2,0)))="","(chưa PC GV)","GV: "&amp;INDEX(PhanCong!$B$3:$I$18,MATCH(TKB_Nhap!D27,PhanCong!$A$3:$A$18,0),MATCH($A27,PhanCong!$B$2:$I$2,0))))</f>
        <v/>
      </c>
      <c r="E27" s="38">
        <f>IF(TKB_Nhap!E27="","",TKB_Nhap!E27&amp;CHAR(10)&amp;IF(T(INDEX(PhanCong!$B$3:$I$18,MATCH(TKB_Nhap!E27,PhanCong!$A$3:$A$18,0),MATCH($A27,PhanCong!$B$2:$I$2,0)))="","(chưa PC GV)","GV: "&amp;INDEX(PhanCong!$B$3:$I$18,MATCH(TKB_Nhap!E27,PhanCong!$A$3:$A$18,0),MATCH($A27,PhanCong!$B$2:$I$2,0))))</f>
        <v/>
      </c>
      <c r="F27" s="38">
        <f>IF(TKB_Nhap!F27="","",TKB_Nhap!F27&amp;CHAR(10)&amp;IF(T(INDEX(PhanCong!$B$3:$I$18,MATCH(TKB_Nhap!F27,PhanCong!$A$3:$A$18,0),MATCH($A27,PhanCong!$B$2:$I$2,0)))="","(chưa PC GV)","GV: "&amp;INDEX(PhanCong!$B$3:$I$18,MATCH(TKB_Nhap!F27,PhanCong!$A$3:$A$18,0),MATCH($A27,PhanCong!$B$2:$I$2,0))))</f>
        <v/>
      </c>
      <c r="G27" s="38">
        <f>IF(TKB_Nhap!G27="","",TKB_Nhap!G27&amp;CHAR(10)&amp;IF(T(INDEX(PhanCong!$B$3:$I$18,MATCH(TKB_Nhap!G27,PhanCong!$A$3:$A$18,0),MATCH($A27,PhanCong!$B$2:$I$2,0)))="","(chưa PC GV)","GV: "&amp;INDEX(PhanCong!$B$3:$I$18,MATCH(TKB_Nhap!G27,PhanCong!$A$3:$A$18,0),MATCH($A27,PhanCong!$B$2:$I$2,0))))</f>
        <v/>
      </c>
      <c r="H27" s="38">
        <f>IF(TKB_Nhap!H27="","",TKB_Nhap!H27&amp;CHAR(10)&amp;IF(T(INDEX(PhanCong!$B$3:$I$18,MATCH(TKB_Nhap!H27,PhanCong!$A$3:$A$18,0),MATCH($A27,PhanCong!$B$2:$I$2,0)))="","(chưa PC GV)","GV: "&amp;INDEX(PhanCong!$B$3:$I$18,MATCH(TKB_Nhap!H27,PhanCong!$A$3:$A$18,0),MATCH($A27,PhanCong!$B$2:$I$2,0))))</f>
        <v/>
      </c>
      <c r="I27" s="38">
        <f>IF(TKB_Nhap!I27="","",TKB_Nhap!I27&amp;CHAR(10)&amp;IF(T(INDEX(PhanCong!$B$3:$I$18,MATCH(TKB_Nhap!I27,PhanCong!$A$3:$A$18,0),MATCH($A27,PhanCong!$B$2:$I$2,0)))="","(chưa PC GV)","GV: "&amp;INDEX(PhanCong!$B$3:$I$18,MATCH(TKB_Nhap!I27,PhanCong!$A$3:$A$18,0),MATCH($A27,PhanCong!$B$2:$I$2,0))))</f>
        <v/>
      </c>
      <c r="J27" s="38" t="n"/>
    </row>
    <row r="28" ht="27.75" customHeight="1">
      <c r="A28" s="36">
        <f>TKB_Nhap!A28</f>
        <v/>
      </c>
      <c r="B28" s="36">
        <f>TKB_Nhap!B28</f>
        <v/>
      </c>
      <c r="C28" s="36">
        <f>TKB_Nhap!C28</f>
        <v/>
      </c>
      <c r="D28" s="38">
        <f>IF(TKB_Nhap!D28="","",TKB_Nhap!D28&amp;CHAR(10)&amp;IF(T(INDEX(PhanCong!$B$3:$I$18,MATCH(TKB_Nhap!D28,PhanCong!$A$3:$A$18,0),MATCH($A28,PhanCong!$B$2:$I$2,0)))="","(chưa PC GV)","GV: "&amp;INDEX(PhanCong!$B$3:$I$18,MATCH(TKB_Nhap!D28,PhanCong!$A$3:$A$18,0),MATCH($A28,PhanCong!$B$2:$I$2,0))))</f>
        <v/>
      </c>
      <c r="E28" s="38">
        <f>IF(TKB_Nhap!E28="","",TKB_Nhap!E28&amp;CHAR(10)&amp;IF(T(INDEX(PhanCong!$B$3:$I$18,MATCH(TKB_Nhap!E28,PhanCong!$A$3:$A$18,0),MATCH($A28,PhanCong!$B$2:$I$2,0)))="","(chưa PC GV)","GV: "&amp;INDEX(PhanCong!$B$3:$I$18,MATCH(TKB_Nhap!E28,PhanCong!$A$3:$A$18,0),MATCH($A28,PhanCong!$B$2:$I$2,0))))</f>
        <v/>
      </c>
      <c r="F28" s="38">
        <f>IF(TKB_Nhap!F28="","",TKB_Nhap!F28&amp;CHAR(10)&amp;IF(T(INDEX(PhanCong!$B$3:$I$18,MATCH(TKB_Nhap!F28,PhanCong!$A$3:$A$18,0),MATCH($A28,PhanCong!$B$2:$I$2,0)))="","(chưa PC GV)","GV: "&amp;INDEX(PhanCong!$B$3:$I$18,MATCH(TKB_Nhap!F28,PhanCong!$A$3:$A$18,0),MATCH($A28,PhanCong!$B$2:$I$2,0))))</f>
        <v/>
      </c>
      <c r="G28" s="38">
        <f>IF(TKB_Nhap!G28="","",TKB_Nhap!G28&amp;CHAR(10)&amp;IF(T(INDEX(PhanCong!$B$3:$I$18,MATCH(TKB_Nhap!G28,PhanCong!$A$3:$A$18,0),MATCH($A28,PhanCong!$B$2:$I$2,0)))="","(chưa PC GV)","GV: "&amp;INDEX(PhanCong!$B$3:$I$18,MATCH(TKB_Nhap!G28,PhanCong!$A$3:$A$18,0),MATCH($A28,PhanCong!$B$2:$I$2,0))))</f>
        <v/>
      </c>
      <c r="H28" s="38">
        <f>IF(TKB_Nhap!H28="","",TKB_Nhap!H28&amp;CHAR(10)&amp;IF(T(INDEX(PhanCong!$B$3:$I$18,MATCH(TKB_Nhap!H28,PhanCong!$A$3:$A$18,0),MATCH($A28,PhanCong!$B$2:$I$2,0)))="","(chưa PC GV)","GV: "&amp;INDEX(PhanCong!$B$3:$I$18,MATCH(TKB_Nhap!H28,PhanCong!$A$3:$A$18,0),MATCH($A28,PhanCong!$B$2:$I$2,0))))</f>
        <v/>
      </c>
      <c r="I28" s="38">
        <f>IF(TKB_Nhap!I28="","",TKB_Nhap!I28&amp;CHAR(10)&amp;IF(T(INDEX(PhanCong!$B$3:$I$18,MATCH(TKB_Nhap!I28,PhanCong!$A$3:$A$18,0),MATCH($A28,PhanCong!$B$2:$I$2,0)))="","(chưa PC GV)","GV: "&amp;INDEX(PhanCong!$B$3:$I$18,MATCH(TKB_Nhap!I28,PhanCong!$A$3:$A$18,0),MATCH($A28,PhanCong!$B$2:$I$2,0))))</f>
        <v/>
      </c>
      <c r="J28" s="38" t="n"/>
    </row>
    <row r="29" ht="27.75" customHeight="1">
      <c r="A29" s="36">
        <f>TKB_Nhap!A29</f>
        <v/>
      </c>
      <c r="B29" s="36">
        <f>TKB_Nhap!B29</f>
        <v/>
      </c>
      <c r="C29" s="36">
        <f>TKB_Nhap!C29</f>
        <v/>
      </c>
      <c r="D29" s="38">
        <f>IF(TKB_Nhap!D29="","",TKB_Nhap!D29&amp;CHAR(10)&amp;IF(T(INDEX(PhanCong!$B$3:$I$18,MATCH(TKB_Nhap!D29,PhanCong!$A$3:$A$18,0),MATCH($A29,PhanCong!$B$2:$I$2,0)))="","(chưa PC GV)","GV: "&amp;INDEX(PhanCong!$B$3:$I$18,MATCH(TKB_Nhap!D29,PhanCong!$A$3:$A$18,0),MATCH($A29,PhanCong!$B$2:$I$2,0))))</f>
        <v/>
      </c>
      <c r="E29" s="38">
        <f>IF(TKB_Nhap!E29="","",TKB_Nhap!E29&amp;CHAR(10)&amp;IF(T(INDEX(PhanCong!$B$3:$I$18,MATCH(TKB_Nhap!E29,PhanCong!$A$3:$A$18,0),MATCH($A29,PhanCong!$B$2:$I$2,0)))="","(chưa PC GV)","GV: "&amp;INDEX(PhanCong!$B$3:$I$18,MATCH(TKB_Nhap!E29,PhanCong!$A$3:$A$18,0),MATCH($A29,PhanCong!$B$2:$I$2,0))))</f>
        <v/>
      </c>
      <c r="F29" s="38">
        <f>IF(TKB_Nhap!F29="","",TKB_Nhap!F29&amp;CHAR(10)&amp;IF(T(INDEX(PhanCong!$B$3:$I$18,MATCH(TKB_Nhap!F29,PhanCong!$A$3:$A$18,0),MATCH($A29,PhanCong!$B$2:$I$2,0)))="","(chưa PC GV)","GV: "&amp;INDEX(PhanCong!$B$3:$I$18,MATCH(TKB_Nhap!F29,PhanCong!$A$3:$A$18,0),MATCH($A29,PhanCong!$B$2:$I$2,0))))</f>
        <v/>
      </c>
      <c r="G29" s="38">
        <f>IF(TKB_Nhap!G29="","",TKB_Nhap!G29&amp;CHAR(10)&amp;IF(T(INDEX(PhanCong!$B$3:$I$18,MATCH(TKB_Nhap!G29,PhanCong!$A$3:$A$18,0),MATCH($A29,PhanCong!$B$2:$I$2,0)))="","(chưa PC GV)","GV: "&amp;INDEX(PhanCong!$B$3:$I$18,MATCH(TKB_Nhap!G29,PhanCong!$A$3:$A$18,0),MATCH($A29,PhanCong!$B$2:$I$2,0))))</f>
        <v/>
      </c>
      <c r="H29" s="38">
        <f>IF(TKB_Nhap!H29="","",TKB_Nhap!H29&amp;CHAR(10)&amp;IF(T(INDEX(PhanCong!$B$3:$I$18,MATCH(TKB_Nhap!H29,PhanCong!$A$3:$A$18,0),MATCH($A29,PhanCong!$B$2:$I$2,0)))="","(chưa PC GV)","GV: "&amp;INDEX(PhanCong!$B$3:$I$18,MATCH(TKB_Nhap!H29,PhanCong!$A$3:$A$18,0),MATCH($A29,PhanCong!$B$2:$I$2,0))))</f>
        <v/>
      </c>
      <c r="I29" s="38">
        <f>IF(TKB_Nhap!I29="","",TKB_Nhap!I29&amp;CHAR(10)&amp;IF(T(INDEX(PhanCong!$B$3:$I$18,MATCH(TKB_Nhap!I29,PhanCong!$A$3:$A$18,0),MATCH($A29,PhanCong!$B$2:$I$2,0)))="","(chưa PC GV)","GV: "&amp;INDEX(PhanCong!$B$3:$I$18,MATCH(TKB_Nhap!I29,PhanCong!$A$3:$A$18,0),MATCH($A29,PhanCong!$B$2:$I$2,0))))</f>
        <v/>
      </c>
      <c r="J29" s="38" t="n"/>
    </row>
    <row r="30" ht="27.75" customHeight="1">
      <c r="A30" s="36">
        <f>TKB_Nhap!A30</f>
        <v/>
      </c>
      <c r="B30" s="36">
        <f>TKB_Nhap!B30</f>
        <v/>
      </c>
      <c r="C30" s="36">
        <f>TKB_Nhap!C30</f>
        <v/>
      </c>
      <c r="D30" s="38">
        <f>IF(TKB_Nhap!D30="","",TKB_Nhap!D30&amp;CHAR(10)&amp;IF(T(INDEX(PhanCong!$B$3:$I$18,MATCH(TKB_Nhap!D30,PhanCong!$A$3:$A$18,0),MATCH($A30,PhanCong!$B$2:$I$2,0)))="","(chưa PC GV)","GV: "&amp;INDEX(PhanCong!$B$3:$I$18,MATCH(TKB_Nhap!D30,PhanCong!$A$3:$A$18,0),MATCH($A30,PhanCong!$B$2:$I$2,0))))</f>
        <v/>
      </c>
      <c r="E30" s="38">
        <f>IF(TKB_Nhap!E30="","",TKB_Nhap!E30&amp;CHAR(10)&amp;IF(T(INDEX(PhanCong!$B$3:$I$18,MATCH(TKB_Nhap!E30,PhanCong!$A$3:$A$18,0),MATCH($A30,PhanCong!$B$2:$I$2,0)))="","(chưa PC GV)","GV: "&amp;INDEX(PhanCong!$B$3:$I$18,MATCH(TKB_Nhap!E30,PhanCong!$A$3:$A$18,0),MATCH($A30,PhanCong!$B$2:$I$2,0))))</f>
        <v/>
      </c>
      <c r="F30" s="38">
        <f>IF(TKB_Nhap!F30="","",TKB_Nhap!F30&amp;CHAR(10)&amp;IF(T(INDEX(PhanCong!$B$3:$I$18,MATCH(TKB_Nhap!F30,PhanCong!$A$3:$A$18,0),MATCH($A30,PhanCong!$B$2:$I$2,0)))="","(chưa PC GV)","GV: "&amp;INDEX(PhanCong!$B$3:$I$18,MATCH(TKB_Nhap!F30,PhanCong!$A$3:$A$18,0),MATCH($A30,PhanCong!$B$2:$I$2,0))))</f>
        <v/>
      </c>
      <c r="G30" s="38">
        <f>IF(TKB_Nhap!G30="","",TKB_Nhap!G30&amp;CHAR(10)&amp;IF(T(INDEX(PhanCong!$B$3:$I$18,MATCH(TKB_Nhap!G30,PhanCong!$A$3:$A$18,0),MATCH($A30,PhanCong!$B$2:$I$2,0)))="","(chưa PC GV)","GV: "&amp;INDEX(PhanCong!$B$3:$I$18,MATCH(TKB_Nhap!G30,PhanCong!$A$3:$A$18,0),MATCH($A30,PhanCong!$B$2:$I$2,0))))</f>
        <v/>
      </c>
      <c r="H30" s="38">
        <f>IF(TKB_Nhap!H30="","",TKB_Nhap!H30&amp;CHAR(10)&amp;IF(T(INDEX(PhanCong!$B$3:$I$18,MATCH(TKB_Nhap!H30,PhanCong!$A$3:$A$18,0),MATCH($A30,PhanCong!$B$2:$I$2,0)))="","(chưa PC GV)","GV: "&amp;INDEX(PhanCong!$B$3:$I$18,MATCH(TKB_Nhap!H30,PhanCong!$A$3:$A$18,0),MATCH($A30,PhanCong!$B$2:$I$2,0))))</f>
        <v/>
      </c>
      <c r="I30" s="38">
        <f>IF(TKB_Nhap!I30="","",TKB_Nhap!I30&amp;CHAR(10)&amp;IF(T(INDEX(PhanCong!$B$3:$I$18,MATCH(TKB_Nhap!I30,PhanCong!$A$3:$A$18,0),MATCH($A30,PhanCong!$B$2:$I$2,0)))="","(chưa PC GV)","GV: "&amp;INDEX(PhanCong!$B$3:$I$18,MATCH(TKB_Nhap!I30,PhanCong!$A$3:$A$18,0),MATCH($A30,PhanCong!$B$2:$I$2,0))))</f>
        <v/>
      </c>
      <c r="J30" s="38" t="n"/>
    </row>
    <row r="31" ht="27.75" customHeight="1">
      <c r="A31" s="36">
        <f>TKB_Nhap!A31</f>
        <v/>
      </c>
      <c r="B31" s="36">
        <f>TKB_Nhap!B31</f>
        <v/>
      </c>
      <c r="C31" s="36">
        <f>TKB_Nhap!C31</f>
        <v/>
      </c>
      <c r="D31" s="38">
        <f>IF(TKB_Nhap!D31="","",TKB_Nhap!D31&amp;CHAR(10)&amp;IF(T(INDEX(PhanCong!$B$3:$I$18,MATCH(TKB_Nhap!D31,PhanCong!$A$3:$A$18,0),MATCH($A31,PhanCong!$B$2:$I$2,0)))="","(chưa PC GV)","GV: "&amp;INDEX(PhanCong!$B$3:$I$18,MATCH(TKB_Nhap!D31,PhanCong!$A$3:$A$18,0),MATCH($A31,PhanCong!$B$2:$I$2,0))))</f>
        <v/>
      </c>
      <c r="E31" s="38">
        <f>IF(TKB_Nhap!E31="","",TKB_Nhap!E31&amp;CHAR(10)&amp;IF(T(INDEX(PhanCong!$B$3:$I$18,MATCH(TKB_Nhap!E31,PhanCong!$A$3:$A$18,0),MATCH($A31,PhanCong!$B$2:$I$2,0)))="","(chưa PC GV)","GV: "&amp;INDEX(PhanCong!$B$3:$I$18,MATCH(TKB_Nhap!E31,PhanCong!$A$3:$A$18,0),MATCH($A31,PhanCong!$B$2:$I$2,0))))</f>
        <v/>
      </c>
      <c r="F31" s="38">
        <f>IF(TKB_Nhap!F31="","",TKB_Nhap!F31&amp;CHAR(10)&amp;IF(T(INDEX(PhanCong!$B$3:$I$18,MATCH(TKB_Nhap!F31,PhanCong!$A$3:$A$18,0),MATCH($A31,PhanCong!$B$2:$I$2,0)))="","(chưa PC GV)","GV: "&amp;INDEX(PhanCong!$B$3:$I$18,MATCH(TKB_Nhap!F31,PhanCong!$A$3:$A$18,0),MATCH($A31,PhanCong!$B$2:$I$2,0))))</f>
        <v/>
      </c>
      <c r="G31" s="38">
        <f>IF(TKB_Nhap!G31="","",TKB_Nhap!G31&amp;CHAR(10)&amp;IF(T(INDEX(PhanCong!$B$3:$I$18,MATCH(TKB_Nhap!G31,PhanCong!$A$3:$A$18,0),MATCH($A31,PhanCong!$B$2:$I$2,0)))="","(chưa PC GV)","GV: "&amp;INDEX(PhanCong!$B$3:$I$18,MATCH(TKB_Nhap!G31,PhanCong!$A$3:$A$18,0),MATCH($A31,PhanCong!$B$2:$I$2,0))))</f>
        <v/>
      </c>
      <c r="H31" s="38">
        <f>IF(TKB_Nhap!H31="","",TKB_Nhap!H31&amp;CHAR(10)&amp;IF(T(INDEX(PhanCong!$B$3:$I$18,MATCH(TKB_Nhap!H31,PhanCong!$A$3:$A$18,0),MATCH($A31,PhanCong!$B$2:$I$2,0)))="","(chưa PC GV)","GV: "&amp;INDEX(PhanCong!$B$3:$I$18,MATCH(TKB_Nhap!H31,PhanCong!$A$3:$A$18,0),MATCH($A31,PhanCong!$B$2:$I$2,0))))</f>
        <v/>
      </c>
      <c r="I31" s="38">
        <f>IF(TKB_Nhap!I31="","",TKB_Nhap!I31&amp;CHAR(10)&amp;IF(T(INDEX(PhanCong!$B$3:$I$18,MATCH(TKB_Nhap!I31,PhanCong!$A$3:$A$18,0),MATCH($A31,PhanCong!$B$2:$I$2,0)))="","(chưa PC GV)","GV: "&amp;INDEX(PhanCong!$B$3:$I$18,MATCH(TKB_Nhap!I31,PhanCong!$A$3:$A$18,0),MATCH($A31,PhanCong!$B$2:$I$2,0))))</f>
        <v/>
      </c>
      <c r="J31" s="38" t="n"/>
    </row>
    <row r="32" ht="27.75" customHeight="1">
      <c r="A32" s="36">
        <f>TKB_Nhap!A32</f>
        <v/>
      </c>
      <c r="B32" s="36">
        <f>TKB_Nhap!B32</f>
        <v/>
      </c>
      <c r="C32" s="36">
        <f>TKB_Nhap!C32</f>
        <v/>
      </c>
      <c r="D32" s="38">
        <f>IF(TKB_Nhap!D32="","",TKB_Nhap!D32&amp;CHAR(10)&amp;IF(T(INDEX(PhanCong!$B$3:$I$18,MATCH(TKB_Nhap!D32,PhanCong!$A$3:$A$18,0),MATCH($A32,PhanCong!$B$2:$I$2,0)))="","(chưa PC GV)","GV: "&amp;INDEX(PhanCong!$B$3:$I$18,MATCH(TKB_Nhap!D32,PhanCong!$A$3:$A$18,0),MATCH($A32,PhanCong!$B$2:$I$2,0))))</f>
        <v/>
      </c>
      <c r="E32" s="38">
        <f>IF(TKB_Nhap!E32="","",TKB_Nhap!E32&amp;CHAR(10)&amp;IF(T(INDEX(PhanCong!$B$3:$I$18,MATCH(TKB_Nhap!E32,PhanCong!$A$3:$A$18,0),MATCH($A32,PhanCong!$B$2:$I$2,0)))="","(chưa PC GV)","GV: "&amp;INDEX(PhanCong!$B$3:$I$18,MATCH(TKB_Nhap!E32,PhanCong!$A$3:$A$18,0),MATCH($A32,PhanCong!$B$2:$I$2,0))))</f>
        <v/>
      </c>
      <c r="F32" s="38">
        <f>IF(TKB_Nhap!F32="","",TKB_Nhap!F32&amp;CHAR(10)&amp;IF(T(INDEX(PhanCong!$B$3:$I$18,MATCH(TKB_Nhap!F32,PhanCong!$A$3:$A$18,0),MATCH($A32,PhanCong!$B$2:$I$2,0)))="","(chưa PC GV)","GV: "&amp;INDEX(PhanCong!$B$3:$I$18,MATCH(TKB_Nhap!F32,PhanCong!$A$3:$A$18,0),MATCH($A32,PhanCong!$B$2:$I$2,0))))</f>
        <v/>
      </c>
      <c r="G32" s="38">
        <f>IF(TKB_Nhap!G32="","",TKB_Nhap!G32&amp;CHAR(10)&amp;IF(T(INDEX(PhanCong!$B$3:$I$18,MATCH(TKB_Nhap!G32,PhanCong!$A$3:$A$18,0),MATCH($A32,PhanCong!$B$2:$I$2,0)))="","(chưa PC GV)","GV: "&amp;INDEX(PhanCong!$B$3:$I$18,MATCH(TKB_Nhap!G32,PhanCong!$A$3:$A$18,0),MATCH($A32,PhanCong!$B$2:$I$2,0))))</f>
        <v/>
      </c>
      <c r="H32" s="38">
        <f>IF(TKB_Nhap!H32="","",TKB_Nhap!H32&amp;CHAR(10)&amp;IF(T(INDEX(PhanCong!$B$3:$I$18,MATCH(TKB_Nhap!H32,PhanCong!$A$3:$A$18,0),MATCH($A32,PhanCong!$B$2:$I$2,0)))="","(chưa PC GV)","GV: "&amp;INDEX(PhanCong!$B$3:$I$18,MATCH(TKB_Nhap!H32,PhanCong!$A$3:$A$18,0),MATCH($A32,PhanCong!$B$2:$I$2,0))))</f>
        <v/>
      </c>
      <c r="I32" s="38">
        <f>IF(TKB_Nhap!I32="","",TKB_Nhap!I32&amp;CHAR(10)&amp;IF(T(INDEX(PhanCong!$B$3:$I$18,MATCH(TKB_Nhap!I32,PhanCong!$A$3:$A$18,0),MATCH($A32,PhanCong!$B$2:$I$2,0)))="","(chưa PC GV)","GV: "&amp;INDEX(PhanCong!$B$3:$I$18,MATCH(TKB_Nhap!I32,PhanCong!$A$3:$A$18,0),MATCH($A32,PhanCong!$B$2:$I$2,0))))</f>
        <v/>
      </c>
      <c r="J32" s="38" t="n"/>
    </row>
    <row r="33" ht="27.75" customHeight="1">
      <c r="A33" s="36">
        <f>TKB_Nhap!A33</f>
        <v/>
      </c>
      <c r="B33" s="36">
        <f>TKB_Nhap!B33</f>
        <v/>
      </c>
      <c r="C33" s="36">
        <f>TKB_Nhap!C33</f>
        <v/>
      </c>
      <c r="D33" s="38">
        <f>IF(TKB_Nhap!D33="","",TKB_Nhap!D33&amp;CHAR(10)&amp;IF(T(INDEX(PhanCong!$B$3:$I$18,MATCH(TKB_Nhap!D33,PhanCong!$A$3:$A$18,0),MATCH($A33,PhanCong!$B$2:$I$2,0)))="","(chưa PC GV)","GV: "&amp;INDEX(PhanCong!$B$3:$I$18,MATCH(TKB_Nhap!D33,PhanCong!$A$3:$A$18,0),MATCH($A33,PhanCong!$B$2:$I$2,0))))</f>
        <v/>
      </c>
      <c r="E33" s="38">
        <f>IF(TKB_Nhap!E33="","",TKB_Nhap!E33&amp;CHAR(10)&amp;IF(T(INDEX(PhanCong!$B$3:$I$18,MATCH(TKB_Nhap!E33,PhanCong!$A$3:$A$18,0),MATCH($A33,PhanCong!$B$2:$I$2,0)))="","(chưa PC GV)","GV: "&amp;INDEX(PhanCong!$B$3:$I$18,MATCH(TKB_Nhap!E33,PhanCong!$A$3:$A$18,0),MATCH($A33,PhanCong!$B$2:$I$2,0))))</f>
        <v/>
      </c>
      <c r="F33" s="38">
        <f>IF(TKB_Nhap!F33="","",TKB_Nhap!F33&amp;CHAR(10)&amp;IF(T(INDEX(PhanCong!$B$3:$I$18,MATCH(TKB_Nhap!F33,PhanCong!$A$3:$A$18,0),MATCH($A33,PhanCong!$B$2:$I$2,0)))="","(chưa PC GV)","GV: "&amp;INDEX(PhanCong!$B$3:$I$18,MATCH(TKB_Nhap!F33,PhanCong!$A$3:$A$18,0),MATCH($A33,PhanCong!$B$2:$I$2,0))))</f>
        <v/>
      </c>
      <c r="G33" s="38">
        <f>IF(TKB_Nhap!G33="","",TKB_Nhap!G33&amp;CHAR(10)&amp;IF(T(INDEX(PhanCong!$B$3:$I$18,MATCH(TKB_Nhap!G33,PhanCong!$A$3:$A$18,0),MATCH($A33,PhanCong!$B$2:$I$2,0)))="","(chưa PC GV)","GV: "&amp;INDEX(PhanCong!$B$3:$I$18,MATCH(TKB_Nhap!G33,PhanCong!$A$3:$A$18,0),MATCH($A33,PhanCong!$B$2:$I$2,0))))</f>
        <v/>
      </c>
      <c r="H33" s="38">
        <f>IF(TKB_Nhap!H33="","",TKB_Nhap!H33&amp;CHAR(10)&amp;IF(T(INDEX(PhanCong!$B$3:$I$18,MATCH(TKB_Nhap!H33,PhanCong!$A$3:$A$18,0),MATCH($A33,PhanCong!$B$2:$I$2,0)))="","(chưa PC GV)","GV: "&amp;INDEX(PhanCong!$B$3:$I$18,MATCH(TKB_Nhap!H33,PhanCong!$A$3:$A$18,0),MATCH($A33,PhanCong!$B$2:$I$2,0))))</f>
        <v/>
      </c>
      <c r="I33" s="38">
        <f>IF(TKB_Nhap!I33="","",TKB_Nhap!I33&amp;CHAR(10)&amp;IF(T(INDEX(PhanCong!$B$3:$I$18,MATCH(TKB_Nhap!I33,PhanCong!$A$3:$A$18,0),MATCH($A33,PhanCong!$B$2:$I$2,0)))="","(chưa PC GV)","GV: "&amp;INDEX(PhanCong!$B$3:$I$18,MATCH(TKB_Nhap!I33,PhanCong!$A$3:$A$18,0),MATCH($A33,PhanCong!$B$2:$I$2,0))))</f>
        <v/>
      </c>
      <c r="J33" s="38" t="n"/>
    </row>
    <row r="34" ht="27.75" customHeight="1">
      <c r="A34" s="30">
        <f>TKB_Nhap!A34</f>
        <v/>
      </c>
      <c r="B34" s="30">
        <f>TKB_Nhap!B34</f>
        <v/>
      </c>
      <c r="C34" s="30">
        <f>TKB_Nhap!C34</f>
        <v/>
      </c>
      <c r="D34" s="26">
        <f>IF(TKB_Nhap!D34="","",TKB_Nhap!D34&amp;CHAR(10)&amp;IF(T(INDEX(PhanCong!$B$3:$I$18,MATCH(TKB_Nhap!D34,PhanCong!$A$3:$A$18,0),MATCH($A34,PhanCong!$B$2:$I$2,0)))="","(chưa PC GV)","GV: "&amp;INDEX(PhanCong!$B$3:$I$18,MATCH(TKB_Nhap!D34,PhanCong!$A$3:$A$18,0),MATCH($A34,PhanCong!$B$2:$I$2,0))))</f>
        <v/>
      </c>
      <c r="E34" s="26">
        <f>IF(TKB_Nhap!E34="","",TKB_Nhap!E34&amp;CHAR(10)&amp;IF(T(INDEX(PhanCong!$B$3:$I$18,MATCH(TKB_Nhap!E34,PhanCong!$A$3:$A$18,0),MATCH($A34,PhanCong!$B$2:$I$2,0)))="","(chưa PC GV)","GV: "&amp;INDEX(PhanCong!$B$3:$I$18,MATCH(TKB_Nhap!E34,PhanCong!$A$3:$A$18,0),MATCH($A34,PhanCong!$B$2:$I$2,0))))</f>
        <v/>
      </c>
      <c r="F34" s="26">
        <f>IF(TKB_Nhap!F34="","",TKB_Nhap!F34&amp;CHAR(10)&amp;IF(T(INDEX(PhanCong!$B$3:$I$18,MATCH(TKB_Nhap!F34,PhanCong!$A$3:$A$18,0),MATCH($A34,PhanCong!$B$2:$I$2,0)))="","(chưa PC GV)","GV: "&amp;INDEX(PhanCong!$B$3:$I$18,MATCH(TKB_Nhap!F34,PhanCong!$A$3:$A$18,0),MATCH($A34,PhanCong!$B$2:$I$2,0))))</f>
        <v/>
      </c>
      <c r="G34" s="26">
        <f>IF(TKB_Nhap!G34="","",TKB_Nhap!G34&amp;CHAR(10)&amp;IF(T(INDEX(PhanCong!$B$3:$I$18,MATCH(TKB_Nhap!G34,PhanCong!$A$3:$A$18,0),MATCH($A34,PhanCong!$B$2:$I$2,0)))="","(chưa PC GV)","GV: "&amp;INDEX(PhanCong!$B$3:$I$18,MATCH(TKB_Nhap!G34,PhanCong!$A$3:$A$18,0),MATCH($A34,PhanCong!$B$2:$I$2,0))))</f>
        <v/>
      </c>
      <c r="H34" s="26">
        <f>IF(TKB_Nhap!H34="","",TKB_Nhap!H34&amp;CHAR(10)&amp;IF(T(INDEX(PhanCong!$B$3:$I$18,MATCH(TKB_Nhap!H34,PhanCong!$A$3:$A$18,0),MATCH($A34,PhanCong!$B$2:$I$2,0)))="","(chưa PC GV)","GV: "&amp;INDEX(PhanCong!$B$3:$I$18,MATCH(TKB_Nhap!H34,PhanCong!$A$3:$A$18,0),MATCH($A34,PhanCong!$B$2:$I$2,0))))</f>
        <v/>
      </c>
      <c r="I34" s="26">
        <f>IF(TKB_Nhap!I34="","",TKB_Nhap!I34&amp;CHAR(10)&amp;IF(T(INDEX(PhanCong!$B$3:$I$18,MATCH(TKB_Nhap!I34,PhanCong!$A$3:$A$18,0),MATCH($A34,PhanCong!$B$2:$I$2,0)))="","(chưa PC GV)","GV: "&amp;INDEX(PhanCong!$B$3:$I$18,MATCH(TKB_Nhap!I34,PhanCong!$A$3:$A$18,0),MATCH($A34,PhanCong!$B$2:$I$2,0))))</f>
        <v/>
      </c>
      <c r="J34" s="26" t="n"/>
    </row>
    <row r="35" ht="27.75" customHeight="1">
      <c r="A35" s="30">
        <f>TKB_Nhap!A35</f>
        <v/>
      </c>
      <c r="B35" s="30">
        <f>TKB_Nhap!B35</f>
        <v/>
      </c>
      <c r="C35" s="30">
        <f>TKB_Nhap!C35</f>
        <v/>
      </c>
      <c r="D35" s="26">
        <f>IF(TKB_Nhap!D35="","",TKB_Nhap!D35&amp;CHAR(10)&amp;IF(T(INDEX(PhanCong!$B$3:$I$18,MATCH(TKB_Nhap!D35,PhanCong!$A$3:$A$18,0),MATCH($A35,PhanCong!$B$2:$I$2,0)))="","(chưa PC GV)","GV: "&amp;INDEX(PhanCong!$B$3:$I$18,MATCH(TKB_Nhap!D35,PhanCong!$A$3:$A$18,0),MATCH($A35,PhanCong!$B$2:$I$2,0))))</f>
        <v/>
      </c>
      <c r="E35" s="26">
        <f>IF(TKB_Nhap!E35="","",TKB_Nhap!E35&amp;CHAR(10)&amp;IF(T(INDEX(PhanCong!$B$3:$I$18,MATCH(TKB_Nhap!E35,PhanCong!$A$3:$A$18,0),MATCH($A35,PhanCong!$B$2:$I$2,0)))="","(chưa PC GV)","GV: "&amp;INDEX(PhanCong!$B$3:$I$18,MATCH(TKB_Nhap!E35,PhanCong!$A$3:$A$18,0),MATCH($A35,PhanCong!$B$2:$I$2,0))))</f>
        <v/>
      </c>
      <c r="F35" s="26">
        <f>IF(TKB_Nhap!F35="","",TKB_Nhap!F35&amp;CHAR(10)&amp;IF(T(INDEX(PhanCong!$B$3:$I$18,MATCH(TKB_Nhap!F35,PhanCong!$A$3:$A$18,0),MATCH($A35,PhanCong!$B$2:$I$2,0)))="","(chưa PC GV)","GV: "&amp;INDEX(PhanCong!$B$3:$I$18,MATCH(TKB_Nhap!F35,PhanCong!$A$3:$A$18,0),MATCH($A35,PhanCong!$B$2:$I$2,0))))</f>
        <v/>
      </c>
      <c r="G35" s="26">
        <f>IF(TKB_Nhap!G35="","",TKB_Nhap!G35&amp;CHAR(10)&amp;IF(T(INDEX(PhanCong!$B$3:$I$18,MATCH(TKB_Nhap!G35,PhanCong!$A$3:$A$18,0),MATCH($A35,PhanCong!$B$2:$I$2,0)))="","(chưa PC GV)","GV: "&amp;INDEX(PhanCong!$B$3:$I$18,MATCH(TKB_Nhap!G35,PhanCong!$A$3:$A$18,0),MATCH($A35,PhanCong!$B$2:$I$2,0))))</f>
        <v/>
      </c>
      <c r="H35" s="26">
        <f>IF(TKB_Nhap!H35="","",TKB_Nhap!H35&amp;CHAR(10)&amp;IF(T(INDEX(PhanCong!$B$3:$I$18,MATCH(TKB_Nhap!H35,PhanCong!$A$3:$A$18,0),MATCH($A35,PhanCong!$B$2:$I$2,0)))="","(chưa PC GV)","GV: "&amp;INDEX(PhanCong!$B$3:$I$18,MATCH(TKB_Nhap!H35,PhanCong!$A$3:$A$18,0),MATCH($A35,PhanCong!$B$2:$I$2,0))))</f>
        <v/>
      </c>
      <c r="I35" s="26">
        <f>IF(TKB_Nhap!I35="","",TKB_Nhap!I35&amp;CHAR(10)&amp;IF(T(INDEX(PhanCong!$B$3:$I$18,MATCH(TKB_Nhap!I35,PhanCong!$A$3:$A$18,0),MATCH($A35,PhanCong!$B$2:$I$2,0)))="","(chưa PC GV)","GV: "&amp;INDEX(PhanCong!$B$3:$I$18,MATCH(TKB_Nhap!I35,PhanCong!$A$3:$A$18,0),MATCH($A35,PhanCong!$B$2:$I$2,0))))</f>
        <v/>
      </c>
      <c r="J35" s="26" t="n"/>
    </row>
    <row r="36" ht="27.75" customHeight="1">
      <c r="A36" s="30">
        <f>TKB_Nhap!A36</f>
        <v/>
      </c>
      <c r="B36" s="30">
        <f>TKB_Nhap!B36</f>
        <v/>
      </c>
      <c r="C36" s="30">
        <f>TKB_Nhap!C36</f>
        <v/>
      </c>
      <c r="D36" s="26">
        <f>IF(TKB_Nhap!D36="","",TKB_Nhap!D36&amp;CHAR(10)&amp;IF(T(INDEX(PhanCong!$B$3:$I$18,MATCH(TKB_Nhap!D36,PhanCong!$A$3:$A$18,0),MATCH($A36,PhanCong!$B$2:$I$2,0)))="","(chưa PC GV)","GV: "&amp;INDEX(PhanCong!$B$3:$I$18,MATCH(TKB_Nhap!D36,PhanCong!$A$3:$A$18,0),MATCH($A36,PhanCong!$B$2:$I$2,0))))</f>
        <v/>
      </c>
      <c r="E36" s="26">
        <f>IF(TKB_Nhap!E36="","",TKB_Nhap!E36&amp;CHAR(10)&amp;IF(T(INDEX(PhanCong!$B$3:$I$18,MATCH(TKB_Nhap!E36,PhanCong!$A$3:$A$18,0),MATCH($A36,PhanCong!$B$2:$I$2,0)))="","(chưa PC GV)","GV: "&amp;INDEX(PhanCong!$B$3:$I$18,MATCH(TKB_Nhap!E36,PhanCong!$A$3:$A$18,0),MATCH($A36,PhanCong!$B$2:$I$2,0))))</f>
        <v/>
      </c>
      <c r="F36" s="26">
        <f>IF(TKB_Nhap!F36="","",TKB_Nhap!F36&amp;CHAR(10)&amp;IF(T(INDEX(PhanCong!$B$3:$I$18,MATCH(TKB_Nhap!F36,PhanCong!$A$3:$A$18,0),MATCH($A36,PhanCong!$B$2:$I$2,0)))="","(chưa PC GV)","GV: "&amp;INDEX(PhanCong!$B$3:$I$18,MATCH(TKB_Nhap!F36,PhanCong!$A$3:$A$18,0),MATCH($A36,PhanCong!$B$2:$I$2,0))))</f>
        <v/>
      </c>
      <c r="G36" s="26">
        <f>IF(TKB_Nhap!G36="","",TKB_Nhap!G36&amp;CHAR(10)&amp;IF(T(INDEX(PhanCong!$B$3:$I$18,MATCH(TKB_Nhap!G36,PhanCong!$A$3:$A$18,0),MATCH($A36,PhanCong!$B$2:$I$2,0)))="","(chưa PC GV)","GV: "&amp;INDEX(PhanCong!$B$3:$I$18,MATCH(TKB_Nhap!G36,PhanCong!$A$3:$A$18,0),MATCH($A36,PhanCong!$B$2:$I$2,0))))</f>
        <v/>
      </c>
      <c r="H36" s="26">
        <f>IF(TKB_Nhap!H36="","",TKB_Nhap!H36&amp;CHAR(10)&amp;IF(T(INDEX(PhanCong!$B$3:$I$18,MATCH(TKB_Nhap!H36,PhanCong!$A$3:$A$18,0),MATCH($A36,PhanCong!$B$2:$I$2,0)))="","(chưa PC GV)","GV: "&amp;INDEX(PhanCong!$B$3:$I$18,MATCH(TKB_Nhap!H36,PhanCong!$A$3:$A$18,0),MATCH($A36,PhanCong!$B$2:$I$2,0))))</f>
        <v/>
      </c>
      <c r="I36" s="26">
        <f>IF(TKB_Nhap!I36="","",TKB_Nhap!I36&amp;CHAR(10)&amp;IF(T(INDEX(PhanCong!$B$3:$I$18,MATCH(TKB_Nhap!I36,PhanCong!$A$3:$A$18,0),MATCH($A36,PhanCong!$B$2:$I$2,0)))="","(chưa PC GV)","GV: "&amp;INDEX(PhanCong!$B$3:$I$18,MATCH(TKB_Nhap!I36,PhanCong!$A$3:$A$18,0),MATCH($A36,PhanCong!$B$2:$I$2,0))))</f>
        <v/>
      </c>
      <c r="J36" s="26" t="n"/>
    </row>
    <row r="37" ht="27.75" customHeight="1">
      <c r="A37" s="30">
        <f>TKB_Nhap!A37</f>
        <v/>
      </c>
      <c r="B37" s="30">
        <f>TKB_Nhap!B37</f>
        <v/>
      </c>
      <c r="C37" s="30">
        <f>TKB_Nhap!C37</f>
        <v/>
      </c>
      <c r="D37" s="26">
        <f>IF(TKB_Nhap!D37="","",TKB_Nhap!D37&amp;CHAR(10)&amp;IF(T(INDEX(PhanCong!$B$3:$I$18,MATCH(TKB_Nhap!D37,PhanCong!$A$3:$A$18,0),MATCH($A37,PhanCong!$B$2:$I$2,0)))="","(chưa PC GV)","GV: "&amp;INDEX(PhanCong!$B$3:$I$18,MATCH(TKB_Nhap!D37,PhanCong!$A$3:$A$18,0),MATCH($A37,PhanCong!$B$2:$I$2,0))))</f>
        <v/>
      </c>
      <c r="E37" s="26">
        <f>IF(TKB_Nhap!E37="","",TKB_Nhap!E37&amp;CHAR(10)&amp;IF(T(INDEX(PhanCong!$B$3:$I$18,MATCH(TKB_Nhap!E37,PhanCong!$A$3:$A$18,0),MATCH($A37,PhanCong!$B$2:$I$2,0)))="","(chưa PC GV)","GV: "&amp;INDEX(PhanCong!$B$3:$I$18,MATCH(TKB_Nhap!E37,PhanCong!$A$3:$A$18,0),MATCH($A37,PhanCong!$B$2:$I$2,0))))</f>
        <v/>
      </c>
      <c r="F37" s="26">
        <f>IF(TKB_Nhap!F37="","",TKB_Nhap!F37&amp;CHAR(10)&amp;IF(T(INDEX(PhanCong!$B$3:$I$18,MATCH(TKB_Nhap!F37,PhanCong!$A$3:$A$18,0),MATCH($A37,PhanCong!$B$2:$I$2,0)))="","(chưa PC GV)","GV: "&amp;INDEX(PhanCong!$B$3:$I$18,MATCH(TKB_Nhap!F37,PhanCong!$A$3:$A$18,0),MATCH($A37,PhanCong!$B$2:$I$2,0))))</f>
        <v/>
      </c>
      <c r="G37" s="26">
        <f>IF(TKB_Nhap!G37="","",TKB_Nhap!G37&amp;CHAR(10)&amp;IF(T(INDEX(PhanCong!$B$3:$I$18,MATCH(TKB_Nhap!G37,PhanCong!$A$3:$A$18,0),MATCH($A37,PhanCong!$B$2:$I$2,0)))="","(chưa PC GV)","GV: "&amp;INDEX(PhanCong!$B$3:$I$18,MATCH(TKB_Nhap!G37,PhanCong!$A$3:$A$18,0),MATCH($A37,PhanCong!$B$2:$I$2,0))))</f>
        <v/>
      </c>
      <c r="H37" s="26">
        <f>IF(TKB_Nhap!H37="","",TKB_Nhap!H37&amp;CHAR(10)&amp;IF(T(INDEX(PhanCong!$B$3:$I$18,MATCH(TKB_Nhap!H37,PhanCong!$A$3:$A$18,0),MATCH($A37,PhanCong!$B$2:$I$2,0)))="","(chưa PC GV)","GV: "&amp;INDEX(PhanCong!$B$3:$I$18,MATCH(TKB_Nhap!H37,PhanCong!$A$3:$A$18,0),MATCH($A37,PhanCong!$B$2:$I$2,0))))</f>
        <v/>
      </c>
      <c r="I37" s="26">
        <f>IF(TKB_Nhap!I37="","",TKB_Nhap!I37&amp;CHAR(10)&amp;IF(T(INDEX(PhanCong!$B$3:$I$18,MATCH(TKB_Nhap!I37,PhanCong!$A$3:$A$18,0),MATCH($A37,PhanCong!$B$2:$I$2,0)))="","(chưa PC GV)","GV: "&amp;INDEX(PhanCong!$B$3:$I$18,MATCH(TKB_Nhap!I37,PhanCong!$A$3:$A$18,0),MATCH($A37,PhanCong!$B$2:$I$2,0))))</f>
        <v/>
      </c>
      <c r="J37" s="26" t="n"/>
    </row>
    <row r="38" ht="27.75" customHeight="1">
      <c r="A38" s="30">
        <f>TKB_Nhap!A38</f>
        <v/>
      </c>
      <c r="B38" s="30">
        <f>TKB_Nhap!B38</f>
        <v/>
      </c>
      <c r="C38" s="30">
        <f>TKB_Nhap!C38</f>
        <v/>
      </c>
      <c r="D38" s="26">
        <f>IF(TKB_Nhap!D38="","",TKB_Nhap!D38&amp;CHAR(10)&amp;IF(T(INDEX(PhanCong!$B$3:$I$18,MATCH(TKB_Nhap!D38,PhanCong!$A$3:$A$18,0),MATCH($A38,PhanCong!$B$2:$I$2,0)))="","(chưa PC GV)","GV: "&amp;INDEX(PhanCong!$B$3:$I$18,MATCH(TKB_Nhap!D38,PhanCong!$A$3:$A$18,0),MATCH($A38,PhanCong!$B$2:$I$2,0))))</f>
        <v/>
      </c>
      <c r="E38" s="26">
        <f>IF(TKB_Nhap!E38="","",TKB_Nhap!E38&amp;CHAR(10)&amp;IF(T(INDEX(PhanCong!$B$3:$I$18,MATCH(TKB_Nhap!E38,PhanCong!$A$3:$A$18,0),MATCH($A38,PhanCong!$B$2:$I$2,0)))="","(chưa PC GV)","GV: "&amp;INDEX(PhanCong!$B$3:$I$18,MATCH(TKB_Nhap!E38,PhanCong!$A$3:$A$18,0),MATCH($A38,PhanCong!$B$2:$I$2,0))))</f>
        <v/>
      </c>
      <c r="F38" s="26">
        <f>IF(TKB_Nhap!F38="","",TKB_Nhap!F38&amp;CHAR(10)&amp;IF(T(INDEX(PhanCong!$B$3:$I$18,MATCH(TKB_Nhap!F38,PhanCong!$A$3:$A$18,0),MATCH($A38,PhanCong!$B$2:$I$2,0)))="","(chưa PC GV)","GV: "&amp;INDEX(PhanCong!$B$3:$I$18,MATCH(TKB_Nhap!F38,PhanCong!$A$3:$A$18,0),MATCH($A38,PhanCong!$B$2:$I$2,0))))</f>
        <v/>
      </c>
      <c r="G38" s="26">
        <f>IF(TKB_Nhap!G38="","",TKB_Nhap!G38&amp;CHAR(10)&amp;IF(T(INDEX(PhanCong!$B$3:$I$18,MATCH(TKB_Nhap!G38,PhanCong!$A$3:$A$18,0),MATCH($A38,PhanCong!$B$2:$I$2,0)))="","(chưa PC GV)","GV: "&amp;INDEX(PhanCong!$B$3:$I$18,MATCH(TKB_Nhap!G38,PhanCong!$A$3:$A$18,0),MATCH($A38,PhanCong!$B$2:$I$2,0))))</f>
        <v/>
      </c>
      <c r="H38" s="26">
        <f>IF(TKB_Nhap!H38="","",TKB_Nhap!H38&amp;CHAR(10)&amp;IF(T(INDEX(PhanCong!$B$3:$I$18,MATCH(TKB_Nhap!H38,PhanCong!$A$3:$A$18,0),MATCH($A38,PhanCong!$B$2:$I$2,0)))="","(chưa PC GV)","GV: "&amp;INDEX(PhanCong!$B$3:$I$18,MATCH(TKB_Nhap!H38,PhanCong!$A$3:$A$18,0),MATCH($A38,PhanCong!$B$2:$I$2,0))))</f>
        <v/>
      </c>
      <c r="I38" s="26">
        <f>IF(TKB_Nhap!I38="","",TKB_Nhap!I38&amp;CHAR(10)&amp;IF(T(INDEX(PhanCong!$B$3:$I$18,MATCH(TKB_Nhap!I38,PhanCong!$A$3:$A$18,0),MATCH($A38,PhanCong!$B$2:$I$2,0)))="","(chưa PC GV)","GV: "&amp;INDEX(PhanCong!$B$3:$I$18,MATCH(TKB_Nhap!I38,PhanCong!$A$3:$A$18,0),MATCH($A38,PhanCong!$B$2:$I$2,0))))</f>
        <v/>
      </c>
      <c r="J38" s="26" t="n"/>
    </row>
    <row r="39" ht="27.75" customHeight="1">
      <c r="A39" s="30">
        <f>TKB_Nhap!A39</f>
        <v/>
      </c>
      <c r="B39" s="30">
        <f>TKB_Nhap!B39</f>
        <v/>
      </c>
      <c r="C39" s="30">
        <f>TKB_Nhap!C39</f>
        <v/>
      </c>
      <c r="D39" s="26">
        <f>IF(TKB_Nhap!D39="","",TKB_Nhap!D39&amp;CHAR(10)&amp;IF(T(INDEX(PhanCong!$B$3:$I$18,MATCH(TKB_Nhap!D39,PhanCong!$A$3:$A$18,0),MATCH($A39,PhanCong!$B$2:$I$2,0)))="","(chưa PC GV)","GV: "&amp;INDEX(PhanCong!$B$3:$I$18,MATCH(TKB_Nhap!D39,PhanCong!$A$3:$A$18,0),MATCH($A39,PhanCong!$B$2:$I$2,0))))</f>
        <v/>
      </c>
      <c r="E39" s="26">
        <f>IF(TKB_Nhap!E39="","",TKB_Nhap!E39&amp;CHAR(10)&amp;IF(T(INDEX(PhanCong!$B$3:$I$18,MATCH(TKB_Nhap!E39,PhanCong!$A$3:$A$18,0),MATCH($A39,PhanCong!$B$2:$I$2,0)))="","(chưa PC GV)","GV: "&amp;INDEX(PhanCong!$B$3:$I$18,MATCH(TKB_Nhap!E39,PhanCong!$A$3:$A$18,0),MATCH($A39,PhanCong!$B$2:$I$2,0))))</f>
        <v/>
      </c>
      <c r="F39" s="26">
        <f>IF(TKB_Nhap!F39="","",TKB_Nhap!F39&amp;CHAR(10)&amp;IF(T(INDEX(PhanCong!$B$3:$I$18,MATCH(TKB_Nhap!F39,PhanCong!$A$3:$A$18,0),MATCH($A39,PhanCong!$B$2:$I$2,0)))="","(chưa PC GV)","GV: "&amp;INDEX(PhanCong!$B$3:$I$18,MATCH(TKB_Nhap!F39,PhanCong!$A$3:$A$18,0),MATCH($A39,PhanCong!$B$2:$I$2,0))))</f>
        <v/>
      </c>
      <c r="G39" s="26">
        <f>IF(TKB_Nhap!G39="","",TKB_Nhap!G39&amp;CHAR(10)&amp;IF(T(INDEX(PhanCong!$B$3:$I$18,MATCH(TKB_Nhap!G39,PhanCong!$A$3:$A$18,0),MATCH($A39,PhanCong!$B$2:$I$2,0)))="","(chưa PC GV)","GV: "&amp;INDEX(PhanCong!$B$3:$I$18,MATCH(TKB_Nhap!G39,PhanCong!$A$3:$A$18,0),MATCH($A39,PhanCong!$B$2:$I$2,0))))</f>
        <v/>
      </c>
      <c r="H39" s="26">
        <f>IF(TKB_Nhap!H39="","",TKB_Nhap!H39&amp;CHAR(10)&amp;IF(T(INDEX(PhanCong!$B$3:$I$18,MATCH(TKB_Nhap!H39,PhanCong!$A$3:$A$18,0),MATCH($A39,PhanCong!$B$2:$I$2,0)))="","(chưa PC GV)","GV: "&amp;INDEX(PhanCong!$B$3:$I$18,MATCH(TKB_Nhap!H39,PhanCong!$A$3:$A$18,0),MATCH($A39,PhanCong!$B$2:$I$2,0))))</f>
        <v/>
      </c>
      <c r="I39" s="26">
        <f>IF(TKB_Nhap!I39="","",TKB_Nhap!I39&amp;CHAR(10)&amp;IF(T(INDEX(PhanCong!$B$3:$I$18,MATCH(TKB_Nhap!I39,PhanCong!$A$3:$A$18,0),MATCH($A39,PhanCong!$B$2:$I$2,0)))="","(chưa PC GV)","GV: "&amp;INDEX(PhanCong!$B$3:$I$18,MATCH(TKB_Nhap!I39,PhanCong!$A$3:$A$18,0),MATCH($A39,PhanCong!$B$2:$I$2,0))))</f>
        <v/>
      </c>
      <c r="J39" s="26" t="n"/>
    </row>
    <row r="40" ht="27.75" customHeight="1">
      <c r="A40" s="30">
        <f>TKB_Nhap!A40</f>
        <v/>
      </c>
      <c r="B40" s="30">
        <f>TKB_Nhap!B40</f>
        <v/>
      </c>
      <c r="C40" s="30">
        <f>TKB_Nhap!C40</f>
        <v/>
      </c>
      <c r="D40" s="26">
        <f>IF(TKB_Nhap!D40="","",TKB_Nhap!D40&amp;CHAR(10)&amp;IF(T(INDEX(PhanCong!$B$3:$I$18,MATCH(TKB_Nhap!D40,PhanCong!$A$3:$A$18,0),MATCH($A40,PhanCong!$B$2:$I$2,0)))="","(chưa PC GV)","GV: "&amp;INDEX(PhanCong!$B$3:$I$18,MATCH(TKB_Nhap!D40,PhanCong!$A$3:$A$18,0),MATCH($A40,PhanCong!$B$2:$I$2,0))))</f>
        <v/>
      </c>
      <c r="E40" s="26">
        <f>IF(TKB_Nhap!E40="","",TKB_Nhap!E40&amp;CHAR(10)&amp;IF(T(INDEX(PhanCong!$B$3:$I$18,MATCH(TKB_Nhap!E40,PhanCong!$A$3:$A$18,0),MATCH($A40,PhanCong!$B$2:$I$2,0)))="","(chưa PC GV)","GV: "&amp;INDEX(PhanCong!$B$3:$I$18,MATCH(TKB_Nhap!E40,PhanCong!$A$3:$A$18,0),MATCH($A40,PhanCong!$B$2:$I$2,0))))</f>
        <v/>
      </c>
      <c r="F40" s="26">
        <f>IF(TKB_Nhap!F40="","",TKB_Nhap!F40&amp;CHAR(10)&amp;IF(T(INDEX(PhanCong!$B$3:$I$18,MATCH(TKB_Nhap!F40,PhanCong!$A$3:$A$18,0),MATCH($A40,PhanCong!$B$2:$I$2,0)))="","(chưa PC GV)","GV: "&amp;INDEX(PhanCong!$B$3:$I$18,MATCH(TKB_Nhap!F40,PhanCong!$A$3:$A$18,0),MATCH($A40,PhanCong!$B$2:$I$2,0))))</f>
        <v/>
      </c>
      <c r="G40" s="26">
        <f>IF(TKB_Nhap!G40="","",TKB_Nhap!G40&amp;CHAR(10)&amp;IF(T(INDEX(PhanCong!$B$3:$I$18,MATCH(TKB_Nhap!G40,PhanCong!$A$3:$A$18,0),MATCH($A40,PhanCong!$B$2:$I$2,0)))="","(chưa PC GV)","GV: "&amp;INDEX(PhanCong!$B$3:$I$18,MATCH(TKB_Nhap!G40,PhanCong!$A$3:$A$18,0),MATCH($A40,PhanCong!$B$2:$I$2,0))))</f>
        <v/>
      </c>
      <c r="H40" s="26">
        <f>IF(TKB_Nhap!H40="","",TKB_Nhap!H40&amp;CHAR(10)&amp;IF(T(INDEX(PhanCong!$B$3:$I$18,MATCH(TKB_Nhap!H40,PhanCong!$A$3:$A$18,0),MATCH($A40,PhanCong!$B$2:$I$2,0)))="","(chưa PC GV)","GV: "&amp;INDEX(PhanCong!$B$3:$I$18,MATCH(TKB_Nhap!H40,PhanCong!$A$3:$A$18,0),MATCH($A40,PhanCong!$B$2:$I$2,0))))</f>
        <v/>
      </c>
      <c r="I40" s="26">
        <f>IF(TKB_Nhap!I40="","",TKB_Nhap!I40&amp;CHAR(10)&amp;IF(T(INDEX(PhanCong!$B$3:$I$18,MATCH(TKB_Nhap!I40,PhanCong!$A$3:$A$18,0),MATCH($A40,PhanCong!$B$2:$I$2,0)))="","(chưa PC GV)","GV: "&amp;INDEX(PhanCong!$B$3:$I$18,MATCH(TKB_Nhap!I40,PhanCong!$A$3:$A$18,0),MATCH($A40,PhanCong!$B$2:$I$2,0))))</f>
        <v/>
      </c>
      <c r="J40" s="26" t="n"/>
    </row>
    <row r="41" ht="27.75" customHeight="1">
      <c r="A41" s="30">
        <f>TKB_Nhap!A41</f>
        <v/>
      </c>
      <c r="B41" s="30">
        <f>TKB_Nhap!B41</f>
        <v/>
      </c>
      <c r="C41" s="30">
        <f>TKB_Nhap!C41</f>
        <v/>
      </c>
      <c r="D41" s="26">
        <f>IF(TKB_Nhap!D41="","",TKB_Nhap!D41&amp;CHAR(10)&amp;IF(T(INDEX(PhanCong!$B$3:$I$18,MATCH(TKB_Nhap!D41,PhanCong!$A$3:$A$18,0),MATCH($A41,PhanCong!$B$2:$I$2,0)))="","(chưa PC GV)","GV: "&amp;INDEX(PhanCong!$B$3:$I$18,MATCH(TKB_Nhap!D41,PhanCong!$A$3:$A$18,0),MATCH($A41,PhanCong!$B$2:$I$2,0))))</f>
        <v/>
      </c>
      <c r="E41" s="26">
        <f>IF(TKB_Nhap!E41="","",TKB_Nhap!E41&amp;CHAR(10)&amp;IF(T(INDEX(PhanCong!$B$3:$I$18,MATCH(TKB_Nhap!E41,PhanCong!$A$3:$A$18,0),MATCH($A41,PhanCong!$B$2:$I$2,0)))="","(chưa PC GV)","GV: "&amp;INDEX(PhanCong!$B$3:$I$18,MATCH(TKB_Nhap!E41,PhanCong!$A$3:$A$18,0),MATCH($A41,PhanCong!$B$2:$I$2,0))))</f>
        <v/>
      </c>
      <c r="F41" s="26">
        <f>IF(TKB_Nhap!F41="","",TKB_Nhap!F41&amp;CHAR(10)&amp;IF(T(INDEX(PhanCong!$B$3:$I$18,MATCH(TKB_Nhap!F41,PhanCong!$A$3:$A$18,0),MATCH($A41,PhanCong!$B$2:$I$2,0)))="","(chưa PC GV)","GV: "&amp;INDEX(PhanCong!$B$3:$I$18,MATCH(TKB_Nhap!F41,PhanCong!$A$3:$A$18,0),MATCH($A41,PhanCong!$B$2:$I$2,0))))</f>
        <v/>
      </c>
      <c r="G41" s="26">
        <f>IF(TKB_Nhap!G41="","",TKB_Nhap!G41&amp;CHAR(10)&amp;IF(T(INDEX(PhanCong!$B$3:$I$18,MATCH(TKB_Nhap!G41,PhanCong!$A$3:$A$18,0),MATCH($A41,PhanCong!$B$2:$I$2,0)))="","(chưa PC GV)","GV: "&amp;INDEX(PhanCong!$B$3:$I$18,MATCH(TKB_Nhap!G41,PhanCong!$A$3:$A$18,0),MATCH($A41,PhanCong!$B$2:$I$2,0))))</f>
        <v/>
      </c>
      <c r="H41" s="26">
        <f>IF(TKB_Nhap!H41="","",TKB_Nhap!H41&amp;CHAR(10)&amp;IF(T(INDEX(PhanCong!$B$3:$I$18,MATCH(TKB_Nhap!H41,PhanCong!$A$3:$A$18,0),MATCH($A41,PhanCong!$B$2:$I$2,0)))="","(chưa PC GV)","GV: "&amp;INDEX(PhanCong!$B$3:$I$18,MATCH(TKB_Nhap!H41,PhanCong!$A$3:$A$18,0),MATCH($A41,PhanCong!$B$2:$I$2,0))))</f>
        <v/>
      </c>
      <c r="I41" s="26">
        <f>IF(TKB_Nhap!I41="","",TKB_Nhap!I41&amp;CHAR(10)&amp;IF(T(INDEX(PhanCong!$B$3:$I$18,MATCH(TKB_Nhap!I41,PhanCong!$A$3:$A$18,0),MATCH($A41,PhanCong!$B$2:$I$2,0)))="","(chưa PC GV)","GV: "&amp;INDEX(PhanCong!$B$3:$I$18,MATCH(TKB_Nhap!I41,PhanCong!$A$3:$A$18,0),MATCH($A41,PhanCong!$B$2:$I$2,0))))</f>
        <v/>
      </c>
      <c r="J41" s="26" t="n"/>
    </row>
    <row r="42" ht="27.75" customHeight="1">
      <c r="A42" s="36">
        <f>TKB_Nhap!A42</f>
        <v/>
      </c>
      <c r="B42" s="36">
        <f>TKB_Nhap!B42</f>
        <v/>
      </c>
      <c r="C42" s="36">
        <f>TKB_Nhap!C42</f>
        <v/>
      </c>
      <c r="D42" s="38">
        <f>IF(TKB_Nhap!D42="","",TKB_Nhap!D42&amp;CHAR(10)&amp;IF(T(INDEX(PhanCong!$B$3:$I$18,MATCH(TKB_Nhap!D42,PhanCong!$A$3:$A$18,0),MATCH($A42,PhanCong!$B$2:$I$2,0)))="","(chưa PC GV)","GV: "&amp;INDEX(PhanCong!$B$3:$I$18,MATCH(TKB_Nhap!D42,PhanCong!$A$3:$A$18,0),MATCH($A42,PhanCong!$B$2:$I$2,0))))</f>
        <v/>
      </c>
      <c r="E42" s="38">
        <f>IF(TKB_Nhap!E42="","",TKB_Nhap!E42&amp;CHAR(10)&amp;IF(T(INDEX(PhanCong!$B$3:$I$18,MATCH(TKB_Nhap!E42,PhanCong!$A$3:$A$18,0),MATCH($A42,PhanCong!$B$2:$I$2,0)))="","(chưa PC GV)","GV: "&amp;INDEX(PhanCong!$B$3:$I$18,MATCH(TKB_Nhap!E42,PhanCong!$A$3:$A$18,0),MATCH($A42,PhanCong!$B$2:$I$2,0))))</f>
        <v/>
      </c>
      <c r="F42" s="38">
        <f>IF(TKB_Nhap!F42="","",TKB_Nhap!F42&amp;CHAR(10)&amp;IF(T(INDEX(PhanCong!$B$3:$I$18,MATCH(TKB_Nhap!F42,PhanCong!$A$3:$A$18,0),MATCH($A42,PhanCong!$B$2:$I$2,0)))="","(chưa PC GV)","GV: "&amp;INDEX(PhanCong!$B$3:$I$18,MATCH(TKB_Nhap!F42,PhanCong!$A$3:$A$18,0),MATCH($A42,PhanCong!$B$2:$I$2,0))))</f>
        <v/>
      </c>
      <c r="G42" s="38">
        <f>IF(TKB_Nhap!G42="","",TKB_Nhap!G42&amp;CHAR(10)&amp;IF(T(INDEX(PhanCong!$B$3:$I$18,MATCH(TKB_Nhap!G42,PhanCong!$A$3:$A$18,0),MATCH($A42,PhanCong!$B$2:$I$2,0)))="","(chưa PC GV)","GV: "&amp;INDEX(PhanCong!$B$3:$I$18,MATCH(TKB_Nhap!G42,PhanCong!$A$3:$A$18,0),MATCH($A42,PhanCong!$B$2:$I$2,0))))</f>
        <v/>
      </c>
      <c r="H42" s="38">
        <f>IF(TKB_Nhap!H42="","",TKB_Nhap!H42&amp;CHAR(10)&amp;IF(T(INDEX(PhanCong!$B$3:$I$18,MATCH(TKB_Nhap!H42,PhanCong!$A$3:$A$18,0),MATCH($A42,PhanCong!$B$2:$I$2,0)))="","(chưa PC GV)","GV: "&amp;INDEX(PhanCong!$B$3:$I$18,MATCH(TKB_Nhap!H42,PhanCong!$A$3:$A$18,0),MATCH($A42,PhanCong!$B$2:$I$2,0))))</f>
        <v/>
      </c>
      <c r="I42" s="38">
        <f>IF(TKB_Nhap!I42="","",TKB_Nhap!I42&amp;CHAR(10)&amp;IF(T(INDEX(PhanCong!$B$3:$I$18,MATCH(TKB_Nhap!I42,PhanCong!$A$3:$A$18,0),MATCH($A42,PhanCong!$B$2:$I$2,0)))="","(chưa PC GV)","GV: "&amp;INDEX(PhanCong!$B$3:$I$18,MATCH(TKB_Nhap!I42,PhanCong!$A$3:$A$18,0),MATCH($A42,PhanCong!$B$2:$I$2,0))))</f>
        <v/>
      </c>
      <c r="J42" s="38" t="n"/>
    </row>
    <row r="43" ht="27.75" customHeight="1">
      <c r="A43" s="36">
        <f>TKB_Nhap!A43</f>
        <v/>
      </c>
      <c r="B43" s="36">
        <f>TKB_Nhap!B43</f>
        <v/>
      </c>
      <c r="C43" s="36">
        <f>TKB_Nhap!C43</f>
        <v/>
      </c>
      <c r="D43" s="38">
        <f>IF(TKB_Nhap!D43="","",TKB_Nhap!D43&amp;CHAR(10)&amp;IF(T(INDEX(PhanCong!$B$3:$I$18,MATCH(TKB_Nhap!D43,PhanCong!$A$3:$A$18,0),MATCH($A43,PhanCong!$B$2:$I$2,0)))="","(chưa PC GV)","GV: "&amp;INDEX(PhanCong!$B$3:$I$18,MATCH(TKB_Nhap!D43,PhanCong!$A$3:$A$18,0),MATCH($A43,PhanCong!$B$2:$I$2,0))))</f>
        <v/>
      </c>
      <c r="E43" s="38">
        <f>IF(TKB_Nhap!E43="","",TKB_Nhap!E43&amp;CHAR(10)&amp;IF(T(INDEX(PhanCong!$B$3:$I$18,MATCH(TKB_Nhap!E43,PhanCong!$A$3:$A$18,0),MATCH($A43,PhanCong!$B$2:$I$2,0)))="","(chưa PC GV)","GV: "&amp;INDEX(PhanCong!$B$3:$I$18,MATCH(TKB_Nhap!E43,PhanCong!$A$3:$A$18,0),MATCH($A43,PhanCong!$B$2:$I$2,0))))</f>
        <v/>
      </c>
      <c r="F43" s="38">
        <f>IF(TKB_Nhap!F43="","",TKB_Nhap!F43&amp;CHAR(10)&amp;IF(T(INDEX(PhanCong!$B$3:$I$18,MATCH(TKB_Nhap!F43,PhanCong!$A$3:$A$18,0),MATCH($A43,PhanCong!$B$2:$I$2,0)))="","(chưa PC GV)","GV: "&amp;INDEX(PhanCong!$B$3:$I$18,MATCH(TKB_Nhap!F43,PhanCong!$A$3:$A$18,0),MATCH($A43,PhanCong!$B$2:$I$2,0))))</f>
        <v/>
      </c>
      <c r="G43" s="38">
        <f>IF(TKB_Nhap!G43="","",TKB_Nhap!G43&amp;CHAR(10)&amp;IF(T(INDEX(PhanCong!$B$3:$I$18,MATCH(TKB_Nhap!G43,PhanCong!$A$3:$A$18,0),MATCH($A43,PhanCong!$B$2:$I$2,0)))="","(chưa PC GV)","GV: "&amp;INDEX(PhanCong!$B$3:$I$18,MATCH(TKB_Nhap!G43,PhanCong!$A$3:$A$18,0),MATCH($A43,PhanCong!$B$2:$I$2,0))))</f>
        <v/>
      </c>
      <c r="H43" s="38">
        <f>IF(TKB_Nhap!H43="","",TKB_Nhap!H43&amp;CHAR(10)&amp;IF(T(INDEX(PhanCong!$B$3:$I$18,MATCH(TKB_Nhap!H43,PhanCong!$A$3:$A$18,0),MATCH($A43,PhanCong!$B$2:$I$2,0)))="","(chưa PC GV)","GV: "&amp;INDEX(PhanCong!$B$3:$I$18,MATCH(TKB_Nhap!H43,PhanCong!$A$3:$A$18,0),MATCH($A43,PhanCong!$B$2:$I$2,0))))</f>
        <v/>
      </c>
      <c r="I43" s="38">
        <f>IF(TKB_Nhap!I43="","",TKB_Nhap!I43&amp;CHAR(10)&amp;IF(T(INDEX(PhanCong!$B$3:$I$18,MATCH(TKB_Nhap!I43,PhanCong!$A$3:$A$18,0),MATCH($A43,PhanCong!$B$2:$I$2,0)))="","(chưa PC GV)","GV: "&amp;INDEX(PhanCong!$B$3:$I$18,MATCH(TKB_Nhap!I43,PhanCong!$A$3:$A$18,0),MATCH($A43,PhanCong!$B$2:$I$2,0))))</f>
        <v/>
      </c>
      <c r="J43" s="38" t="n"/>
    </row>
    <row r="44" ht="27.75" customHeight="1">
      <c r="A44" s="36">
        <f>TKB_Nhap!A44</f>
        <v/>
      </c>
      <c r="B44" s="36">
        <f>TKB_Nhap!B44</f>
        <v/>
      </c>
      <c r="C44" s="36">
        <f>TKB_Nhap!C44</f>
        <v/>
      </c>
      <c r="D44" s="38">
        <f>IF(TKB_Nhap!D44="","",TKB_Nhap!D44&amp;CHAR(10)&amp;IF(T(INDEX(PhanCong!$B$3:$I$18,MATCH(TKB_Nhap!D44,PhanCong!$A$3:$A$18,0),MATCH($A44,PhanCong!$B$2:$I$2,0)))="","(chưa PC GV)","GV: "&amp;INDEX(PhanCong!$B$3:$I$18,MATCH(TKB_Nhap!D44,PhanCong!$A$3:$A$18,0),MATCH($A44,PhanCong!$B$2:$I$2,0))))</f>
        <v/>
      </c>
      <c r="E44" s="38">
        <f>IF(TKB_Nhap!E44="","",TKB_Nhap!E44&amp;CHAR(10)&amp;IF(T(INDEX(PhanCong!$B$3:$I$18,MATCH(TKB_Nhap!E44,PhanCong!$A$3:$A$18,0),MATCH($A44,PhanCong!$B$2:$I$2,0)))="","(chưa PC GV)","GV: "&amp;INDEX(PhanCong!$B$3:$I$18,MATCH(TKB_Nhap!E44,PhanCong!$A$3:$A$18,0),MATCH($A44,PhanCong!$B$2:$I$2,0))))</f>
        <v/>
      </c>
      <c r="F44" s="38">
        <f>IF(TKB_Nhap!F44="","",TKB_Nhap!F44&amp;CHAR(10)&amp;IF(T(INDEX(PhanCong!$B$3:$I$18,MATCH(TKB_Nhap!F44,PhanCong!$A$3:$A$18,0),MATCH($A44,PhanCong!$B$2:$I$2,0)))="","(chưa PC GV)","GV: "&amp;INDEX(PhanCong!$B$3:$I$18,MATCH(TKB_Nhap!F44,PhanCong!$A$3:$A$18,0),MATCH($A44,PhanCong!$B$2:$I$2,0))))</f>
        <v/>
      </c>
      <c r="G44" s="38">
        <f>IF(TKB_Nhap!G44="","",TKB_Nhap!G44&amp;CHAR(10)&amp;IF(T(INDEX(PhanCong!$B$3:$I$18,MATCH(TKB_Nhap!G44,PhanCong!$A$3:$A$18,0),MATCH($A44,PhanCong!$B$2:$I$2,0)))="","(chưa PC GV)","GV: "&amp;INDEX(PhanCong!$B$3:$I$18,MATCH(TKB_Nhap!G44,PhanCong!$A$3:$A$18,0),MATCH($A44,PhanCong!$B$2:$I$2,0))))</f>
        <v/>
      </c>
      <c r="H44" s="38">
        <f>IF(TKB_Nhap!H44="","",TKB_Nhap!H44&amp;CHAR(10)&amp;IF(T(INDEX(PhanCong!$B$3:$I$18,MATCH(TKB_Nhap!H44,PhanCong!$A$3:$A$18,0),MATCH($A44,PhanCong!$B$2:$I$2,0)))="","(chưa PC GV)","GV: "&amp;INDEX(PhanCong!$B$3:$I$18,MATCH(TKB_Nhap!H44,PhanCong!$A$3:$A$18,0),MATCH($A44,PhanCong!$B$2:$I$2,0))))</f>
        <v/>
      </c>
      <c r="I44" s="38">
        <f>IF(TKB_Nhap!I44="","",TKB_Nhap!I44&amp;CHAR(10)&amp;IF(T(INDEX(PhanCong!$B$3:$I$18,MATCH(TKB_Nhap!I44,PhanCong!$A$3:$A$18,0),MATCH($A44,PhanCong!$B$2:$I$2,0)))="","(chưa PC GV)","GV: "&amp;INDEX(PhanCong!$B$3:$I$18,MATCH(TKB_Nhap!I44,PhanCong!$A$3:$A$18,0),MATCH($A44,PhanCong!$B$2:$I$2,0))))</f>
        <v/>
      </c>
      <c r="J44" s="38" t="n"/>
    </row>
    <row r="45" ht="27.75" customHeight="1">
      <c r="A45" s="36">
        <f>TKB_Nhap!A45</f>
        <v/>
      </c>
      <c r="B45" s="36">
        <f>TKB_Nhap!B45</f>
        <v/>
      </c>
      <c r="C45" s="36">
        <f>TKB_Nhap!C45</f>
        <v/>
      </c>
      <c r="D45" s="38">
        <f>IF(TKB_Nhap!D45="","",TKB_Nhap!D45&amp;CHAR(10)&amp;IF(T(INDEX(PhanCong!$B$3:$I$18,MATCH(TKB_Nhap!D45,PhanCong!$A$3:$A$18,0),MATCH($A45,PhanCong!$B$2:$I$2,0)))="","(chưa PC GV)","GV: "&amp;INDEX(PhanCong!$B$3:$I$18,MATCH(TKB_Nhap!D45,PhanCong!$A$3:$A$18,0),MATCH($A45,PhanCong!$B$2:$I$2,0))))</f>
        <v/>
      </c>
      <c r="E45" s="38">
        <f>IF(TKB_Nhap!E45="","",TKB_Nhap!E45&amp;CHAR(10)&amp;IF(T(INDEX(PhanCong!$B$3:$I$18,MATCH(TKB_Nhap!E45,PhanCong!$A$3:$A$18,0),MATCH($A45,PhanCong!$B$2:$I$2,0)))="","(chưa PC GV)","GV: "&amp;INDEX(PhanCong!$B$3:$I$18,MATCH(TKB_Nhap!E45,PhanCong!$A$3:$A$18,0),MATCH($A45,PhanCong!$B$2:$I$2,0))))</f>
        <v/>
      </c>
      <c r="F45" s="38">
        <f>IF(TKB_Nhap!F45="","",TKB_Nhap!F45&amp;CHAR(10)&amp;IF(T(INDEX(PhanCong!$B$3:$I$18,MATCH(TKB_Nhap!F45,PhanCong!$A$3:$A$18,0),MATCH($A45,PhanCong!$B$2:$I$2,0)))="","(chưa PC GV)","GV: "&amp;INDEX(PhanCong!$B$3:$I$18,MATCH(TKB_Nhap!F45,PhanCong!$A$3:$A$18,0),MATCH($A45,PhanCong!$B$2:$I$2,0))))</f>
        <v/>
      </c>
      <c r="G45" s="38">
        <f>IF(TKB_Nhap!G45="","",TKB_Nhap!G45&amp;CHAR(10)&amp;IF(T(INDEX(PhanCong!$B$3:$I$18,MATCH(TKB_Nhap!G45,PhanCong!$A$3:$A$18,0),MATCH($A45,PhanCong!$B$2:$I$2,0)))="","(chưa PC GV)","GV: "&amp;INDEX(PhanCong!$B$3:$I$18,MATCH(TKB_Nhap!G45,PhanCong!$A$3:$A$18,0),MATCH($A45,PhanCong!$B$2:$I$2,0))))</f>
        <v/>
      </c>
      <c r="H45" s="38">
        <f>IF(TKB_Nhap!H45="","",TKB_Nhap!H45&amp;CHAR(10)&amp;IF(T(INDEX(PhanCong!$B$3:$I$18,MATCH(TKB_Nhap!H45,PhanCong!$A$3:$A$18,0),MATCH($A45,PhanCong!$B$2:$I$2,0)))="","(chưa PC GV)","GV: "&amp;INDEX(PhanCong!$B$3:$I$18,MATCH(TKB_Nhap!H45,PhanCong!$A$3:$A$18,0),MATCH($A45,PhanCong!$B$2:$I$2,0))))</f>
        <v/>
      </c>
      <c r="I45" s="38">
        <f>IF(TKB_Nhap!I45="","",TKB_Nhap!I45&amp;CHAR(10)&amp;IF(T(INDEX(PhanCong!$B$3:$I$18,MATCH(TKB_Nhap!I45,PhanCong!$A$3:$A$18,0),MATCH($A45,PhanCong!$B$2:$I$2,0)))="","(chưa PC GV)","GV: "&amp;INDEX(PhanCong!$B$3:$I$18,MATCH(TKB_Nhap!I45,PhanCong!$A$3:$A$18,0),MATCH($A45,PhanCong!$B$2:$I$2,0))))</f>
        <v/>
      </c>
      <c r="J45" s="38" t="n"/>
    </row>
    <row r="46" ht="27.75" customHeight="1">
      <c r="A46" s="36">
        <f>TKB_Nhap!A46</f>
        <v/>
      </c>
      <c r="B46" s="36">
        <f>TKB_Nhap!B46</f>
        <v/>
      </c>
      <c r="C46" s="36">
        <f>TKB_Nhap!C46</f>
        <v/>
      </c>
      <c r="D46" s="38">
        <f>IF(TKB_Nhap!D46="","",TKB_Nhap!D46&amp;CHAR(10)&amp;IF(T(INDEX(PhanCong!$B$3:$I$18,MATCH(TKB_Nhap!D46,PhanCong!$A$3:$A$18,0),MATCH($A46,PhanCong!$B$2:$I$2,0)))="","(chưa PC GV)","GV: "&amp;INDEX(PhanCong!$B$3:$I$18,MATCH(TKB_Nhap!D46,PhanCong!$A$3:$A$18,0),MATCH($A46,PhanCong!$B$2:$I$2,0))))</f>
        <v/>
      </c>
      <c r="E46" s="38">
        <f>IF(TKB_Nhap!E46="","",TKB_Nhap!E46&amp;CHAR(10)&amp;IF(T(INDEX(PhanCong!$B$3:$I$18,MATCH(TKB_Nhap!E46,PhanCong!$A$3:$A$18,0),MATCH($A46,PhanCong!$B$2:$I$2,0)))="","(chưa PC GV)","GV: "&amp;INDEX(PhanCong!$B$3:$I$18,MATCH(TKB_Nhap!E46,PhanCong!$A$3:$A$18,0),MATCH($A46,PhanCong!$B$2:$I$2,0))))</f>
        <v/>
      </c>
      <c r="F46" s="38">
        <f>IF(TKB_Nhap!F46="","",TKB_Nhap!F46&amp;CHAR(10)&amp;IF(T(INDEX(PhanCong!$B$3:$I$18,MATCH(TKB_Nhap!F46,PhanCong!$A$3:$A$18,0),MATCH($A46,PhanCong!$B$2:$I$2,0)))="","(chưa PC GV)","GV: "&amp;INDEX(PhanCong!$B$3:$I$18,MATCH(TKB_Nhap!F46,PhanCong!$A$3:$A$18,0),MATCH($A46,PhanCong!$B$2:$I$2,0))))</f>
        <v/>
      </c>
      <c r="G46" s="38">
        <f>IF(TKB_Nhap!G46="","",TKB_Nhap!G46&amp;CHAR(10)&amp;IF(T(INDEX(PhanCong!$B$3:$I$18,MATCH(TKB_Nhap!G46,PhanCong!$A$3:$A$18,0),MATCH($A46,PhanCong!$B$2:$I$2,0)))="","(chưa PC GV)","GV: "&amp;INDEX(PhanCong!$B$3:$I$18,MATCH(TKB_Nhap!G46,PhanCong!$A$3:$A$18,0),MATCH($A46,PhanCong!$B$2:$I$2,0))))</f>
        <v/>
      </c>
      <c r="H46" s="38">
        <f>IF(TKB_Nhap!H46="","",TKB_Nhap!H46&amp;CHAR(10)&amp;IF(T(INDEX(PhanCong!$B$3:$I$18,MATCH(TKB_Nhap!H46,PhanCong!$A$3:$A$18,0),MATCH($A46,PhanCong!$B$2:$I$2,0)))="","(chưa PC GV)","GV: "&amp;INDEX(PhanCong!$B$3:$I$18,MATCH(TKB_Nhap!H46,PhanCong!$A$3:$A$18,0),MATCH($A46,PhanCong!$B$2:$I$2,0))))</f>
        <v/>
      </c>
      <c r="I46" s="38">
        <f>IF(TKB_Nhap!I46="","",TKB_Nhap!I46&amp;CHAR(10)&amp;IF(T(INDEX(PhanCong!$B$3:$I$18,MATCH(TKB_Nhap!I46,PhanCong!$A$3:$A$18,0),MATCH($A46,PhanCong!$B$2:$I$2,0)))="","(chưa PC GV)","GV: "&amp;INDEX(PhanCong!$B$3:$I$18,MATCH(TKB_Nhap!I46,PhanCong!$A$3:$A$18,0),MATCH($A46,PhanCong!$B$2:$I$2,0))))</f>
        <v/>
      </c>
      <c r="J46" s="38" t="n"/>
    </row>
    <row r="47" ht="27.75" customHeight="1">
      <c r="A47" s="36">
        <f>TKB_Nhap!A47</f>
        <v/>
      </c>
      <c r="B47" s="36">
        <f>TKB_Nhap!B47</f>
        <v/>
      </c>
      <c r="C47" s="36">
        <f>TKB_Nhap!C47</f>
        <v/>
      </c>
      <c r="D47" s="38">
        <f>IF(TKB_Nhap!D47="","",TKB_Nhap!D47&amp;CHAR(10)&amp;IF(T(INDEX(PhanCong!$B$3:$I$18,MATCH(TKB_Nhap!D47,PhanCong!$A$3:$A$18,0),MATCH($A47,PhanCong!$B$2:$I$2,0)))="","(chưa PC GV)","GV: "&amp;INDEX(PhanCong!$B$3:$I$18,MATCH(TKB_Nhap!D47,PhanCong!$A$3:$A$18,0),MATCH($A47,PhanCong!$B$2:$I$2,0))))</f>
        <v/>
      </c>
      <c r="E47" s="38">
        <f>IF(TKB_Nhap!E47="","",TKB_Nhap!E47&amp;CHAR(10)&amp;IF(T(INDEX(PhanCong!$B$3:$I$18,MATCH(TKB_Nhap!E47,PhanCong!$A$3:$A$18,0),MATCH($A47,PhanCong!$B$2:$I$2,0)))="","(chưa PC GV)","GV: "&amp;INDEX(PhanCong!$B$3:$I$18,MATCH(TKB_Nhap!E47,PhanCong!$A$3:$A$18,0),MATCH($A47,PhanCong!$B$2:$I$2,0))))</f>
        <v/>
      </c>
      <c r="F47" s="38">
        <f>IF(TKB_Nhap!F47="","",TKB_Nhap!F47&amp;CHAR(10)&amp;IF(T(INDEX(PhanCong!$B$3:$I$18,MATCH(TKB_Nhap!F47,PhanCong!$A$3:$A$18,0),MATCH($A47,PhanCong!$B$2:$I$2,0)))="","(chưa PC GV)","GV: "&amp;INDEX(PhanCong!$B$3:$I$18,MATCH(TKB_Nhap!F47,PhanCong!$A$3:$A$18,0),MATCH($A47,PhanCong!$B$2:$I$2,0))))</f>
        <v/>
      </c>
      <c r="G47" s="38">
        <f>IF(TKB_Nhap!G47="","",TKB_Nhap!G47&amp;CHAR(10)&amp;IF(T(INDEX(PhanCong!$B$3:$I$18,MATCH(TKB_Nhap!G47,PhanCong!$A$3:$A$18,0),MATCH($A47,PhanCong!$B$2:$I$2,0)))="","(chưa PC GV)","GV: "&amp;INDEX(PhanCong!$B$3:$I$18,MATCH(TKB_Nhap!G47,PhanCong!$A$3:$A$18,0),MATCH($A47,PhanCong!$B$2:$I$2,0))))</f>
        <v/>
      </c>
      <c r="H47" s="38">
        <f>IF(TKB_Nhap!H47="","",TKB_Nhap!H47&amp;CHAR(10)&amp;IF(T(INDEX(PhanCong!$B$3:$I$18,MATCH(TKB_Nhap!H47,PhanCong!$A$3:$A$18,0),MATCH($A47,PhanCong!$B$2:$I$2,0)))="","(chưa PC GV)","GV: "&amp;INDEX(PhanCong!$B$3:$I$18,MATCH(TKB_Nhap!H47,PhanCong!$A$3:$A$18,0),MATCH($A47,PhanCong!$B$2:$I$2,0))))</f>
        <v/>
      </c>
      <c r="I47" s="38">
        <f>IF(TKB_Nhap!I47="","",TKB_Nhap!I47&amp;CHAR(10)&amp;IF(T(INDEX(PhanCong!$B$3:$I$18,MATCH(TKB_Nhap!I47,PhanCong!$A$3:$A$18,0),MATCH($A47,PhanCong!$B$2:$I$2,0)))="","(chưa PC GV)","GV: "&amp;INDEX(PhanCong!$B$3:$I$18,MATCH(TKB_Nhap!I47,PhanCong!$A$3:$A$18,0),MATCH($A47,PhanCong!$B$2:$I$2,0))))</f>
        <v/>
      </c>
      <c r="J47" s="38" t="n"/>
    </row>
    <row r="48" ht="27.75" customHeight="1">
      <c r="A48" s="36">
        <f>TKB_Nhap!A48</f>
        <v/>
      </c>
      <c r="B48" s="36">
        <f>TKB_Nhap!B48</f>
        <v/>
      </c>
      <c r="C48" s="36">
        <f>TKB_Nhap!C48</f>
        <v/>
      </c>
      <c r="D48" s="38">
        <f>IF(TKB_Nhap!D48="","",TKB_Nhap!D48&amp;CHAR(10)&amp;IF(T(INDEX(PhanCong!$B$3:$I$18,MATCH(TKB_Nhap!D48,PhanCong!$A$3:$A$18,0),MATCH($A48,PhanCong!$B$2:$I$2,0)))="","(chưa PC GV)","GV: "&amp;INDEX(PhanCong!$B$3:$I$18,MATCH(TKB_Nhap!D48,PhanCong!$A$3:$A$18,0),MATCH($A48,PhanCong!$B$2:$I$2,0))))</f>
        <v/>
      </c>
      <c r="E48" s="38">
        <f>IF(TKB_Nhap!E48="","",TKB_Nhap!E48&amp;CHAR(10)&amp;IF(T(INDEX(PhanCong!$B$3:$I$18,MATCH(TKB_Nhap!E48,PhanCong!$A$3:$A$18,0),MATCH($A48,PhanCong!$B$2:$I$2,0)))="","(chưa PC GV)","GV: "&amp;INDEX(PhanCong!$B$3:$I$18,MATCH(TKB_Nhap!E48,PhanCong!$A$3:$A$18,0),MATCH($A48,PhanCong!$B$2:$I$2,0))))</f>
        <v/>
      </c>
      <c r="F48" s="38">
        <f>IF(TKB_Nhap!F48="","",TKB_Nhap!F48&amp;CHAR(10)&amp;IF(T(INDEX(PhanCong!$B$3:$I$18,MATCH(TKB_Nhap!F48,PhanCong!$A$3:$A$18,0),MATCH($A48,PhanCong!$B$2:$I$2,0)))="","(chưa PC GV)","GV: "&amp;INDEX(PhanCong!$B$3:$I$18,MATCH(TKB_Nhap!F48,PhanCong!$A$3:$A$18,0),MATCH($A48,PhanCong!$B$2:$I$2,0))))</f>
        <v/>
      </c>
      <c r="G48" s="38">
        <f>IF(TKB_Nhap!G48="","",TKB_Nhap!G48&amp;CHAR(10)&amp;IF(T(INDEX(PhanCong!$B$3:$I$18,MATCH(TKB_Nhap!G48,PhanCong!$A$3:$A$18,0),MATCH($A48,PhanCong!$B$2:$I$2,0)))="","(chưa PC GV)","GV: "&amp;INDEX(PhanCong!$B$3:$I$18,MATCH(TKB_Nhap!G48,PhanCong!$A$3:$A$18,0),MATCH($A48,PhanCong!$B$2:$I$2,0))))</f>
        <v/>
      </c>
      <c r="H48" s="38">
        <f>IF(TKB_Nhap!H48="","",TKB_Nhap!H48&amp;CHAR(10)&amp;IF(T(INDEX(PhanCong!$B$3:$I$18,MATCH(TKB_Nhap!H48,PhanCong!$A$3:$A$18,0),MATCH($A48,PhanCong!$B$2:$I$2,0)))="","(chưa PC GV)","GV: "&amp;INDEX(PhanCong!$B$3:$I$18,MATCH(TKB_Nhap!H48,PhanCong!$A$3:$A$18,0),MATCH($A48,PhanCong!$B$2:$I$2,0))))</f>
        <v/>
      </c>
      <c r="I48" s="38">
        <f>IF(TKB_Nhap!I48="","",TKB_Nhap!I48&amp;CHAR(10)&amp;IF(T(INDEX(PhanCong!$B$3:$I$18,MATCH(TKB_Nhap!I48,PhanCong!$A$3:$A$18,0),MATCH($A48,PhanCong!$B$2:$I$2,0)))="","(chưa PC GV)","GV: "&amp;INDEX(PhanCong!$B$3:$I$18,MATCH(TKB_Nhap!I48,PhanCong!$A$3:$A$18,0),MATCH($A48,PhanCong!$B$2:$I$2,0))))</f>
        <v/>
      </c>
      <c r="J48" s="38" t="n"/>
    </row>
    <row r="49" ht="27.75" customHeight="1">
      <c r="A49" s="36">
        <f>TKB_Nhap!A49</f>
        <v/>
      </c>
      <c r="B49" s="36">
        <f>TKB_Nhap!B49</f>
        <v/>
      </c>
      <c r="C49" s="36">
        <f>TKB_Nhap!C49</f>
        <v/>
      </c>
      <c r="D49" s="38">
        <f>IF(TKB_Nhap!D49="","",TKB_Nhap!D49&amp;CHAR(10)&amp;IF(T(INDEX(PhanCong!$B$3:$I$18,MATCH(TKB_Nhap!D49,PhanCong!$A$3:$A$18,0),MATCH($A49,PhanCong!$B$2:$I$2,0)))="","(chưa PC GV)","GV: "&amp;INDEX(PhanCong!$B$3:$I$18,MATCH(TKB_Nhap!D49,PhanCong!$A$3:$A$18,0),MATCH($A49,PhanCong!$B$2:$I$2,0))))</f>
        <v/>
      </c>
      <c r="E49" s="38">
        <f>IF(TKB_Nhap!E49="","",TKB_Nhap!E49&amp;CHAR(10)&amp;IF(T(INDEX(PhanCong!$B$3:$I$18,MATCH(TKB_Nhap!E49,PhanCong!$A$3:$A$18,0),MATCH($A49,PhanCong!$B$2:$I$2,0)))="","(chưa PC GV)","GV: "&amp;INDEX(PhanCong!$B$3:$I$18,MATCH(TKB_Nhap!E49,PhanCong!$A$3:$A$18,0),MATCH($A49,PhanCong!$B$2:$I$2,0))))</f>
        <v/>
      </c>
      <c r="F49" s="38">
        <f>IF(TKB_Nhap!F49="","",TKB_Nhap!F49&amp;CHAR(10)&amp;IF(T(INDEX(PhanCong!$B$3:$I$18,MATCH(TKB_Nhap!F49,PhanCong!$A$3:$A$18,0),MATCH($A49,PhanCong!$B$2:$I$2,0)))="","(chưa PC GV)","GV: "&amp;INDEX(PhanCong!$B$3:$I$18,MATCH(TKB_Nhap!F49,PhanCong!$A$3:$A$18,0),MATCH($A49,PhanCong!$B$2:$I$2,0))))</f>
        <v/>
      </c>
      <c r="G49" s="38">
        <f>IF(TKB_Nhap!G49="","",TKB_Nhap!G49&amp;CHAR(10)&amp;IF(T(INDEX(PhanCong!$B$3:$I$18,MATCH(TKB_Nhap!G49,PhanCong!$A$3:$A$18,0),MATCH($A49,PhanCong!$B$2:$I$2,0)))="","(chưa PC GV)","GV: "&amp;INDEX(PhanCong!$B$3:$I$18,MATCH(TKB_Nhap!G49,PhanCong!$A$3:$A$18,0),MATCH($A49,PhanCong!$B$2:$I$2,0))))</f>
        <v/>
      </c>
      <c r="H49" s="38">
        <f>IF(TKB_Nhap!H49="","",TKB_Nhap!H49&amp;CHAR(10)&amp;IF(T(INDEX(PhanCong!$B$3:$I$18,MATCH(TKB_Nhap!H49,PhanCong!$A$3:$A$18,0),MATCH($A49,PhanCong!$B$2:$I$2,0)))="","(chưa PC GV)","GV: "&amp;INDEX(PhanCong!$B$3:$I$18,MATCH(TKB_Nhap!H49,PhanCong!$A$3:$A$18,0),MATCH($A49,PhanCong!$B$2:$I$2,0))))</f>
        <v/>
      </c>
      <c r="I49" s="38">
        <f>IF(TKB_Nhap!I49="","",TKB_Nhap!I49&amp;CHAR(10)&amp;IF(T(INDEX(PhanCong!$B$3:$I$18,MATCH(TKB_Nhap!I49,PhanCong!$A$3:$A$18,0),MATCH($A49,PhanCong!$B$2:$I$2,0)))="","(chưa PC GV)","GV: "&amp;INDEX(PhanCong!$B$3:$I$18,MATCH(TKB_Nhap!I49,PhanCong!$A$3:$A$18,0),MATCH($A49,PhanCong!$B$2:$I$2,0))))</f>
        <v/>
      </c>
      <c r="J49" s="38" t="n"/>
    </row>
    <row r="50" ht="27.75" customHeight="1">
      <c r="A50" s="30">
        <f>TKB_Nhap!A50</f>
        <v/>
      </c>
      <c r="B50" s="30">
        <f>TKB_Nhap!B50</f>
        <v/>
      </c>
      <c r="C50" s="30">
        <f>TKB_Nhap!C50</f>
        <v/>
      </c>
      <c r="D50" s="26">
        <f>IF(TKB_Nhap!D50="","",TKB_Nhap!D50&amp;CHAR(10)&amp;IF(T(INDEX(PhanCong!$B$3:$I$18,MATCH(TKB_Nhap!D50,PhanCong!$A$3:$A$18,0),MATCH($A50,PhanCong!$B$2:$I$2,0)))="","(chưa PC GV)","GV: "&amp;INDEX(PhanCong!$B$3:$I$18,MATCH(TKB_Nhap!D50,PhanCong!$A$3:$A$18,0),MATCH($A50,PhanCong!$B$2:$I$2,0))))</f>
        <v/>
      </c>
      <c r="E50" s="26">
        <f>IF(TKB_Nhap!E50="","",TKB_Nhap!E50&amp;CHAR(10)&amp;IF(T(INDEX(PhanCong!$B$3:$I$18,MATCH(TKB_Nhap!E50,PhanCong!$A$3:$A$18,0),MATCH($A50,PhanCong!$B$2:$I$2,0)))="","(chưa PC GV)","GV: "&amp;INDEX(PhanCong!$B$3:$I$18,MATCH(TKB_Nhap!E50,PhanCong!$A$3:$A$18,0),MATCH($A50,PhanCong!$B$2:$I$2,0))))</f>
        <v/>
      </c>
      <c r="F50" s="26">
        <f>IF(TKB_Nhap!F50="","",TKB_Nhap!F50&amp;CHAR(10)&amp;IF(T(INDEX(PhanCong!$B$3:$I$18,MATCH(TKB_Nhap!F50,PhanCong!$A$3:$A$18,0),MATCH($A50,PhanCong!$B$2:$I$2,0)))="","(chưa PC GV)","GV: "&amp;INDEX(PhanCong!$B$3:$I$18,MATCH(TKB_Nhap!F50,PhanCong!$A$3:$A$18,0),MATCH($A50,PhanCong!$B$2:$I$2,0))))</f>
        <v/>
      </c>
      <c r="G50" s="26">
        <f>IF(TKB_Nhap!G50="","",TKB_Nhap!G50&amp;CHAR(10)&amp;IF(T(INDEX(PhanCong!$B$3:$I$18,MATCH(TKB_Nhap!G50,PhanCong!$A$3:$A$18,0),MATCH($A50,PhanCong!$B$2:$I$2,0)))="","(chưa PC GV)","GV: "&amp;INDEX(PhanCong!$B$3:$I$18,MATCH(TKB_Nhap!G50,PhanCong!$A$3:$A$18,0),MATCH($A50,PhanCong!$B$2:$I$2,0))))</f>
        <v/>
      </c>
      <c r="H50" s="26">
        <f>IF(TKB_Nhap!H50="","",TKB_Nhap!H50&amp;CHAR(10)&amp;IF(T(INDEX(PhanCong!$B$3:$I$18,MATCH(TKB_Nhap!H50,PhanCong!$A$3:$A$18,0),MATCH($A50,PhanCong!$B$2:$I$2,0)))="","(chưa PC GV)","GV: "&amp;INDEX(PhanCong!$B$3:$I$18,MATCH(TKB_Nhap!H50,PhanCong!$A$3:$A$18,0),MATCH($A50,PhanCong!$B$2:$I$2,0))))</f>
        <v/>
      </c>
      <c r="I50" s="26">
        <f>IF(TKB_Nhap!I50="","",TKB_Nhap!I50&amp;CHAR(10)&amp;IF(T(INDEX(PhanCong!$B$3:$I$18,MATCH(TKB_Nhap!I50,PhanCong!$A$3:$A$18,0),MATCH($A50,PhanCong!$B$2:$I$2,0)))="","(chưa PC GV)","GV: "&amp;INDEX(PhanCong!$B$3:$I$18,MATCH(TKB_Nhap!I50,PhanCong!$A$3:$A$18,0),MATCH($A50,PhanCong!$B$2:$I$2,0))))</f>
        <v/>
      </c>
      <c r="J50" s="26" t="n"/>
    </row>
    <row r="51" ht="27.75" customHeight="1">
      <c r="A51" s="30">
        <f>TKB_Nhap!A51</f>
        <v/>
      </c>
      <c r="B51" s="30">
        <f>TKB_Nhap!B51</f>
        <v/>
      </c>
      <c r="C51" s="30">
        <f>TKB_Nhap!C51</f>
        <v/>
      </c>
      <c r="D51" s="26">
        <f>IF(TKB_Nhap!D51="","",TKB_Nhap!D51&amp;CHAR(10)&amp;IF(T(INDEX(PhanCong!$B$3:$I$18,MATCH(TKB_Nhap!D51,PhanCong!$A$3:$A$18,0),MATCH($A51,PhanCong!$B$2:$I$2,0)))="","(chưa PC GV)","GV: "&amp;INDEX(PhanCong!$B$3:$I$18,MATCH(TKB_Nhap!D51,PhanCong!$A$3:$A$18,0),MATCH($A51,PhanCong!$B$2:$I$2,0))))</f>
        <v/>
      </c>
      <c r="E51" s="26">
        <f>IF(TKB_Nhap!E51="","",TKB_Nhap!E51&amp;CHAR(10)&amp;IF(T(INDEX(PhanCong!$B$3:$I$18,MATCH(TKB_Nhap!E51,PhanCong!$A$3:$A$18,0),MATCH($A51,PhanCong!$B$2:$I$2,0)))="","(chưa PC GV)","GV: "&amp;INDEX(PhanCong!$B$3:$I$18,MATCH(TKB_Nhap!E51,PhanCong!$A$3:$A$18,0),MATCH($A51,PhanCong!$B$2:$I$2,0))))</f>
        <v/>
      </c>
      <c r="F51" s="26">
        <f>IF(TKB_Nhap!F51="","",TKB_Nhap!F51&amp;CHAR(10)&amp;IF(T(INDEX(PhanCong!$B$3:$I$18,MATCH(TKB_Nhap!F51,PhanCong!$A$3:$A$18,0),MATCH($A51,PhanCong!$B$2:$I$2,0)))="","(chưa PC GV)","GV: "&amp;INDEX(PhanCong!$B$3:$I$18,MATCH(TKB_Nhap!F51,PhanCong!$A$3:$A$18,0),MATCH($A51,PhanCong!$B$2:$I$2,0))))</f>
        <v/>
      </c>
      <c r="G51" s="26">
        <f>IF(TKB_Nhap!G51="","",TKB_Nhap!G51&amp;CHAR(10)&amp;IF(T(INDEX(PhanCong!$B$3:$I$18,MATCH(TKB_Nhap!G51,PhanCong!$A$3:$A$18,0),MATCH($A51,PhanCong!$B$2:$I$2,0)))="","(chưa PC GV)","GV: "&amp;INDEX(PhanCong!$B$3:$I$18,MATCH(TKB_Nhap!G51,PhanCong!$A$3:$A$18,0),MATCH($A51,PhanCong!$B$2:$I$2,0))))</f>
        <v/>
      </c>
      <c r="H51" s="26">
        <f>IF(TKB_Nhap!H51="","",TKB_Nhap!H51&amp;CHAR(10)&amp;IF(T(INDEX(PhanCong!$B$3:$I$18,MATCH(TKB_Nhap!H51,PhanCong!$A$3:$A$18,0),MATCH($A51,PhanCong!$B$2:$I$2,0)))="","(chưa PC GV)","GV: "&amp;INDEX(PhanCong!$B$3:$I$18,MATCH(TKB_Nhap!H51,PhanCong!$A$3:$A$18,0),MATCH($A51,PhanCong!$B$2:$I$2,0))))</f>
        <v/>
      </c>
      <c r="I51" s="26">
        <f>IF(TKB_Nhap!I51="","",TKB_Nhap!I51&amp;CHAR(10)&amp;IF(T(INDEX(PhanCong!$B$3:$I$18,MATCH(TKB_Nhap!I51,PhanCong!$A$3:$A$18,0),MATCH($A51,PhanCong!$B$2:$I$2,0)))="","(chưa PC GV)","GV: "&amp;INDEX(PhanCong!$B$3:$I$18,MATCH(TKB_Nhap!I51,PhanCong!$A$3:$A$18,0),MATCH($A51,PhanCong!$B$2:$I$2,0))))</f>
        <v/>
      </c>
      <c r="J51" s="26" t="n"/>
    </row>
    <row r="52" ht="27.75" customHeight="1">
      <c r="A52" s="30">
        <f>TKB_Nhap!A52</f>
        <v/>
      </c>
      <c r="B52" s="30">
        <f>TKB_Nhap!B52</f>
        <v/>
      </c>
      <c r="C52" s="30">
        <f>TKB_Nhap!C52</f>
        <v/>
      </c>
      <c r="D52" s="26">
        <f>IF(TKB_Nhap!D52="","",TKB_Nhap!D52&amp;CHAR(10)&amp;IF(T(INDEX(PhanCong!$B$3:$I$18,MATCH(TKB_Nhap!D52,PhanCong!$A$3:$A$18,0),MATCH($A52,PhanCong!$B$2:$I$2,0)))="","(chưa PC GV)","GV: "&amp;INDEX(PhanCong!$B$3:$I$18,MATCH(TKB_Nhap!D52,PhanCong!$A$3:$A$18,0),MATCH($A52,PhanCong!$B$2:$I$2,0))))</f>
        <v/>
      </c>
      <c r="E52" s="26">
        <f>IF(TKB_Nhap!E52="","",TKB_Nhap!E52&amp;CHAR(10)&amp;IF(T(INDEX(PhanCong!$B$3:$I$18,MATCH(TKB_Nhap!E52,PhanCong!$A$3:$A$18,0),MATCH($A52,PhanCong!$B$2:$I$2,0)))="","(chưa PC GV)","GV: "&amp;INDEX(PhanCong!$B$3:$I$18,MATCH(TKB_Nhap!E52,PhanCong!$A$3:$A$18,0),MATCH($A52,PhanCong!$B$2:$I$2,0))))</f>
        <v/>
      </c>
      <c r="F52" s="26">
        <f>IF(TKB_Nhap!F52="","",TKB_Nhap!F52&amp;CHAR(10)&amp;IF(T(INDEX(PhanCong!$B$3:$I$18,MATCH(TKB_Nhap!F52,PhanCong!$A$3:$A$18,0),MATCH($A52,PhanCong!$B$2:$I$2,0)))="","(chưa PC GV)","GV: "&amp;INDEX(PhanCong!$B$3:$I$18,MATCH(TKB_Nhap!F52,PhanCong!$A$3:$A$18,0),MATCH($A52,PhanCong!$B$2:$I$2,0))))</f>
        <v/>
      </c>
      <c r="G52" s="26">
        <f>IF(TKB_Nhap!G52="","",TKB_Nhap!G52&amp;CHAR(10)&amp;IF(T(INDEX(PhanCong!$B$3:$I$18,MATCH(TKB_Nhap!G52,PhanCong!$A$3:$A$18,0),MATCH($A52,PhanCong!$B$2:$I$2,0)))="","(chưa PC GV)","GV: "&amp;INDEX(PhanCong!$B$3:$I$18,MATCH(TKB_Nhap!G52,PhanCong!$A$3:$A$18,0),MATCH($A52,PhanCong!$B$2:$I$2,0))))</f>
        <v/>
      </c>
      <c r="H52" s="26">
        <f>IF(TKB_Nhap!H52="","",TKB_Nhap!H52&amp;CHAR(10)&amp;IF(T(INDEX(PhanCong!$B$3:$I$18,MATCH(TKB_Nhap!H52,PhanCong!$A$3:$A$18,0),MATCH($A52,PhanCong!$B$2:$I$2,0)))="","(chưa PC GV)","GV: "&amp;INDEX(PhanCong!$B$3:$I$18,MATCH(TKB_Nhap!H52,PhanCong!$A$3:$A$18,0),MATCH($A52,PhanCong!$B$2:$I$2,0))))</f>
        <v/>
      </c>
      <c r="I52" s="26">
        <f>IF(TKB_Nhap!I52="","",TKB_Nhap!I52&amp;CHAR(10)&amp;IF(T(INDEX(PhanCong!$B$3:$I$18,MATCH(TKB_Nhap!I52,PhanCong!$A$3:$A$18,0),MATCH($A52,PhanCong!$B$2:$I$2,0)))="","(chưa PC GV)","GV: "&amp;INDEX(PhanCong!$B$3:$I$18,MATCH(TKB_Nhap!I52,PhanCong!$A$3:$A$18,0),MATCH($A52,PhanCong!$B$2:$I$2,0))))</f>
        <v/>
      </c>
      <c r="J52" s="26" t="n"/>
    </row>
    <row r="53" ht="27.75" customHeight="1">
      <c r="A53" s="30">
        <f>TKB_Nhap!A53</f>
        <v/>
      </c>
      <c r="B53" s="30">
        <f>TKB_Nhap!B53</f>
        <v/>
      </c>
      <c r="C53" s="30">
        <f>TKB_Nhap!C53</f>
        <v/>
      </c>
      <c r="D53" s="26">
        <f>IF(TKB_Nhap!D53="","",TKB_Nhap!D53&amp;CHAR(10)&amp;IF(T(INDEX(PhanCong!$B$3:$I$18,MATCH(TKB_Nhap!D53,PhanCong!$A$3:$A$18,0),MATCH($A53,PhanCong!$B$2:$I$2,0)))="","(chưa PC GV)","GV: "&amp;INDEX(PhanCong!$B$3:$I$18,MATCH(TKB_Nhap!D53,PhanCong!$A$3:$A$18,0),MATCH($A53,PhanCong!$B$2:$I$2,0))))</f>
        <v/>
      </c>
      <c r="E53" s="26">
        <f>IF(TKB_Nhap!E53="","",TKB_Nhap!E53&amp;CHAR(10)&amp;IF(T(INDEX(PhanCong!$B$3:$I$18,MATCH(TKB_Nhap!E53,PhanCong!$A$3:$A$18,0),MATCH($A53,PhanCong!$B$2:$I$2,0)))="","(chưa PC GV)","GV: "&amp;INDEX(PhanCong!$B$3:$I$18,MATCH(TKB_Nhap!E53,PhanCong!$A$3:$A$18,0),MATCH($A53,PhanCong!$B$2:$I$2,0))))</f>
        <v/>
      </c>
      <c r="F53" s="26">
        <f>IF(TKB_Nhap!F53="","",TKB_Nhap!F53&amp;CHAR(10)&amp;IF(T(INDEX(PhanCong!$B$3:$I$18,MATCH(TKB_Nhap!F53,PhanCong!$A$3:$A$18,0),MATCH($A53,PhanCong!$B$2:$I$2,0)))="","(chưa PC GV)","GV: "&amp;INDEX(PhanCong!$B$3:$I$18,MATCH(TKB_Nhap!F53,PhanCong!$A$3:$A$18,0),MATCH($A53,PhanCong!$B$2:$I$2,0))))</f>
        <v/>
      </c>
      <c r="G53" s="26">
        <f>IF(TKB_Nhap!G53="","",TKB_Nhap!G53&amp;CHAR(10)&amp;IF(T(INDEX(PhanCong!$B$3:$I$18,MATCH(TKB_Nhap!G53,PhanCong!$A$3:$A$18,0),MATCH($A53,PhanCong!$B$2:$I$2,0)))="","(chưa PC GV)","GV: "&amp;INDEX(PhanCong!$B$3:$I$18,MATCH(TKB_Nhap!G53,PhanCong!$A$3:$A$18,0),MATCH($A53,PhanCong!$B$2:$I$2,0))))</f>
        <v/>
      </c>
      <c r="H53" s="26">
        <f>IF(TKB_Nhap!H53="","",TKB_Nhap!H53&amp;CHAR(10)&amp;IF(T(INDEX(PhanCong!$B$3:$I$18,MATCH(TKB_Nhap!H53,PhanCong!$A$3:$A$18,0),MATCH($A53,PhanCong!$B$2:$I$2,0)))="","(chưa PC GV)","GV: "&amp;INDEX(PhanCong!$B$3:$I$18,MATCH(TKB_Nhap!H53,PhanCong!$A$3:$A$18,0),MATCH($A53,PhanCong!$B$2:$I$2,0))))</f>
        <v/>
      </c>
      <c r="I53" s="26">
        <f>IF(TKB_Nhap!I53="","",TKB_Nhap!I53&amp;CHAR(10)&amp;IF(T(INDEX(PhanCong!$B$3:$I$18,MATCH(TKB_Nhap!I53,PhanCong!$A$3:$A$18,0),MATCH($A53,PhanCong!$B$2:$I$2,0)))="","(chưa PC GV)","GV: "&amp;INDEX(PhanCong!$B$3:$I$18,MATCH(TKB_Nhap!I53,PhanCong!$A$3:$A$18,0),MATCH($A53,PhanCong!$B$2:$I$2,0))))</f>
        <v/>
      </c>
      <c r="J53" s="26" t="n"/>
    </row>
    <row r="54" ht="27.75" customHeight="1">
      <c r="A54" s="30">
        <f>TKB_Nhap!A54</f>
        <v/>
      </c>
      <c r="B54" s="30">
        <f>TKB_Nhap!B54</f>
        <v/>
      </c>
      <c r="C54" s="30">
        <f>TKB_Nhap!C54</f>
        <v/>
      </c>
      <c r="D54" s="26">
        <f>IF(TKB_Nhap!D54="","",TKB_Nhap!D54&amp;CHAR(10)&amp;IF(T(INDEX(PhanCong!$B$3:$I$18,MATCH(TKB_Nhap!D54,PhanCong!$A$3:$A$18,0),MATCH($A54,PhanCong!$B$2:$I$2,0)))="","(chưa PC GV)","GV: "&amp;INDEX(PhanCong!$B$3:$I$18,MATCH(TKB_Nhap!D54,PhanCong!$A$3:$A$18,0),MATCH($A54,PhanCong!$B$2:$I$2,0))))</f>
        <v/>
      </c>
      <c r="E54" s="26">
        <f>IF(TKB_Nhap!E54="","",TKB_Nhap!E54&amp;CHAR(10)&amp;IF(T(INDEX(PhanCong!$B$3:$I$18,MATCH(TKB_Nhap!E54,PhanCong!$A$3:$A$18,0),MATCH($A54,PhanCong!$B$2:$I$2,0)))="","(chưa PC GV)","GV: "&amp;INDEX(PhanCong!$B$3:$I$18,MATCH(TKB_Nhap!E54,PhanCong!$A$3:$A$18,0),MATCH($A54,PhanCong!$B$2:$I$2,0))))</f>
        <v/>
      </c>
      <c r="F54" s="26">
        <f>IF(TKB_Nhap!F54="","",TKB_Nhap!F54&amp;CHAR(10)&amp;IF(T(INDEX(PhanCong!$B$3:$I$18,MATCH(TKB_Nhap!F54,PhanCong!$A$3:$A$18,0),MATCH($A54,PhanCong!$B$2:$I$2,0)))="","(chưa PC GV)","GV: "&amp;INDEX(PhanCong!$B$3:$I$18,MATCH(TKB_Nhap!F54,PhanCong!$A$3:$A$18,0),MATCH($A54,PhanCong!$B$2:$I$2,0))))</f>
        <v/>
      </c>
      <c r="G54" s="26">
        <f>IF(TKB_Nhap!G54="","",TKB_Nhap!G54&amp;CHAR(10)&amp;IF(T(INDEX(PhanCong!$B$3:$I$18,MATCH(TKB_Nhap!G54,PhanCong!$A$3:$A$18,0),MATCH($A54,PhanCong!$B$2:$I$2,0)))="","(chưa PC GV)","GV: "&amp;INDEX(PhanCong!$B$3:$I$18,MATCH(TKB_Nhap!G54,PhanCong!$A$3:$A$18,0),MATCH($A54,PhanCong!$B$2:$I$2,0))))</f>
        <v/>
      </c>
      <c r="H54" s="26">
        <f>IF(TKB_Nhap!H54="","",TKB_Nhap!H54&amp;CHAR(10)&amp;IF(T(INDEX(PhanCong!$B$3:$I$18,MATCH(TKB_Nhap!H54,PhanCong!$A$3:$A$18,0),MATCH($A54,PhanCong!$B$2:$I$2,0)))="","(chưa PC GV)","GV: "&amp;INDEX(PhanCong!$B$3:$I$18,MATCH(TKB_Nhap!H54,PhanCong!$A$3:$A$18,0),MATCH($A54,PhanCong!$B$2:$I$2,0))))</f>
        <v/>
      </c>
      <c r="I54" s="26">
        <f>IF(TKB_Nhap!I54="","",TKB_Nhap!I54&amp;CHAR(10)&amp;IF(T(INDEX(PhanCong!$B$3:$I$18,MATCH(TKB_Nhap!I54,PhanCong!$A$3:$A$18,0),MATCH($A54,PhanCong!$B$2:$I$2,0)))="","(chưa PC GV)","GV: "&amp;INDEX(PhanCong!$B$3:$I$18,MATCH(TKB_Nhap!I54,PhanCong!$A$3:$A$18,0),MATCH($A54,PhanCong!$B$2:$I$2,0))))</f>
        <v/>
      </c>
      <c r="J54" s="26" t="n"/>
    </row>
    <row r="55" ht="27.75" customHeight="1">
      <c r="A55" s="30">
        <f>TKB_Nhap!A55</f>
        <v/>
      </c>
      <c r="B55" s="30">
        <f>TKB_Nhap!B55</f>
        <v/>
      </c>
      <c r="C55" s="30">
        <f>TKB_Nhap!C55</f>
        <v/>
      </c>
      <c r="D55" s="26">
        <f>IF(TKB_Nhap!D55="","",TKB_Nhap!D55&amp;CHAR(10)&amp;IF(T(INDEX(PhanCong!$B$3:$I$18,MATCH(TKB_Nhap!D55,PhanCong!$A$3:$A$18,0),MATCH($A55,PhanCong!$B$2:$I$2,0)))="","(chưa PC GV)","GV: "&amp;INDEX(PhanCong!$B$3:$I$18,MATCH(TKB_Nhap!D55,PhanCong!$A$3:$A$18,0),MATCH($A55,PhanCong!$B$2:$I$2,0))))</f>
        <v/>
      </c>
      <c r="E55" s="26">
        <f>IF(TKB_Nhap!E55="","",TKB_Nhap!E55&amp;CHAR(10)&amp;IF(T(INDEX(PhanCong!$B$3:$I$18,MATCH(TKB_Nhap!E55,PhanCong!$A$3:$A$18,0),MATCH($A55,PhanCong!$B$2:$I$2,0)))="","(chưa PC GV)","GV: "&amp;INDEX(PhanCong!$B$3:$I$18,MATCH(TKB_Nhap!E55,PhanCong!$A$3:$A$18,0),MATCH($A55,PhanCong!$B$2:$I$2,0))))</f>
        <v/>
      </c>
      <c r="F55" s="26">
        <f>IF(TKB_Nhap!F55="","",TKB_Nhap!F55&amp;CHAR(10)&amp;IF(T(INDEX(PhanCong!$B$3:$I$18,MATCH(TKB_Nhap!F55,PhanCong!$A$3:$A$18,0),MATCH($A55,PhanCong!$B$2:$I$2,0)))="","(chưa PC GV)","GV: "&amp;INDEX(PhanCong!$B$3:$I$18,MATCH(TKB_Nhap!F55,PhanCong!$A$3:$A$18,0),MATCH($A55,PhanCong!$B$2:$I$2,0))))</f>
        <v/>
      </c>
      <c r="G55" s="26">
        <f>IF(TKB_Nhap!G55="","",TKB_Nhap!G55&amp;CHAR(10)&amp;IF(T(INDEX(PhanCong!$B$3:$I$18,MATCH(TKB_Nhap!G55,PhanCong!$A$3:$A$18,0),MATCH($A55,PhanCong!$B$2:$I$2,0)))="","(chưa PC GV)","GV: "&amp;INDEX(PhanCong!$B$3:$I$18,MATCH(TKB_Nhap!G55,PhanCong!$A$3:$A$18,0),MATCH($A55,PhanCong!$B$2:$I$2,0))))</f>
        <v/>
      </c>
      <c r="H55" s="26">
        <f>IF(TKB_Nhap!H55="","",TKB_Nhap!H55&amp;CHAR(10)&amp;IF(T(INDEX(PhanCong!$B$3:$I$18,MATCH(TKB_Nhap!H55,PhanCong!$A$3:$A$18,0),MATCH($A55,PhanCong!$B$2:$I$2,0)))="","(chưa PC GV)","GV: "&amp;INDEX(PhanCong!$B$3:$I$18,MATCH(TKB_Nhap!H55,PhanCong!$A$3:$A$18,0),MATCH($A55,PhanCong!$B$2:$I$2,0))))</f>
        <v/>
      </c>
      <c r="I55" s="26">
        <f>IF(TKB_Nhap!I55="","",TKB_Nhap!I55&amp;CHAR(10)&amp;IF(T(INDEX(PhanCong!$B$3:$I$18,MATCH(TKB_Nhap!I55,PhanCong!$A$3:$A$18,0),MATCH($A55,PhanCong!$B$2:$I$2,0)))="","(chưa PC GV)","GV: "&amp;INDEX(PhanCong!$B$3:$I$18,MATCH(TKB_Nhap!I55,PhanCong!$A$3:$A$18,0),MATCH($A55,PhanCong!$B$2:$I$2,0))))</f>
        <v/>
      </c>
      <c r="J55" s="26" t="n"/>
    </row>
    <row r="56" ht="27.75" customHeight="1">
      <c r="A56" s="30">
        <f>TKB_Nhap!A56</f>
        <v/>
      </c>
      <c r="B56" s="30">
        <f>TKB_Nhap!B56</f>
        <v/>
      </c>
      <c r="C56" s="30">
        <f>TKB_Nhap!C56</f>
        <v/>
      </c>
      <c r="D56" s="26">
        <f>IF(TKB_Nhap!D56="","",TKB_Nhap!D56&amp;CHAR(10)&amp;IF(T(INDEX(PhanCong!$B$3:$I$18,MATCH(TKB_Nhap!D56,PhanCong!$A$3:$A$18,0),MATCH($A56,PhanCong!$B$2:$I$2,0)))="","(chưa PC GV)","GV: "&amp;INDEX(PhanCong!$B$3:$I$18,MATCH(TKB_Nhap!D56,PhanCong!$A$3:$A$18,0),MATCH($A56,PhanCong!$B$2:$I$2,0))))</f>
        <v/>
      </c>
      <c r="E56" s="26">
        <f>IF(TKB_Nhap!E56="","",TKB_Nhap!E56&amp;CHAR(10)&amp;IF(T(INDEX(PhanCong!$B$3:$I$18,MATCH(TKB_Nhap!E56,PhanCong!$A$3:$A$18,0),MATCH($A56,PhanCong!$B$2:$I$2,0)))="","(chưa PC GV)","GV: "&amp;INDEX(PhanCong!$B$3:$I$18,MATCH(TKB_Nhap!E56,PhanCong!$A$3:$A$18,0),MATCH($A56,PhanCong!$B$2:$I$2,0))))</f>
        <v/>
      </c>
      <c r="F56" s="26">
        <f>IF(TKB_Nhap!F56="","",TKB_Nhap!F56&amp;CHAR(10)&amp;IF(T(INDEX(PhanCong!$B$3:$I$18,MATCH(TKB_Nhap!F56,PhanCong!$A$3:$A$18,0),MATCH($A56,PhanCong!$B$2:$I$2,0)))="","(chưa PC GV)","GV: "&amp;INDEX(PhanCong!$B$3:$I$18,MATCH(TKB_Nhap!F56,PhanCong!$A$3:$A$18,0),MATCH($A56,PhanCong!$B$2:$I$2,0))))</f>
        <v/>
      </c>
      <c r="G56" s="26">
        <f>IF(TKB_Nhap!G56="","",TKB_Nhap!G56&amp;CHAR(10)&amp;IF(T(INDEX(PhanCong!$B$3:$I$18,MATCH(TKB_Nhap!G56,PhanCong!$A$3:$A$18,0),MATCH($A56,PhanCong!$B$2:$I$2,0)))="","(chưa PC GV)","GV: "&amp;INDEX(PhanCong!$B$3:$I$18,MATCH(TKB_Nhap!G56,PhanCong!$A$3:$A$18,0),MATCH($A56,PhanCong!$B$2:$I$2,0))))</f>
        <v/>
      </c>
      <c r="H56" s="26">
        <f>IF(TKB_Nhap!H56="","",TKB_Nhap!H56&amp;CHAR(10)&amp;IF(T(INDEX(PhanCong!$B$3:$I$18,MATCH(TKB_Nhap!H56,PhanCong!$A$3:$A$18,0),MATCH($A56,PhanCong!$B$2:$I$2,0)))="","(chưa PC GV)","GV: "&amp;INDEX(PhanCong!$B$3:$I$18,MATCH(TKB_Nhap!H56,PhanCong!$A$3:$A$18,0),MATCH($A56,PhanCong!$B$2:$I$2,0))))</f>
        <v/>
      </c>
      <c r="I56" s="26">
        <f>IF(TKB_Nhap!I56="","",TKB_Nhap!I56&amp;CHAR(10)&amp;IF(T(INDEX(PhanCong!$B$3:$I$18,MATCH(TKB_Nhap!I56,PhanCong!$A$3:$A$18,0),MATCH($A56,PhanCong!$B$2:$I$2,0)))="","(chưa PC GV)","GV: "&amp;INDEX(PhanCong!$B$3:$I$18,MATCH(TKB_Nhap!I56,PhanCong!$A$3:$A$18,0),MATCH($A56,PhanCong!$B$2:$I$2,0))))</f>
        <v/>
      </c>
      <c r="J56" s="26" t="n"/>
    </row>
    <row r="57" ht="27.75" customHeight="1">
      <c r="A57" s="30">
        <f>TKB_Nhap!A57</f>
        <v/>
      </c>
      <c r="B57" s="30">
        <f>TKB_Nhap!B57</f>
        <v/>
      </c>
      <c r="C57" s="30">
        <f>TKB_Nhap!C57</f>
        <v/>
      </c>
      <c r="D57" s="26">
        <f>IF(TKB_Nhap!D57="","",TKB_Nhap!D57&amp;CHAR(10)&amp;IF(T(INDEX(PhanCong!$B$3:$I$18,MATCH(TKB_Nhap!D57,PhanCong!$A$3:$A$18,0),MATCH($A57,PhanCong!$B$2:$I$2,0)))="","(chưa PC GV)","GV: "&amp;INDEX(PhanCong!$B$3:$I$18,MATCH(TKB_Nhap!D57,PhanCong!$A$3:$A$18,0),MATCH($A57,PhanCong!$B$2:$I$2,0))))</f>
        <v/>
      </c>
      <c r="E57" s="26">
        <f>IF(TKB_Nhap!E57="","",TKB_Nhap!E57&amp;CHAR(10)&amp;IF(T(INDEX(PhanCong!$B$3:$I$18,MATCH(TKB_Nhap!E57,PhanCong!$A$3:$A$18,0),MATCH($A57,PhanCong!$B$2:$I$2,0)))="","(chưa PC GV)","GV: "&amp;INDEX(PhanCong!$B$3:$I$18,MATCH(TKB_Nhap!E57,PhanCong!$A$3:$A$18,0),MATCH($A57,PhanCong!$B$2:$I$2,0))))</f>
        <v/>
      </c>
      <c r="F57" s="26">
        <f>IF(TKB_Nhap!F57="","",TKB_Nhap!F57&amp;CHAR(10)&amp;IF(T(INDEX(PhanCong!$B$3:$I$18,MATCH(TKB_Nhap!F57,PhanCong!$A$3:$A$18,0),MATCH($A57,PhanCong!$B$2:$I$2,0)))="","(chưa PC GV)","GV: "&amp;INDEX(PhanCong!$B$3:$I$18,MATCH(TKB_Nhap!F57,PhanCong!$A$3:$A$18,0),MATCH($A57,PhanCong!$B$2:$I$2,0))))</f>
        <v/>
      </c>
      <c r="G57" s="26">
        <f>IF(TKB_Nhap!G57="","",TKB_Nhap!G57&amp;CHAR(10)&amp;IF(T(INDEX(PhanCong!$B$3:$I$18,MATCH(TKB_Nhap!G57,PhanCong!$A$3:$A$18,0),MATCH($A57,PhanCong!$B$2:$I$2,0)))="","(chưa PC GV)","GV: "&amp;INDEX(PhanCong!$B$3:$I$18,MATCH(TKB_Nhap!G57,PhanCong!$A$3:$A$18,0),MATCH($A57,PhanCong!$B$2:$I$2,0))))</f>
        <v/>
      </c>
      <c r="H57" s="26">
        <f>IF(TKB_Nhap!H57="","",TKB_Nhap!H57&amp;CHAR(10)&amp;IF(T(INDEX(PhanCong!$B$3:$I$18,MATCH(TKB_Nhap!H57,PhanCong!$A$3:$A$18,0),MATCH($A57,PhanCong!$B$2:$I$2,0)))="","(chưa PC GV)","GV: "&amp;INDEX(PhanCong!$B$3:$I$18,MATCH(TKB_Nhap!H57,PhanCong!$A$3:$A$18,0),MATCH($A57,PhanCong!$B$2:$I$2,0))))</f>
        <v/>
      </c>
      <c r="I57" s="26">
        <f>IF(TKB_Nhap!I57="","",TKB_Nhap!I57&amp;CHAR(10)&amp;IF(T(INDEX(PhanCong!$B$3:$I$18,MATCH(TKB_Nhap!I57,PhanCong!$A$3:$A$18,0),MATCH($A57,PhanCong!$B$2:$I$2,0)))="","(chưa PC GV)","GV: "&amp;INDEX(PhanCong!$B$3:$I$18,MATCH(TKB_Nhap!I57,PhanCong!$A$3:$A$18,0),MATCH($A57,PhanCong!$B$2:$I$2,0))))</f>
        <v/>
      </c>
      <c r="J57" s="26" t="n"/>
    </row>
    <row r="58" ht="27.75" customHeight="1">
      <c r="A58" s="36" t="n"/>
      <c r="B58" s="36" t="n"/>
      <c r="C58" s="36" t="n"/>
      <c r="D58" s="38" t="n"/>
      <c r="E58" s="38" t="n"/>
      <c r="F58" s="38" t="n"/>
      <c r="G58" s="38" t="n"/>
      <c r="H58" s="38" t="n"/>
      <c r="I58" s="38" t="n"/>
      <c r="J58" s="38" t="n"/>
    </row>
    <row r="59" ht="27.75" customHeight="1">
      <c r="A59" s="36" t="n"/>
      <c r="B59" s="36" t="n"/>
      <c r="C59" s="36" t="n"/>
      <c r="D59" s="38" t="n"/>
      <c r="E59" s="38" t="n"/>
      <c r="F59" s="38" t="n"/>
      <c r="G59" s="38" t="n"/>
      <c r="H59" s="38" t="n"/>
      <c r="I59" s="38" t="n"/>
      <c r="J59" s="38" t="n"/>
    </row>
    <row r="60" ht="27.75" customHeight="1">
      <c r="A60" s="36" t="n"/>
      <c r="B60" s="36" t="n"/>
      <c r="C60" s="36" t="n"/>
      <c r="D60" s="38" t="n"/>
      <c r="E60" s="38" t="n"/>
      <c r="F60" s="38" t="n"/>
      <c r="G60" s="38" t="n"/>
      <c r="H60" s="38" t="n"/>
      <c r="I60" s="38" t="n"/>
      <c r="J60" s="38" t="n"/>
    </row>
    <row r="61" ht="27.75" customHeight="1">
      <c r="A61" s="36" t="n"/>
      <c r="B61" s="36" t="n"/>
      <c r="C61" s="36" t="n"/>
      <c r="D61" s="38" t="n"/>
      <c r="E61" s="38" t="n"/>
      <c r="F61" s="38" t="n"/>
      <c r="G61" s="38" t="n"/>
      <c r="H61" s="38" t="n"/>
      <c r="I61" s="38" t="n"/>
      <c r="J61" s="38" t="n"/>
    </row>
    <row r="62" ht="27.75" customHeight="1">
      <c r="A62" s="36" t="n"/>
      <c r="B62" s="36" t="n"/>
      <c r="C62" s="36" t="n"/>
      <c r="D62" s="38" t="n"/>
      <c r="E62" s="38" t="n"/>
      <c r="F62" s="38" t="n"/>
      <c r="G62" s="38" t="n"/>
      <c r="H62" s="38" t="n"/>
      <c r="I62" s="38" t="n"/>
      <c r="J62" s="38" t="n"/>
    </row>
    <row r="63" ht="27.75" customHeight="1">
      <c r="A63" s="36" t="n"/>
      <c r="B63" s="36" t="n"/>
      <c r="C63" s="36" t="n"/>
      <c r="D63" s="38" t="n"/>
      <c r="E63" s="38" t="n"/>
      <c r="F63" s="38" t="n"/>
      <c r="G63" s="38" t="n"/>
      <c r="H63" s="38" t="n"/>
      <c r="I63" s="38" t="n"/>
      <c r="J63" s="38" t="n"/>
    </row>
    <row r="64" ht="27.75" customHeight="1">
      <c r="A64" s="36" t="n"/>
      <c r="B64" s="36" t="n"/>
      <c r="C64" s="36" t="n"/>
      <c r="D64" s="38" t="n"/>
      <c r="E64" s="38" t="n"/>
      <c r="F64" s="38" t="n"/>
      <c r="G64" s="38" t="n"/>
      <c r="H64" s="38" t="n"/>
      <c r="I64" s="38" t="n"/>
      <c r="J64" s="38" t="n"/>
    </row>
    <row r="65" ht="27.75" customHeight="1">
      <c r="A65" s="36" t="n"/>
      <c r="B65" s="36" t="n"/>
      <c r="C65" s="36" t="n"/>
      <c r="D65" s="38" t="n"/>
      <c r="E65" s="38" t="n"/>
      <c r="F65" s="38" t="n"/>
      <c r="G65" s="38" t="n"/>
      <c r="H65" s="38" t="n"/>
      <c r="I65" s="38" t="n"/>
      <c r="J65" s="38" t="n"/>
    </row>
    <row r="66" ht="27.75" customHeight="1">
      <c r="A66" s="30" t="n"/>
      <c r="B66" s="30" t="n"/>
      <c r="C66" s="30" t="n"/>
      <c r="D66" s="26" t="n"/>
      <c r="E66" s="26" t="n"/>
      <c r="F66" s="26" t="n"/>
      <c r="G66" s="26" t="n"/>
      <c r="H66" s="26" t="n"/>
      <c r="I66" s="26" t="n"/>
      <c r="J66" s="26" t="n"/>
    </row>
    <row r="67" ht="27.75" customHeight="1">
      <c r="A67" s="30" t="n"/>
      <c r="B67" s="30" t="n"/>
      <c r="C67" s="30" t="n"/>
      <c r="D67" s="26" t="n"/>
      <c r="E67" s="26" t="n"/>
      <c r="F67" s="26" t="n"/>
      <c r="G67" s="26" t="n"/>
      <c r="H67" s="26" t="n"/>
      <c r="I67" s="26" t="n"/>
      <c r="J67" s="26" t="n"/>
    </row>
    <row r="68" ht="27.75" customHeight="1">
      <c r="A68" s="30" t="n"/>
      <c r="B68" s="30" t="n"/>
      <c r="C68" s="30" t="n"/>
      <c r="D68" s="26" t="n"/>
      <c r="E68" s="26" t="n"/>
      <c r="F68" s="26" t="n"/>
      <c r="G68" s="26" t="n"/>
      <c r="H68" s="26" t="n"/>
      <c r="I68" s="26" t="n"/>
      <c r="J68" s="26" t="n"/>
    </row>
    <row r="69" ht="27.75" customHeight="1">
      <c r="A69" s="30" t="n"/>
      <c r="B69" s="30" t="n"/>
      <c r="C69" s="30" t="n"/>
      <c r="D69" s="26" t="n"/>
      <c r="E69" s="26" t="n"/>
      <c r="F69" s="26" t="n"/>
      <c r="G69" s="26" t="n"/>
      <c r="H69" s="26" t="n"/>
      <c r="I69" s="26" t="n"/>
      <c r="J69" s="26" t="n"/>
    </row>
    <row r="70" ht="27.75" customHeight="1">
      <c r="A70" s="30" t="n"/>
      <c r="B70" s="30" t="n"/>
      <c r="C70" s="30" t="n"/>
      <c r="D70" s="26" t="n"/>
      <c r="E70" s="26" t="n"/>
      <c r="F70" s="26" t="n"/>
      <c r="G70" s="26" t="n"/>
      <c r="H70" s="26" t="n"/>
      <c r="I70" s="26" t="n"/>
      <c r="J70" s="26" t="n"/>
    </row>
    <row r="71" ht="27.75" customHeight="1">
      <c r="A71" s="30" t="n"/>
      <c r="B71" s="30" t="n"/>
      <c r="C71" s="30" t="n"/>
      <c r="D71" s="26" t="n"/>
      <c r="E71" s="26" t="n"/>
      <c r="F71" s="26" t="n"/>
      <c r="G71" s="26" t="n"/>
      <c r="H71" s="26" t="n"/>
      <c r="I71" s="26" t="n"/>
      <c r="J71" s="26" t="n"/>
    </row>
    <row r="72" ht="27.75" customHeight="1">
      <c r="A72" s="30" t="n"/>
      <c r="B72" s="30" t="n"/>
      <c r="C72" s="30" t="n"/>
      <c r="D72" s="26" t="n"/>
      <c r="E72" s="26" t="n"/>
      <c r="F72" s="26" t="n"/>
      <c r="G72" s="26" t="n"/>
      <c r="H72" s="26" t="n"/>
      <c r="I72" s="26" t="n"/>
      <c r="J72" s="26" t="n"/>
    </row>
    <row r="73" ht="27.75" customHeight="1">
      <c r="A73" s="30" t="n"/>
      <c r="B73" s="30" t="n"/>
      <c r="C73" s="30" t="n"/>
      <c r="D73" s="26" t="n"/>
      <c r="E73" s="26" t="n"/>
      <c r="F73" s="26" t="n"/>
      <c r="G73" s="26" t="n"/>
      <c r="H73" s="26" t="n"/>
      <c r="I73" s="26" t="n"/>
      <c r="J73" s="26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  <col hidden="1" width="13" customWidth="1" min="12" max="18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  <c r="L1" s="33" t="inlineStr">
        <is>
          <t>Cờ trùng GV (ẩn) →</t>
        </is>
      </c>
    </row>
    <row r="2" ht="15" customHeight="1">
      <c r="A2" s="30">
        <f>TKB_Nhap!A2</f>
        <v/>
      </c>
      <c r="B2" s="30">
        <f>TKB_Nhap!B2</f>
        <v/>
      </c>
      <c r="C2" s="30">
        <f>TKB_Nhap!C2</f>
        <v/>
      </c>
      <c r="D2" s="30">
        <f>IF(TKB_Nhap!D2="","",IFERROR(T(INDEX(PhanCong!$B$3:$I$18,MATCH(TKB_Nhap!D2,PhanCong!$A$3:$A$18,0),MATCH($A2,PhanCong!$B$2:$I$2,0))),""))</f>
        <v/>
      </c>
      <c r="E2" s="30">
        <f>IF(TKB_Nhap!E2="","",IFERROR(T(INDEX(PhanCong!$B$3:$I$18,MATCH(TKB_Nhap!E2,PhanCong!$A$3:$A$18,0),MATCH($A2,PhanCong!$B$2:$I$2,0))),""))</f>
        <v/>
      </c>
      <c r="F2" s="30">
        <f>IF(TKB_Nhap!F2="","",IFERROR(T(INDEX(PhanCong!$B$3:$I$18,MATCH(TKB_Nhap!F2,PhanCong!$A$3:$A$18,0),MATCH($A2,PhanCong!$B$2:$I$2,0))),""))</f>
        <v/>
      </c>
      <c r="G2" s="30">
        <f>IF(TKB_Nhap!G2="","",IFERROR(T(INDEX(PhanCong!$B$3:$I$18,MATCH(TKB_Nhap!G2,PhanCong!$A$3:$A$18,0),MATCH($A2,PhanCong!$B$2:$I$2,0))),""))</f>
        <v/>
      </c>
      <c r="H2" s="30">
        <f>IF(TKB_Nhap!H2="","",IFERROR(T(INDEX(PhanCong!$B$3:$I$18,MATCH(TKB_Nhap!H2,PhanCong!$A$3:$A$18,0),MATCH($A2,PhanCong!$B$2:$I$2,0))),""))</f>
        <v/>
      </c>
      <c r="I2" s="30">
        <f>IF(TKB_Nhap!I2="","",IFERROR(T(INDEX(PhanCong!$B$3:$I$18,MATCH(TKB_Nhap!I2,PhanCong!$A$3:$A$18,0),MATCH($A2,PhanCong!$B$2:$I$2,0))),""))</f>
        <v/>
      </c>
      <c r="J2" s="30" t="n"/>
      <c r="L2" s="39" t="n"/>
      <c r="M2" s="39" t="n"/>
      <c r="N2" s="39" t="n"/>
      <c r="O2" s="39" t="n"/>
      <c r="P2" s="39" t="n"/>
      <c r="Q2" s="39" t="n"/>
      <c r="R2" s="39" t="n"/>
    </row>
    <row r="3" ht="15" customHeight="1">
      <c r="A3" s="30">
        <f>TKB_Nhap!A3</f>
        <v/>
      </c>
      <c r="B3" s="30">
        <f>TKB_Nhap!B3</f>
        <v/>
      </c>
      <c r="C3" s="30">
        <f>TKB_Nhap!C3</f>
        <v/>
      </c>
      <c r="D3" s="30">
        <f>IF(TKB_Nhap!D3="","",IFERROR(T(INDEX(PhanCong!$B$3:$I$18,MATCH(TKB_Nhap!D3,PhanCong!$A$3:$A$18,0),MATCH($A3,PhanCong!$B$2:$I$2,0))),""))</f>
        <v/>
      </c>
      <c r="E3" s="30">
        <f>IF(TKB_Nhap!E3="","",IFERROR(T(INDEX(PhanCong!$B$3:$I$18,MATCH(TKB_Nhap!E3,PhanCong!$A$3:$A$18,0),MATCH($A3,PhanCong!$B$2:$I$2,0))),""))</f>
        <v/>
      </c>
      <c r="F3" s="30">
        <f>IF(TKB_Nhap!F3="","",IFERROR(T(INDEX(PhanCong!$B$3:$I$18,MATCH(TKB_Nhap!F3,PhanCong!$A$3:$A$18,0),MATCH($A3,PhanCong!$B$2:$I$2,0))),""))</f>
        <v/>
      </c>
      <c r="G3" s="30">
        <f>IF(TKB_Nhap!G3="","",IFERROR(T(INDEX(PhanCong!$B$3:$I$18,MATCH(TKB_Nhap!G3,PhanCong!$A$3:$A$18,0),MATCH($A3,PhanCong!$B$2:$I$2,0))),""))</f>
        <v/>
      </c>
      <c r="H3" s="30">
        <f>IF(TKB_Nhap!H3="","",IFERROR(T(INDEX(PhanCong!$B$3:$I$18,MATCH(TKB_Nhap!H3,PhanCong!$A$3:$A$18,0),MATCH($A3,PhanCong!$B$2:$I$2,0))),""))</f>
        <v/>
      </c>
      <c r="I3" s="30">
        <f>IF(TKB_Nhap!I3="","",IFERROR(T(INDEX(PhanCong!$B$3:$I$18,MATCH(TKB_Nhap!I3,PhanCong!$A$3:$A$18,0),MATCH($A3,PhanCong!$B$2:$I$2,0))),""))</f>
        <v/>
      </c>
      <c r="J3" s="30" t="n"/>
      <c r="L3" s="39" t="n"/>
      <c r="M3" s="39" t="n"/>
      <c r="N3" s="39" t="n"/>
      <c r="O3" s="39" t="n"/>
      <c r="P3" s="39" t="n"/>
      <c r="Q3" s="39" t="n"/>
      <c r="R3" s="39" t="n"/>
    </row>
    <row r="4" ht="15" customHeight="1">
      <c r="A4" s="30">
        <f>TKB_Nhap!A4</f>
        <v/>
      </c>
      <c r="B4" s="30">
        <f>TKB_Nhap!B4</f>
        <v/>
      </c>
      <c r="C4" s="30">
        <f>TKB_Nhap!C4</f>
        <v/>
      </c>
      <c r="D4" s="30">
        <f>IF(TKB_Nhap!D4="","",IFERROR(T(INDEX(PhanCong!$B$3:$I$18,MATCH(TKB_Nhap!D4,PhanCong!$A$3:$A$18,0),MATCH($A4,PhanCong!$B$2:$I$2,0))),""))</f>
        <v/>
      </c>
      <c r="E4" s="30">
        <f>IF(TKB_Nhap!E4="","",IFERROR(T(INDEX(PhanCong!$B$3:$I$18,MATCH(TKB_Nhap!E4,PhanCong!$A$3:$A$18,0),MATCH($A4,PhanCong!$B$2:$I$2,0))),""))</f>
        <v/>
      </c>
      <c r="F4" s="30">
        <f>IF(TKB_Nhap!F4="","",IFERROR(T(INDEX(PhanCong!$B$3:$I$18,MATCH(TKB_Nhap!F4,PhanCong!$A$3:$A$18,0),MATCH($A4,PhanCong!$B$2:$I$2,0))),""))</f>
        <v/>
      </c>
      <c r="G4" s="30">
        <f>IF(TKB_Nhap!G4="","",IFERROR(T(INDEX(PhanCong!$B$3:$I$18,MATCH(TKB_Nhap!G4,PhanCong!$A$3:$A$18,0),MATCH($A4,PhanCong!$B$2:$I$2,0))),""))</f>
        <v/>
      </c>
      <c r="H4" s="30">
        <f>IF(TKB_Nhap!H4="","",IFERROR(T(INDEX(PhanCong!$B$3:$I$18,MATCH(TKB_Nhap!H4,PhanCong!$A$3:$A$18,0),MATCH($A4,PhanCong!$B$2:$I$2,0))),""))</f>
        <v/>
      </c>
      <c r="I4" s="30">
        <f>IF(TKB_Nhap!I4="","",IFERROR(T(INDEX(PhanCong!$B$3:$I$18,MATCH(TKB_Nhap!I4,PhanCong!$A$3:$A$18,0),MATCH($A4,PhanCong!$B$2:$I$2,0))),""))</f>
        <v/>
      </c>
      <c r="J4" s="30" t="n"/>
      <c r="L4" s="39" t="n"/>
      <c r="M4" s="39" t="n"/>
      <c r="N4" s="39" t="n"/>
      <c r="O4" s="39" t="n"/>
      <c r="P4" s="39" t="n"/>
      <c r="Q4" s="39" t="n"/>
      <c r="R4" s="39" t="n"/>
    </row>
    <row r="5" ht="15" customHeight="1">
      <c r="A5" s="30">
        <f>TKB_Nhap!A5</f>
        <v/>
      </c>
      <c r="B5" s="30">
        <f>TKB_Nhap!B5</f>
        <v/>
      </c>
      <c r="C5" s="30">
        <f>TKB_Nhap!C5</f>
        <v/>
      </c>
      <c r="D5" s="30">
        <f>IF(TKB_Nhap!D5="","",IFERROR(T(INDEX(PhanCong!$B$3:$I$18,MATCH(TKB_Nhap!D5,PhanCong!$A$3:$A$18,0),MATCH($A5,PhanCong!$B$2:$I$2,0))),""))</f>
        <v/>
      </c>
      <c r="E5" s="30">
        <f>IF(TKB_Nhap!E5="","",IFERROR(T(INDEX(PhanCong!$B$3:$I$18,MATCH(TKB_Nhap!E5,PhanCong!$A$3:$A$18,0),MATCH($A5,PhanCong!$B$2:$I$2,0))),""))</f>
        <v/>
      </c>
      <c r="F5" s="30">
        <f>IF(TKB_Nhap!F5="","",IFERROR(T(INDEX(PhanCong!$B$3:$I$18,MATCH(TKB_Nhap!F5,PhanCong!$A$3:$A$18,0),MATCH($A5,PhanCong!$B$2:$I$2,0))),""))</f>
        <v/>
      </c>
      <c r="G5" s="30">
        <f>IF(TKB_Nhap!G5="","",IFERROR(T(INDEX(PhanCong!$B$3:$I$18,MATCH(TKB_Nhap!G5,PhanCong!$A$3:$A$18,0),MATCH($A5,PhanCong!$B$2:$I$2,0))),""))</f>
        <v/>
      </c>
      <c r="H5" s="30">
        <f>IF(TKB_Nhap!H5="","",IFERROR(T(INDEX(PhanCong!$B$3:$I$18,MATCH(TKB_Nhap!H5,PhanCong!$A$3:$A$18,0),MATCH($A5,PhanCong!$B$2:$I$2,0))),""))</f>
        <v/>
      </c>
      <c r="I5" s="30">
        <f>IF(TKB_Nhap!I5="","",IFERROR(T(INDEX(PhanCong!$B$3:$I$18,MATCH(TKB_Nhap!I5,PhanCong!$A$3:$A$18,0),MATCH($A5,PhanCong!$B$2:$I$2,0))),""))</f>
        <v/>
      </c>
      <c r="J5" s="30" t="n"/>
      <c r="L5" s="39" t="n"/>
      <c r="M5" s="39" t="n"/>
      <c r="N5" s="39" t="n"/>
      <c r="O5" s="39" t="n"/>
      <c r="P5" s="39" t="n"/>
      <c r="Q5" s="39" t="n"/>
      <c r="R5" s="39" t="n"/>
    </row>
    <row r="6" ht="15" customHeight="1">
      <c r="A6" s="30">
        <f>TKB_Nhap!A6</f>
        <v/>
      </c>
      <c r="B6" s="30">
        <f>TKB_Nhap!B6</f>
        <v/>
      </c>
      <c r="C6" s="30">
        <f>TKB_Nhap!C6</f>
        <v/>
      </c>
      <c r="D6" s="30">
        <f>IF(TKB_Nhap!D6="","",IFERROR(T(INDEX(PhanCong!$B$3:$I$18,MATCH(TKB_Nhap!D6,PhanCong!$A$3:$A$18,0),MATCH($A6,PhanCong!$B$2:$I$2,0))),""))</f>
        <v/>
      </c>
      <c r="E6" s="30">
        <f>IF(TKB_Nhap!E6="","",IFERROR(T(INDEX(PhanCong!$B$3:$I$18,MATCH(TKB_Nhap!E6,PhanCong!$A$3:$A$18,0),MATCH($A6,PhanCong!$B$2:$I$2,0))),""))</f>
        <v/>
      </c>
      <c r="F6" s="30">
        <f>IF(TKB_Nhap!F6="","",IFERROR(T(INDEX(PhanCong!$B$3:$I$18,MATCH(TKB_Nhap!F6,PhanCong!$A$3:$A$18,0),MATCH($A6,PhanCong!$B$2:$I$2,0))),""))</f>
        <v/>
      </c>
      <c r="G6" s="30">
        <f>IF(TKB_Nhap!G6="","",IFERROR(T(INDEX(PhanCong!$B$3:$I$18,MATCH(TKB_Nhap!G6,PhanCong!$A$3:$A$18,0),MATCH($A6,PhanCong!$B$2:$I$2,0))),""))</f>
        <v/>
      </c>
      <c r="H6" s="30">
        <f>IF(TKB_Nhap!H6="","",IFERROR(T(INDEX(PhanCong!$B$3:$I$18,MATCH(TKB_Nhap!H6,PhanCong!$A$3:$A$18,0),MATCH($A6,PhanCong!$B$2:$I$2,0))),""))</f>
        <v/>
      </c>
      <c r="I6" s="30">
        <f>IF(TKB_Nhap!I6="","",IFERROR(T(INDEX(PhanCong!$B$3:$I$18,MATCH(TKB_Nhap!I6,PhanCong!$A$3:$A$18,0),MATCH($A6,PhanCong!$B$2:$I$2,0))),""))</f>
        <v/>
      </c>
      <c r="J6" s="30" t="n"/>
      <c r="L6" s="39" t="n"/>
      <c r="M6" s="39" t="n"/>
      <c r="N6" s="39" t="n"/>
      <c r="O6" s="39" t="n"/>
      <c r="P6" s="39" t="n"/>
      <c r="Q6" s="39" t="n"/>
      <c r="R6" s="39" t="n"/>
    </row>
    <row r="7" ht="15" customHeight="1">
      <c r="A7" s="30">
        <f>TKB_Nhap!A7</f>
        <v/>
      </c>
      <c r="B7" s="30">
        <f>TKB_Nhap!B7</f>
        <v/>
      </c>
      <c r="C7" s="30">
        <f>TKB_Nhap!C7</f>
        <v/>
      </c>
      <c r="D7" s="30">
        <f>IF(TKB_Nhap!D7="","",IFERROR(T(INDEX(PhanCong!$B$3:$I$18,MATCH(TKB_Nhap!D7,PhanCong!$A$3:$A$18,0),MATCH($A7,PhanCong!$B$2:$I$2,0))),""))</f>
        <v/>
      </c>
      <c r="E7" s="30">
        <f>IF(TKB_Nhap!E7="","",IFERROR(T(INDEX(PhanCong!$B$3:$I$18,MATCH(TKB_Nhap!E7,PhanCong!$A$3:$A$18,0),MATCH($A7,PhanCong!$B$2:$I$2,0))),""))</f>
        <v/>
      </c>
      <c r="F7" s="30">
        <f>IF(TKB_Nhap!F7="","",IFERROR(T(INDEX(PhanCong!$B$3:$I$18,MATCH(TKB_Nhap!F7,PhanCong!$A$3:$A$18,0),MATCH($A7,PhanCong!$B$2:$I$2,0))),""))</f>
        <v/>
      </c>
      <c r="G7" s="30">
        <f>IF(TKB_Nhap!G7="","",IFERROR(T(INDEX(PhanCong!$B$3:$I$18,MATCH(TKB_Nhap!G7,PhanCong!$A$3:$A$18,0),MATCH($A7,PhanCong!$B$2:$I$2,0))),""))</f>
        <v/>
      </c>
      <c r="H7" s="30">
        <f>IF(TKB_Nhap!H7="","",IFERROR(T(INDEX(PhanCong!$B$3:$I$18,MATCH(TKB_Nhap!H7,PhanCong!$A$3:$A$18,0),MATCH($A7,PhanCong!$B$2:$I$2,0))),""))</f>
        <v/>
      </c>
      <c r="I7" s="30">
        <f>IF(TKB_Nhap!I7="","",IFERROR(T(INDEX(PhanCong!$B$3:$I$18,MATCH(TKB_Nhap!I7,PhanCong!$A$3:$A$18,0),MATCH($A7,PhanCong!$B$2:$I$2,0))),""))</f>
        <v/>
      </c>
      <c r="J7" s="30" t="n"/>
      <c r="L7" s="39" t="n"/>
      <c r="M7" s="39" t="n"/>
      <c r="N7" s="39" t="n"/>
      <c r="O7" s="39" t="n"/>
      <c r="P7" s="39" t="n"/>
      <c r="Q7" s="39" t="n"/>
      <c r="R7" s="39" t="n"/>
    </row>
    <row r="8" ht="15" customHeight="1">
      <c r="A8" s="30">
        <f>TKB_Nhap!A8</f>
        <v/>
      </c>
      <c r="B8" s="30">
        <f>TKB_Nhap!B8</f>
        <v/>
      </c>
      <c r="C8" s="30">
        <f>TKB_Nhap!C8</f>
        <v/>
      </c>
      <c r="D8" s="30">
        <f>IF(TKB_Nhap!D8="","",IFERROR(T(INDEX(PhanCong!$B$3:$I$18,MATCH(TKB_Nhap!D8,PhanCong!$A$3:$A$18,0),MATCH($A8,PhanCong!$B$2:$I$2,0))),""))</f>
        <v/>
      </c>
      <c r="E8" s="30">
        <f>IF(TKB_Nhap!E8="","",IFERROR(T(INDEX(PhanCong!$B$3:$I$18,MATCH(TKB_Nhap!E8,PhanCong!$A$3:$A$18,0),MATCH($A8,PhanCong!$B$2:$I$2,0))),""))</f>
        <v/>
      </c>
      <c r="F8" s="30">
        <f>IF(TKB_Nhap!F8="","",IFERROR(T(INDEX(PhanCong!$B$3:$I$18,MATCH(TKB_Nhap!F8,PhanCong!$A$3:$A$18,0),MATCH($A8,PhanCong!$B$2:$I$2,0))),""))</f>
        <v/>
      </c>
      <c r="G8" s="30">
        <f>IF(TKB_Nhap!G8="","",IFERROR(T(INDEX(PhanCong!$B$3:$I$18,MATCH(TKB_Nhap!G8,PhanCong!$A$3:$A$18,0),MATCH($A8,PhanCong!$B$2:$I$2,0))),""))</f>
        <v/>
      </c>
      <c r="H8" s="30">
        <f>IF(TKB_Nhap!H8="","",IFERROR(T(INDEX(PhanCong!$B$3:$I$18,MATCH(TKB_Nhap!H8,PhanCong!$A$3:$A$18,0),MATCH($A8,PhanCong!$B$2:$I$2,0))),""))</f>
        <v/>
      </c>
      <c r="I8" s="30">
        <f>IF(TKB_Nhap!I8="","",IFERROR(T(INDEX(PhanCong!$B$3:$I$18,MATCH(TKB_Nhap!I8,PhanCong!$A$3:$A$18,0),MATCH($A8,PhanCong!$B$2:$I$2,0))),""))</f>
        <v/>
      </c>
      <c r="J8" s="30" t="n"/>
      <c r="L8" s="39" t="n"/>
      <c r="M8" s="39" t="n"/>
      <c r="N8" s="39" t="n"/>
      <c r="O8" s="39" t="n"/>
      <c r="P8" s="39" t="n"/>
      <c r="Q8" s="39" t="n"/>
      <c r="R8" s="39" t="n"/>
    </row>
    <row r="9" ht="15" customHeight="1">
      <c r="A9" s="30">
        <f>TKB_Nhap!A9</f>
        <v/>
      </c>
      <c r="B9" s="30">
        <f>TKB_Nhap!B9</f>
        <v/>
      </c>
      <c r="C9" s="30">
        <f>TKB_Nhap!C9</f>
        <v/>
      </c>
      <c r="D9" s="30">
        <f>IF(TKB_Nhap!D9="","",IFERROR(T(INDEX(PhanCong!$B$3:$I$18,MATCH(TKB_Nhap!D9,PhanCong!$A$3:$A$18,0),MATCH($A9,PhanCong!$B$2:$I$2,0))),""))</f>
        <v/>
      </c>
      <c r="E9" s="30">
        <f>IF(TKB_Nhap!E9="","",IFERROR(T(INDEX(PhanCong!$B$3:$I$18,MATCH(TKB_Nhap!E9,PhanCong!$A$3:$A$18,0),MATCH($A9,PhanCong!$B$2:$I$2,0))),""))</f>
        <v/>
      </c>
      <c r="F9" s="30">
        <f>IF(TKB_Nhap!F9="","",IFERROR(T(INDEX(PhanCong!$B$3:$I$18,MATCH(TKB_Nhap!F9,PhanCong!$A$3:$A$18,0),MATCH($A9,PhanCong!$B$2:$I$2,0))),""))</f>
        <v/>
      </c>
      <c r="G9" s="30">
        <f>IF(TKB_Nhap!G9="","",IFERROR(T(INDEX(PhanCong!$B$3:$I$18,MATCH(TKB_Nhap!G9,PhanCong!$A$3:$A$18,0),MATCH($A9,PhanCong!$B$2:$I$2,0))),""))</f>
        <v/>
      </c>
      <c r="H9" s="30">
        <f>IF(TKB_Nhap!H9="","",IFERROR(T(INDEX(PhanCong!$B$3:$I$18,MATCH(TKB_Nhap!H9,PhanCong!$A$3:$A$18,0),MATCH($A9,PhanCong!$B$2:$I$2,0))),""))</f>
        <v/>
      </c>
      <c r="I9" s="30">
        <f>IF(TKB_Nhap!I9="","",IFERROR(T(INDEX(PhanCong!$B$3:$I$18,MATCH(TKB_Nhap!I9,PhanCong!$A$3:$A$18,0),MATCH($A9,PhanCong!$B$2:$I$2,0))),""))</f>
        <v/>
      </c>
      <c r="J9" s="30" t="n"/>
      <c r="L9" s="39" t="n"/>
      <c r="M9" s="39" t="n"/>
      <c r="N9" s="39" t="n"/>
      <c r="O9" s="39" t="n"/>
      <c r="P9" s="39" t="n"/>
      <c r="Q9" s="39" t="n"/>
      <c r="R9" s="39" t="n"/>
    </row>
    <row r="10" ht="15" customHeight="1">
      <c r="A10" s="36">
        <f>TKB_Nhap!A10</f>
        <v/>
      </c>
      <c r="B10" s="36">
        <f>TKB_Nhap!B10</f>
        <v/>
      </c>
      <c r="C10" s="36">
        <f>TKB_Nhap!C10</f>
        <v/>
      </c>
      <c r="D10" s="36">
        <f>IF(TKB_Nhap!D10="","",IFERROR(T(INDEX(PhanCong!$B$3:$I$18,MATCH(TKB_Nhap!D10,PhanCong!$A$3:$A$18,0),MATCH($A10,PhanCong!$B$2:$I$2,0))),""))</f>
        <v/>
      </c>
      <c r="E10" s="36">
        <f>IF(TKB_Nhap!E10="","",IFERROR(T(INDEX(PhanCong!$B$3:$I$18,MATCH(TKB_Nhap!E10,PhanCong!$A$3:$A$18,0),MATCH($A10,PhanCong!$B$2:$I$2,0))),""))</f>
        <v/>
      </c>
      <c r="F10" s="36">
        <f>IF(TKB_Nhap!F10="","",IFERROR(T(INDEX(PhanCong!$B$3:$I$18,MATCH(TKB_Nhap!F10,PhanCong!$A$3:$A$18,0),MATCH($A10,PhanCong!$B$2:$I$2,0))),""))</f>
        <v/>
      </c>
      <c r="G10" s="36">
        <f>IF(TKB_Nhap!G10="","",IFERROR(T(INDEX(PhanCong!$B$3:$I$18,MATCH(TKB_Nhap!G10,PhanCong!$A$3:$A$18,0),MATCH($A10,PhanCong!$B$2:$I$2,0))),""))</f>
        <v/>
      </c>
      <c r="H10" s="36">
        <f>IF(TKB_Nhap!H10="","",IFERROR(T(INDEX(PhanCong!$B$3:$I$18,MATCH(TKB_Nhap!H10,PhanCong!$A$3:$A$18,0),MATCH($A10,PhanCong!$B$2:$I$2,0))),""))</f>
        <v/>
      </c>
      <c r="I10" s="36">
        <f>IF(TKB_Nhap!I10="","",IFERROR(T(INDEX(PhanCong!$B$3:$I$18,MATCH(TKB_Nhap!I10,PhanCong!$A$3:$A$18,0),MATCH($A10,PhanCong!$B$2:$I$2,0))),""))</f>
        <v/>
      </c>
      <c r="J10" s="36" t="n"/>
      <c r="L10" s="39" t="n"/>
      <c r="M10" s="39" t="n"/>
      <c r="N10" s="39" t="n"/>
      <c r="O10" s="39" t="n"/>
      <c r="P10" s="39" t="n"/>
      <c r="Q10" s="39" t="n"/>
      <c r="R10" s="39" t="n"/>
    </row>
    <row r="11" ht="15" customHeight="1">
      <c r="A11" s="36">
        <f>TKB_Nhap!A11</f>
        <v/>
      </c>
      <c r="B11" s="36">
        <f>TKB_Nhap!B11</f>
        <v/>
      </c>
      <c r="C11" s="36">
        <f>TKB_Nhap!C11</f>
        <v/>
      </c>
      <c r="D11" s="36">
        <f>IF(TKB_Nhap!D11="","",IFERROR(T(INDEX(PhanCong!$B$3:$I$18,MATCH(TKB_Nhap!D11,PhanCong!$A$3:$A$18,0),MATCH($A11,PhanCong!$B$2:$I$2,0))),""))</f>
        <v/>
      </c>
      <c r="E11" s="36">
        <f>IF(TKB_Nhap!E11="","",IFERROR(T(INDEX(PhanCong!$B$3:$I$18,MATCH(TKB_Nhap!E11,PhanCong!$A$3:$A$18,0),MATCH($A11,PhanCong!$B$2:$I$2,0))),""))</f>
        <v/>
      </c>
      <c r="F11" s="36">
        <f>IF(TKB_Nhap!F11="","",IFERROR(T(INDEX(PhanCong!$B$3:$I$18,MATCH(TKB_Nhap!F11,PhanCong!$A$3:$A$18,0),MATCH($A11,PhanCong!$B$2:$I$2,0))),""))</f>
        <v/>
      </c>
      <c r="G11" s="36">
        <f>IF(TKB_Nhap!G11="","",IFERROR(T(INDEX(PhanCong!$B$3:$I$18,MATCH(TKB_Nhap!G11,PhanCong!$A$3:$A$18,0),MATCH($A11,PhanCong!$B$2:$I$2,0))),""))</f>
        <v/>
      </c>
      <c r="H11" s="36">
        <f>IF(TKB_Nhap!H11="","",IFERROR(T(INDEX(PhanCong!$B$3:$I$18,MATCH(TKB_Nhap!H11,PhanCong!$A$3:$A$18,0),MATCH($A11,PhanCong!$B$2:$I$2,0))),""))</f>
        <v/>
      </c>
      <c r="I11" s="36">
        <f>IF(TKB_Nhap!I11="","",IFERROR(T(INDEX(PhanCong!$B$3:$I$18,MATCH(TKB_Nhap!I11,PhanCong!$A$3:$A$18,0),MATCH($A11,PhanCong!$B$2:$I$2,0))),""))</f>
        <v/>
      </c>
      <c r="J11" s="36" t="n"/>
      <c r="L11" s="39" t="n"/>
      <c r="M11" s="39" t="n"/>
      <c r="N11" s="39" t="n"/>
      <c r="O11" s="39" t="n"/>
      <c r="P11" s="39" t="n"/>
      <c r="Q11" s="39" t="n"/>
      <c r="R11" s="39" t="n"/>
    </row>
    <row r="12" ht="15" customHeight="1">
      <c r="A12" s="36">
        <f>TKB_Nhap!A12</f>
        <v/>
      </c>
      <c r="B12" s="36">
        <f>TKB_Nhap!B12</f>
        <v/>
      </c>
      <c r="C12" s="36">
        <f>TKB_Nhap!C12</f>
        <v/>
      </c>
      <c r="D12" s="36">
        <f>IF(TKB_Nhap!D12="","",IFERROR(T(INDEX(PhanCong!$B$3:$I$18,MATCH(TKB_Nhap!D12,PhanCong!$A$3:$A$18,0),MATCH($A12,PhanCong!$B$2:$I$2,0))),""))</f>
        <v/>
      </c>
      <c r="E12" s="36">
        <f>IF(TKB_Nhap!E12="","",IFERROR(T(INDEX(PhanCong!$B$3:$I$18,MATCH(TKB_Nhap!E12,PhanCong!$A$3:$A$18,0),MATCH($A12,PhanCong!$B$2:$I$2,0))),""))</f>
        <v/>
      </c>
      <c r="F12" s="36">
        <f>IF(TKB_Nhap!F12="","",IFERROR(T(INDEX(PhanCong!$B$3:$I$18,MATCH(TKB_Nhap!F12,PhanCong!$A$3:$A$18,0),MATCH($A12,PhanCong!$B$2:$I$2,0))),""))</f>
        <v/>
      </c>
      <c r="G12" s="36">
        <f>IF(TKB_Nhap!G12="","",IFERROR(T(INDEX(PhanCong!$B$3:$I$18,MATCH(TKB_Nhap!G12,PhanCong!$A$3:$A$18,0),MATCH($A12,PhanCong!$B$2:$I$2,0))),""))</f>
        <v/>
      </c>
      <c r="H12" s="36">
        <f>IF(TKB_Nhap!H12="","",IFERROR(T(INDEX(PhanCong!$B$3:$I$18,MATCH(TKB_Nhap!H12,PhanCong!$A$3:$A$18,0),MATCH($A12,PhanCong!$B$2:$I$2,0))),""))</f>
        <v/>
      </c>
      <c r="I12" s="36">
        <f>IF(TKB_Nhap!I12="","",IFERROR(T(INDEX(PhanCong!$B$3:$I$18,MATCH(TKB_Nhap!I12,PhanCong!$A$3:$A$18,0),MATCH($A12,PhanCong!$B$2:$I$2,0))),""))</f>
        <v/>
      </c>
      <c r="J12" s="36" t="n"/>
      <c r="L12" s="39" t="n"/>
      <c r="M12" s="39" t="n"/>
      <c r="N12" s="39" t="n"/>
      <c r="O12" s="39" t="n"/>
      <c r="P12" s="39" t="n"/>
      <c r="Q12" s="39" t="n"/>
      <c r="R12" s="39" t="n"/>
    </row>
    <row r="13" ht="15" customHeight="1">
      <c r="A13" s="36">
        <f>TKB_Nhap!A13</f>
        <v/>
      </c>
      <c r="B13" s="36">
        <f>TKB_Nhap!B13</f>
        <v/>
      </c>
      <c r="C13" s="36">
        <f>TKB_Nhap!C13</f>
        <v/>
      </c>
      <c r="D13" s="36">
        <f>IF(TKB_Nhap!D13="","",IFERROR(T(INDEX(PhanCong!$B$3:$I$18,MATCH(TKB_Nhap!D13,PhanCong!$A$3:$A$18,0),MATCH($A13,PhanCong!$B$2:$I$2,0))),""))</f>
        <v/>
      </c>
      <c r="E13" s="36">
        <f>IF(TKB_Nhap!E13="","",IFERROR(T(INDEX(PhanCong!$B$3:$I$18,MATCH(TKB_Nhap!E13,PhanCong!$A$3:$A$18,0),MATCH($A13,PhanCong!$B$2:$I$2,0))),""))</f>
        <v/>
      </c>
      <c r="F13" s="36">
        <f>IF(TKB_Nhap!F13="","",IFERROR(T(INDEX(PhanCong!$B$3:$I$18,MATCH(TKB_Nhap!F13,PhanCong!$A$3:$A$18,0),MATCH($A13,PhanCong!$B$2:$I$2,0))),""))</f>
        <v/>
      </c>
      <c r="G13" s="36">
        <f>IF(TKB_Nhap!G13="","",IFERROR(T(INDEX(PhanCong!$B$3:$I$18,MATCH(TKB_Nhap!G13,PhanCong!$A$3:$A$18,0),MATCH($A13,PhanCong!$B$2:$I$2,0))),""))</f>
        <v/>
      </c>
      <c r="H13" s="36">
        <f>IF(TKB_Nhap!H13="","",IFERROR(T(INDEX(PhanCong!$B$3:$I$18,MATCH(TKB_Nhap!H13,PhanCong!$A$3:$A$18,0),MATCH($A13,PhanCong!$B$2:$I$2,0))),""))</f>
        <v/>
      </c>
      <c r="I13" s="36">
        <f>IF(TKB_Nhap!I13="","",IFERROR(T(INDEX(PhanCong!$B$3:$I$18,MATCH(TKB_Nhap!I13,PhanCong!$A$3:$A$18,0),MATCH($A13,PhanCong!$B$2:$I$2,0))),""))</f>
        <v/>
      </c>
      <c r="J13" s="36" t="n"/>
      <c r="L13" s="39" t="n"/>
      <c r="M13" s="39" t="n"/>
      <c r="N13" s="39" t="n"/>
      <c r="O13" s="39" t="n"/>
      <c r="P13" s="39" t="n"/>
      <c r="Q13" s="39" t="n"/>
      <c r="R13" s="39" t="n"/>
    </row>
    <row r="14" ht="15" customHeight="1">
      <c r="A14" s="36">
        <f>TKB_Nhap!A14</f>
        <v/>
      </c>
      <c r="B14" s="36">
        <f>TKB_Nhap!B14</f>
        <v/>
      </c>
      <c r="C14" s="36">
        <f>TKB_Nhap!C14</f>
        <v/>
      </c>
      <c r="D14" s="36">
        <f>IF(TKB_Nhap!D14="","",IFERROR(T(INDEX(PhanCong!$B$3:$I$18,MATCH(TKB_Nhap!D14,PhanCong!$A$3:$A$18,0),MATCH($A14,PhanCong!$B$2:$I$2,0))),""))</f>
        <v/>
      </c>
      <c r="E14" s="36">
        <f>IF(TKB_Nhap!E14="","",IFERROR(T(INDEX(PhanCong!$B$3:$I$18,MATCH(TKB_Nhap!E14,PhanCong!$A$3:$A$18,0),MATCH($A14,PhanCong!$B$2:$I$2,0))),""))</f>
        <v/>
      </c>
      <c r="F14" s="36">
        <f>IF(TKB_Nhap!F14="","",IFERROR(T(INDEX(PhanCong!$B$3:$I$18,MATCH(TKB_Nhap!F14,PhanCong!$A$3:$A$18,0),MATCH($A14,PhanCong!$B$2:$I$2,0))),""))</f>
        <v/>
      </c>
      <c r="G14" s="36">
        <f>IF(TKB_Nhap!G14="","",IFERROR(T(INDEX(PhanCong!$B$3:$I$18,MATCH(TKB_Nhap!G14,PhanCong!$A$3:$A$18,0),MATCH($A14,PhanCong!$B$2:$I$2,0))),""))</f>
        <v/>
      </c>
      <c r="H14" s="36">
        <f>IF(TKB_Nhap!H14="","",IFERROR(T(INDEX(PhanCong!$B$3:$I$18,MATCH(TKB_Nhap!H14,PhanCong!$A$3:$A$18,0),MATCH($A14,PhanCong!$B$2:$I$2,0))),""))</f>
        <v/>
      </c>
      <c r="I14" s="36">
        <f>IF(TKB_Nhap!I14="","",IFERROR(T(INDEX(PhanCong!$B$3:$I$18,MATCH(TKB_Nhap!I14,PhanCong!$A$3:$A$18,0),MATCH($A14,PhanCong!$B$2:$I$2,0))),""))</f>
        <v/>
      </c>
      <c r="J14" s="36" t="n"/>
      <c r="L14" s="39" t="n"/>
      <c r="M14" s="39" t="n"/>
      <c r="N14" s="39" t="n"/>
      <c r="O14" s="39" t="n"/>
      <c r="P14" s="39" t="n"/>
      <c r="Q14" s="39" t="n"/>
      <c r="R14" s="39" t="n"/>
    </row>
    <row r="15" ht="15" customHeight="1">
      <c r="A15" s="36">
        <f>TKB_Nhap!A15</f>
        <v/>
      </c>
      <c r="B15" s="36">
        <f>TKB_Nhap!B15</f>
        <v/>
      </c>
      <c r="C15" s="36">
        <f>TKB_Nhap!C15</f>
        <v/>
      </c>
      <c r="D15" s="36">
        <f>IF(TKB_Nhap!D15="","",IFERROR(T(INDEX(PhanCong!$B$3:$I$18,MATCH(TKB_Nhap!D15,PhanCong!$A$3:$A$18,0),MATCH($A15,PhanCong!$B$2:$I$2,0))),""))</f>
        <v/>
      </c>
      <c r="E15" s="36">
        <f>IF(TKB_Nhap!E15="","",IFERROR(T(INDEX(PhanCong!$B$3:$I$18,MATCH(TKB_Nhap!E15,PhanCong!$A$3:$A$18,0),MATCH($A15,PhanCong!$B$2:$I$2,0))),""))</f>
        <v/>
      </c>
      <c r="F15" s="36">
        <f>IF(TKB_Nhap!F15="","",IFERROR(T(INDEX(PhanCong!$B$3:$I$18,MATCH(TKB_Nhap!F15,PhanCong!$A$3:$A$18,0),MATCH($A15,PhanCong!$B$2:$I$2,0))),""))</f>
        <v/>
      </c>
      <c r="G15" s="36">
        <f>IF(TKB_Nhap!G15="","",IFERROR(T(INDEX(PhanCong!$B$3:$I$18,MATCH(TKB_Nhap!G15,PhanCong!$A$3:$A$18,0),MATCH($A15,PhanCong!$B$2:$I$2,0))),""))</f>
        <v/>
      </c>
      <c r="H15" s="36">
        <f>IF(TKB_Nhap!H15="","",IFERROR(T(INDEX(PhanCong!$B$3:$I$18,MATCH(TKB_Nhap!H15,PhanCong!$A$3:$A$18,0),MATCH($A15,PhanCong!$B$2:$I$2,0))),""))</f>
        <v/>
      </c>
      <c r="I15" s="36">
        <f>IF(TKB_Nhap!I15="","",IFERROR(T(INDEX(PhanCong!$B$3:$I$18,MATCH(TKB_Nhap!I15,PhanCong!$A$3:$A$18,0),MATCH($A15,PhanCong!$B$2:$I$2,0))),""))</f>
        <v/>
      </c>
      <c r="J15" s="36" t="n"/>
      <c r="L15" s="39" t="n"/>
      <c r="M15" s="39" t="n"/>
      <c r="N15" s="39" t="n"/>
      <c r="O15" s="39" t="n"/>
      <c r="P15" s="39" t="n"/>
      <c r="Q15" s="39" t="n"/>
      <c r="R15" s="39" t="n"/>
    </row>
    <row r="16" ht="15" customHeight="1">
      <c r="A16" s="36">
        <f>TKB_Nhap!A16</f>
        <v/>
      </c>
      <c r="B16" s="36">
        <f>TKB_Nhap!B16</f>
        <v/>
      </c>
      <c r="C16" s="36">
        <f>TKB_Nhap!C16</f>
        <v/>
      </c>
      <c r="D16" s="36">
        <f>IF(TKB_Nhap!D16="","",IFERROR(T(INDEX(PhanCong!$B$3:$I$18,MATCH(TKB_Nhap!D16,PhanCong!$A$3:$A$18,0),MATCH($A16,PhanCong!$B$2:$I$2,0))),""))</f>
        <v/>
      </c>
      <c r="E16" s="36">
        <f>IF(TKB_Nhap!E16="","",IFERROR(T(INDEX(PhanCong!$B$3:$I$18,MATCH(TKB_Nhap!E16,PhanCong!$A$3:$A$18,0),MATCH($A16,PhanCong!$B$2:$I$2,0))),""))</f>
        <v/>
      </c>
      <c r="F16" s="36">
        <f>IF(TKB_Nhap!F16="","",IFERROR(T(INDEX(PhanCong!$B$3:$I$18,MATCH(TKB_Nhap!F16,PhanCong!$A$3:$A$18,0),MATCH($A16,PhanCong!$B$2:$I$2,0))),""))</f>
        <v/>
      </c>
      <c r="G16" s="36">
        <f>IF(TKB_Nhap!G16="","",IFERROR(T(INDEX(PhanCong!$B$3:$I$18,MATCH(TKB_Nhap!G16,PhanCong!$A$3:$A$18,0),MATCH($A16,PhanCong!$B$2:$I$2,0))),""))</f>
        <v/>
      </c>
      <c r="H16" s="36">
        <f>IF(TKB_Nhap!H16="","",IFERROR(T(INDEX(PhanCong!$B$3:$I$18,MATCH(TKB_Nhap!H16,PhanCong!$A$3:$A$18,0),MATCH($A16,PhanCong!$B$2:$I$2,0))),""))</f>
        <v/>
      </c>
      <c r="I16" s="36">
        <f>IF(TKB_Nhap!I16="","",IFERROR(T(INDEX(PhanCong!$B$3:$I$18,MATCH(TKB_Nhap!I16,PhanCong!$A$3:$A$18,0),MATCH($A16,PhanCong!$B$2:$I$2,0))),""))</f>
        <v/>
      </c>
      <c r="J16" s="36" t="n"/>
      <c r="L16" s="39" t="n"/>
      <c r="M16" s="39" t="n"/>
      <c r="N16" s="39" t="n"/>
      <c r="O16" s="39" t="n"/>
      <c r="P16" s="39" t="n"/>
      <c r="Q16" s="39" t="n"/>
      <c r="R16" s="39" t="n"/>
    </row>
    <row r="17" ht="15" customHeight="1">
      <c r="A17" s="36">
        <f>TKB_Nhap!A17</f>
        <v/>
      </c>
      <c r="B17" s="36">
        <f>TKB_Nhap!B17</f>
        <v/>
      </c>
      <c r="C17" s="36">
        <f>TKB_Nhap!C17</f>
        <v/>
      </c>
      <c r="D17" s="36">
        <f>IF(TKB_Nhap!D17="","",IFERROR(T(INDEX(PhanCong!$B$3:$I$18,MATCH(TKB_Nhap!D17,PhanCong!$A$3:$A$18,0),MATCH($A17,PhanCong!$B$2:$I$2,0))),""))</f>
        <v/>
      </c>
      <c r="E17" s="36">
        <f>IF(TKB_Nhap!E17="","",IFERROR(T(INDEX(PhanCong!$B$3:$I$18,MATCH(TKB_Nhap!E17,PhanCong!$A$3:$A$18,0),MATCH($A17,PhanCong!$B$2:$I$2,0))),""))</f>
        <v/>
      </c>
      <c r="F17" s="36">
        <f>IF(TKB_Nhap!F17="","",IFERROR(T(INDEX(PhanCong!$B$3:$I$18,MATCH(TKB_Nhap!F17,PhanCong!$A$3:$A$18,0),MATCH($A17,PhanCong!$B$2:$I$2,0))),""))</f>
        <v/>
      </c>
      <c r="G17" s="36">
        <f>IF(TKB_Nhap!G17="","",IFERROR(T(INDEX(PhanCong!$B$3:$I$18,MATCH(TKB_Nhap!G17,PhanCong!$A$3:$A$18,0),MATCH($A17,PhanCong!$B$2:$I$2,0))),""))</f>
        <v/>
      </c>
      <c r="H17" s="36">
        <f>IF(TKB_Nhap!H17="","",IFERROR(T(INDEX(PhanCong!$B$3:$I$18,MATCH(TKB_Nhap!H17,PhanCong!$A$3:$A$18,0),MATCH($A17,PhanCong!$B$2:$I$2,0))),""))</f>
        <v/>
      </c>
      <c r="I17" s="36">
        <f>IF(TKB_Nhap!I17="","",IFERROR(T(INDEX(PhanCong!$B$3:$I$18,MATCH(TKB_Nhap!I17,PhanCong!$A$3:$A$18,0),MATCH($A17,PhanCong!$B$2:$I$2,0))),""))</f>
        <v/>
      </c>
      <c r="J17" s="36" t="n"/>
      <c r="L17" s="39" t="n"/>
      <c r="M17" s="39" t="n"/>
      <c r="N17" s="39" t="n"/>
      <c r="O17" s="39" t="n"/>
      <c r="P17" s="39" t="n"/>
      <c r="Q17" s="39" t="n"/>
      <c r="R17" s="39" t="n"/>
    </row>
    <row r="18" ht="15" customHeight="1">
      <c r="A18" s="30">
        <f>TKB_Nhap!A18</f>
        <v/>
      </c>
      <c r="B18" s="30">
        <f>TKB_Nhap!B18</f>
        <v/>
      </c>
      <c r="C18" s="30">
        <f>TKB_Nhap!C18</f>
        <v/>
      </c>
      <c r="D18" s="30">
        <f>IF(TKB_Nhap!D18="","",IFERROR(T(INDEX(PhanCong!$B$3:$I$18,MATCH(TKB_Nhap!D18,PhanCong!$A$3:$A$18,0),MATCH($A18,PhanCong!$B$2:$I$2,0))),""))</f>
        <v/>
      </c>
      <c r="E18" s="30">
        <f>IF(TKB_Nhap!E18="","",IFERROR(T(INDEX(PhanCong!$B$3:$I$18,MATCH(TKB_Nhap!E18,PhanCong!$A$3:$A$18,0),MATCH($A18,PhanCong!$B$2:$I$2,0))),""))</f>
        <v/>
      </c>
      <c r="F18" s="30">
        <f>IF(TKB_Nhap!F18="","",IFERROR(T(INDEX(PhanCong!$B$3:$I$18,MATCH(TKB_Nhap!F18,PhanCong!$A$3:$A$18,0),MATCH($A18,PhanCong!$B$2:$I$2,0))),""))</f>
        <v/>
      </c>
      <c r="G18" s="30">
        <f>IF(TKB_Nhap!G18="","",IFERROR(T(INDEX(PhanCong!$B$3:$I$18,MATCH(TKB_Nhap!G18,PhanCong!$A$3:$A$18,0),MATCH($A18,PhanCong!$B$2:$I$2,0))),""))</f>
        <v/>
      </c>
      <c r="H18" s="30">
        <f>IF(TKB_Nhap!H18="","",IFERROR(T(INDEX(PhanCong!$B$3:$I$18,MATCH(TKB_Nhap!H18,PhanCong!$A$3:$A$18,0),MATCH($A18,PhanCong!$B$2:$I$2,0))),""))</f>
        <v/>
      </c>
      <c r="I18" s="30">
        <f>IF(TKB_Nhap!I18="","",IFERROR(T(INDEX(PhanCong!$B$3:$I$18,MATCH(TKB_Nhap!I18,PhanCong!$A$3:$A$18,0),MATCH($A18,PhanCong!$B$2:$I$2,0))),""))</f>
        <v/>
      </c>
      <c r="J18" s="30" t="n"/>
      <c r="L18" s="39" t="n"/>
      <c r="M18" s="39" t="n"/>
      <c r="N18" s="39" t="n"/>
      <c r="O18" s="39" t="n"/>
      <c r="P18" s="39" t="n"/>
      <c r="Q18" s="39" t="n"/>
      <c r="R18" s="39" t="n"/>
    </row>
    <row r="19" ht="15" customHeight="1">
      <c r="A19" s="30">
        <f>TKB_Nhap!A19</f>
        <v/>
      </c>
      <c r="B19" s="30">
        <f>TKB_Nhap!B19</f>
        <v/>
      </c>
      <c r="C19" s="30">
        <f>TKB_Nhap!C19</f>
        <v/>
      </c>
      <c r="D19" s="30">
        <f>IF(TKB_Nhap!D19="","",IFERROR(T(INDEX(PhanCong!$B$3:$I$18,MATCH(TKB_Nhap!D19,PhanCong!$A$3:$A$18,0),MATCH($A19,PhanCong!$B$2:$I$2,0))),""))</f>
        <v/>
      </c>
      <c r="E19" s="30">
        <f>IF(TKB_Nhap!E19="","",IFERROR(T(INDEX(PhanCong!$B$3:$I$18,MATCH(TKB_Nhap!E19,PhanCong!$A$3:$A$18,0),MATCH($A19,PhanCong!$B$2:$I$2,0))),""))</f>
        <v/>
      </c>
      <c r="F19" s="30">
        <f>IF(TKB_Nhap!F19="","",IFERROR(T(INDEX(PhanCong!$B$3:$I$18,MATCH(TKB_Nhap!F19,PhanCong!$A$3:$A$18,0),MATCH($A19,PhanCong!$B$2:$I$2,0))),""))</f>
        <v/>
      </c>
      <c r="G19" s="30">
        <f>IF(TKB_Nhap!G19="","",IFERROR(T(INDEX(PhanCong!$B$3:$I$18,MATCH(TKB_Nhap!G19,PhanCong!$A$3:$A$18,0),MATCH($A19,PhanCong!$B$2:$I$2,0))),""))</f>
        <v/>
      </c>
      <c r="H19" s="30">
        <f>IF(TKB_Nhap!H19="","",IFERROR(T(INDEX(PhanCong!$B$3:$I$18,MATCH(TKB_Nhap!H19,PhanCong!$A$3:$A$18,0),MATCH($A19,PhanCong!$B$2:$I$2,0))),""))</f>
        <v/>
      </c>
      <c r="I19" s="30">
        <f>IF(TKB_Nhap!I19="","",IFERROR(T(INDEX(PhanCong!$B$3:$I$18,MATCH(TKB_Nhap!I19,PhanCong!$A$3:$A$18,0),MATCH($A19,PhanCong!$B$2:$I$2,0))),""))</f>
        <v/>
      </c>
      <c r="J19" s="30" t="n"/>
      <c r="L19" s="39" t="n"/>
      <c r="M19" s="39" t="n"/>
      <c r="N19" s="39" t="n"/>
      <c r="O19" s="39" t="n"/>
      <c r="P19" s="39" t="n"/>
      <c r="Q19" s="39" t="n"/>
      <c r="R19" s="39" t="n"/>
    </row>
    <row r="20" ht="15" customHeight="1">
      <c r="A20" s="30">
        <f>TKB_Nhap!A20</f>
        <v/>
      </c>
      <c r="B20" s="30">
        <f>TKB_Nhap!B20</f>
        <v/>
      </c>
      <c r="C20" s="30">
        <f>TKB_Nhap!C20</f>
        <v/>
      </c>
      <c r="D20" s="30">
        <f>IF(TKB_Nhap!D20="","",IFERROR(T(INDEX(PhanCong!$B$3:$I$18,MATCH(TKB_Nhap!D20,PhanCong!$A$3:$A$18,0),MATCH($A20,PhanCong!$B$2:$I$2,0))),""))</f>
        <v/>
      </c>
      <c r="E20" s="30">
        <f>IF(TKB_Nhap!E20="","",IFERROR(T(INDEX(PhanCong!$B$3:$I$18,MATCH(TKB_Nhap!E20,PhanCong!$A$3:$A$18,0),MATCH($A20,PhanCong!$B$2:$I$2,0))),""))</f>
        <v/>
      </c>
      <c r="F20" s="30">
        <f>IF(TKB_Nhap!F20="","",IFERROR(T(INDEX(PhanCong!$B$3:$I$18,MATCH(TKB_Nhap!F20,PhanCong!$A$3:$A$18,0),MATCH($A20,PhanCong!$B$2:$I$2,0))),""))</f>
        <v/>
      </c>
      <c r="G20" s="30">
        <f>IF(TKB_Nhap!G20="","",IFERROR(T(INDEX(PhanCong!$B$3:$I$18,MATCH(TKB_Nhap!G20,PhanCong!$A$3:$A$18,0),MATCH($A20,PhanCong!$B$2:$I$2,0))),""))</f>
        <v/>
      </c>
      <c r="H20" s="30">
        <f>IF(TKB_Nhap!H20="","",IFERROR(T(INDEX(PhanCong!$B$3:$I$18,MATCH(TKB_Nhap!H20,PhanCong!$A$3:$A$18,0),MATCH($A20,PhanCong!$B$2:$I$2,0))),""))</f>
        <v/>
      </c>
      <c r="I20" s="30">
        <f>IF(TKB_Nhap!I20="","",IFERROR(T(INDEX(PhanCong!$B$3:$I$18,MATCH(TKB_Nhap!I20,PhanCong!$A$3:$A$18,0),MATCH($A20,PhanCong!$B$2:$I$2,0))),""))</f>
        <v/>
      </c>
      <c r="J20" s="30" t="n"/>
      <c r="L20" s="39" t="n"/>
      <c r="M20" s="39" t="n"/>
      <c r="N20" s="39" t="n"/>
      <c r="O20" s="39" t="n"/>
      <c r="P20" s="39" t="n"/>
      <c r="Q20" s="39" t="n"/>
      <c r="R20" s="39" t="n"/>
    </row>
    <row r="21" ht="15" customHeight="1">
      <c r="A21" s="30">
        <f>TKB_Nhap!A21</f>
        <v/>
      </c>
      <c r="B21" s="30">
        <f>TKB_Nhap!B21</f>
        <v/>
      </c>
      <c r="C21" s="30">
        <f>TKB_Nhap!C21</f>
        <v/>
      </c>
      <c r="D21" s="30">
        <f>IF(TKB_Nhap!D21="","",IFERROR(T(INDEX(PhanCong!$B$3:$I$18,MATCH(TKB_Nhap!D21,PhanCong!$A$3:$A$18,0),MATCH($A21,PhanCong!$B$2:$I$2,0))),""))</f>
        <v/>
      </c>
      <c r="E21" s="30">
        <f>IF(TKB_Nhap!E21="","",IFERROR(T(INDEX(PhanCong!$B$3:$I$18,MATCH(TKB_Nhap!E21,PhanCong!$A$3:$A$18,0),MATCH($A21,PhanCong!$B$2:$I$2,0))),""))</f>
        <v/>
      </c>
      <c r="F21" s="30">
        <f>IF(TKB_Nhap!F21="","",IFERROR(T(INDEX(PhanCong!$B$3:$I$18,MATCH(TKB_Nhap!F21,PhanCong!$A$3:$A$18,0),MATCH($A21,PhanCong!$B$2:$I$2,0))),""))</f>
        <v/>
      </c>
      <c r="G21" s="30">
        <f>IF(TKB_Nhap!G21="","",IFERROR(T(INDEX(PhanCong!$B$3:$I$18,MATCH(TKB_Nhap!G21,PhanCong!$A$3:$A$18,0),MATCH($A21,PhanCong!$B$2:$I$2,0))),""))</f>
        <v/>
      </c>
      <c r="H21" s="30">
        <f>IF(TKB_Nhap!H21="","",IFERROR(T(INDEX(PhanCong!$B$3:$I$18,MATCH(TKB_Nhap!H21,PhanCong!$A$3:$A$18,0),MATCH($A21,PhanCong!$B$2:$I$2,0))),""))</f>
        <v/>
      </c>
      <c r="I21" s="30">
        <f>IF(TKB_Nhap!I21="","",IFERROR(T(INDEX(PhanCong!$B$3:$I$18,MATCH(TKB_Nhap!I21,PhanCong!$A$3:$A$18,0),MATCH($A21,PhanCong!$B$2:$I$2,0))),""))</f>
        <v/>
      </c>
      <c r="J21" s="30" t="n"/>
      <c r="L21" s="39" t="n"/>
      <c r="M21" s="39" t="n"/>
      <c r="N21" s="39" t="n"/>
      <c r="O21" s="39" t="n"/>
      <c r="P21" s="39" t="n"/>
      <c r="Q21" s="39" t="n"/>
      <c r="R21" s="39" t="n"/>
    </row>
    <row r="22" ht="15" customHeight="1">
      <c r="A22" s="30">
        <f>TKB_Nhap!A22</f>
        <v/>
      </c>
      <c r="B22" s="30">
        <f>TKB_Nhap!B22</f>
        <v/>
      </c>
      <c r="C22" s="30">
        <f>TKB_Nhap!C22</f>
        <v/>
      </c>
      <c r="D22" s="30">
        <f>IF(TKB_Nhap!D22="","",IFERROR(T(INDEX(PhanCong!$B$3:$I$18,MATCH(TKB_Nhap!D22,PhanCong!$A$3:$A$18,0),MATCH($A22,PhanCong!$B$2:$I$2,0))),""))</f>
        <v/>
      </c>
      <c r="E22" s="30">
        <f>IF(TKB_Nhap!E22="","",IFERROR(T(INDEX(PhanCong!$B$3:$I$18,MATCH(TKB_Nhap!E22,PhanCong!$A$3:$A$18,0),MATCH($A22,PhanCong!$B$2:$I$2,0))),""))</f>
        <v/>
      </c>
      <c r="F22" s="30">
        <f>IF(TKB_Nhap!F22="","",IFERROR(T(INDEX(PhanCong!$B$3:$I$18,MATCH(TKB_Nhap!F22,PhanCong!$A$3:$A$18,0),MATCH($A22,PhanCong!$B$2:$I$2,0))),""))</f>
        <v/>
      </c>
      <c r="G22" s="30">
        <f>IF(TKB_Nhap!G22="","",IFERROR(T(INDEX(PhanCong!$B$3:$I$18,MATCH(TKB_Nhap!G22,PhanCong!$A$3:$A$18,0),MATCH($A22,PhanCong!$B$2:$I$2,0))),""))</f>
        <v/>
      </c>
      <c r="H22" s="30">
        <f>IF(TKB_Nhap!H22="","",IFERROR(T(INDEX(PhanCong!$B$3:$I$18,MATCH(TKB_Nhap!H22,PhanCong!$A$3:$A$18,0),MATCH($A22,PhanCong!$B$2:$I$2,0))),""))</f>
        <v/>
      </c>
      <c r="I22" s="30">
        <f>IF(TKB_Nhap!I22="","",IFERROR(T(INDEX(PhanCong!$B$3:$I$18,MATCH(TKB_Nhap!I22,PhanCong!$A$3:$A$18,0),MATCH($A22,PhanCong!$B$2:$I$2,0))),""))</f>
        <v/>
      </c>
      <c r="J22" s="30" t="n"/>
      <c r="L22" s="39" t="n"/>
      <c r="M22" s="39" t="n"/>
      <c r="N22" s="39" t="n"/>
      <c r="O22" s="39" t="n"/>
      <c r="P22" s="39" t="n"/>
      <c r="Q22" s="39" t="n"/>
      <c r="R22" s="39" t="n"/>
    </row>
    <row r="23" ht="15" customHeight="1">
      <c r="A23" s="30">
        <f>TKB_Nhap!A23</f>
        <v/>
      </c>
      <c r="B23" s="30">
        <f>TKB_Nhap!B23</f>
        <v/>
      </c>
      <c r="C23" s="30">
        <f>TKB_Nhap!C23</f>
        <v/>
      </c>
      <c r="D23" s="30">
        <f>IF(TKB_Nhap!D23="","",IFERROR(T(INDEX(PhanCong!$B$3:$I$18,MATCH(TKB_Nhap!D23,PhanCong!$A$3:$A$18,0),MATCH($A23,PhanCong!$B$2:$I$2,0))),""))</f>
        <v/>
      </c>
      <c r="E23" s="30">
        <f>IF(TKB_Nhap!E23="","",IFERROR(T(INDEX(PhanCong!$B$3:$I$18,MATCH(TKB_Nhap!E23,PhanCong!$A$3:$A$18,0),MATCH($A23,PhanCong!$B$2:$I$2,0))),""))</f>
        <v/>
      </c>
      <c r="F23" s="30">
        <f>IF(TKB_Nhap!F23="","",IFERROR(T(INDEX(PhanCong!$B$3:$I$18,MATCH(TKB_Nhap!F23,PhanCong!$A$3:$A$18,0),MATCH($A23,PhanCong!$B$2:$I$2,0))),""))</f>
        <v/>
      </c>
      <c r="G23" s="30">
        <f>IF(TKB_Nhap!G23="","",IFERROR(T(INDEX(PhanCong!$B$3:$I$18,MATCH(TKB_Nhap!G23,PhanCong!$A$3:$A$18,0),MATCH($A23,PhanCong!$B$2:$I$2,0))),""))</f>
        <v/>
      </c>
      <c r="H23" s="30">
        <f>IF(TKB_Nhap!H23="","",IFERROR(T(INDEX(PhanCong!$B$3:$I$18,MATCH(TKB_Nhap!H23,PhanCong!$A$3:$A$18,0),MATCH($A23,PhanCong!$B$2:$I$2,0))),""))</f>
        <v/>
      </c>
      <c r="I23" s="30">
        <f>IF(TKB_Nhap!I23="","",IFERROR(T(INDEX(PhanCong!$B$3:$I$18,MATCH(TKB_Nhap!I23,PhanCong!$A$3:$A$18,0),MATCH($A23,PhanCong!$B$2:$I$2,0))),""))</f>
        <v/>
      </c>
      <c r="J23" s="30" t="n"/>
      <c r="L23" s="39" t="n"/>
      <c r="M23" s="39" t="n"/>
      <c r="N23" s="39" t="n"/>
      <c r="O23" s="39" t="n"/>
      <c r="P23" s="39" t="n"/>
      <c r="Q23" s="39" t="n"/>
      <c r="R23" s="39" t="n"/>
    </row>
    <row r="24" ht="15" customHeight="1">
      <c r="A24" s="30">
        <f>TKB_Nhap!A24</f>
        <v/>
      </c>
      <c r="B24" s="30">
        <f>TKB_Nhap!B24</f>
        <v/>
      </c>
      <c r="C24" s="30">
        <f>TKB_Nhap!C24</f>
        <v/>
      </c>
      <c r="D24" s="30">
        <f>IF(TKB_Nhap!D24="","",IFERROR(T(INDEX(PhanCong!$B$3:$I$18,MATCH(TKB_Nhap!D24,PhanCong!$A$3:$A$18,0),MATCH($A24,PhanCong!$B$2:$I$2,0))),""))</f>
        <v/>
      </c>
      <c r="E24" s="30">
        <f>IF(TKB_Nhap!E24="","",IFERROR(T(INDEX(PhanCong!$B$3:$I$18,MATCH(TKB_Nhap!E24,PhanCong!$A$3:$A$18,0),MATCH($A24,PhanCong!$B$2:$I$2,0))),""))</f>
        <v/>
      </c>
      <c r="F24" s="30">
        <f>IF(TKB_Nhap!F24="","",IFERROR(T(INDEX(PhanCong!$B$3:$I$18,MATCH(TKB_Nhap!F24,PhanCong!$A$3:$A$18,0),MATCH($A24,PhanCong!$B$2:$I$2,0))),""))</f>
        <v/>
      </c>
      <c r="G24" s="30">
        <f>IF(TKB_Nhap!G24="","",IFERROR(T(INDEX(PhanCong!$B$3:$I$18,MATCH(TKB_Nhap!G24,PhanCong!$A$3:$A$18,0),MATCH($A24,PhanCong!$B$2:$I$2,0))),""))</f>
        <v/>
      </c>
      <c r="H24" s="30">
        <f>IF(TKB_Nhap!H24="","",IFERROR(T(INDEX(PhanCong!$B$3:$I$18,MATCH(TKB_Nhap!H24,PhanCong!$A$3:$A$18,0),MATCH($A24,PhanCong!$B$2:$I$2,0))),""))</f>
        <v/>
      </c>
      <c r="I24" s="30">
        <f>IF(TKB_Nhap!I24="","",IFERROR(T(INDEX(PhanCong!$B$3:$I$18,MATCH(TKB_Nhap!I24,PhanCong!$A$3:$A$18,0),MATCH($A24,PhanCong!$B$2:$I$2,0))),""))</f>
        <v/>
      </c>
      <c r="J24" s="30" t="n"/>
      <c r="L24" s="39" t="n"/>
      <c r="M24" s="39" t="n"/>
      <c r="N24" s="39" t="n"/>
      <c r="O24" s="39" t="n"/>
      <c r="P24" s="39" t="n"/>
      <c r="Q24" s="39" t="n"/>
      <c r="R24" s="39" t="n"/>
    </row>
    <row r="25" ht="15" customHeight="1">
      <c r="A25" s="30">
        <f>TKB_Nhap!A25</f>
        <v/>
      </c>
      <c r="B25" s="30">
        <f>TKB_Nhap!B25</f>
        <v/>
      </c>
      <c r="C25" s="30">
        <f>TKB_Nhap!C25</f>
        <v/>
      </c>
      <c r="D25" s="30">
        <f>IF(TKB_Nhap!D25="","",IFERROR(T(INDEX(PhanCong!$B$3:$I$18,MATCH(TKB_Nhap!D25,PhanCong!$A$3:$A$18,0),MATCH($A25,PhanCong!$B$2:$I$2,0))),""))</f>
        <v/>
      </c>
      <c r="E25" s="30">
        <f>IF(TKB_Nhap!E25="","",IFERROR(T(INDEX(PhanCong!$B$3:$I$18,MATCH(TKB_Nhap!E25,PhanCong!$A$3:$A$18,0),MATCH($A25,PhanCong!$B$2:$I$2,0))),""))</f>
        <v/>
      </c>
      <c r="F25" s="30">
        <f>IF(TKB_Nhap!F25="","",IFERROR(T(INDEX(PhanCong!$B$3:$I$18,MATCH(TKB_Nhap!F25,PhanCong!$A$3:$A$18,0),MATCH($A25,PhanCong!$B$2:$I$2,0))),""))</f>
        <v/>
      </c>
      <c r="G25" s="30">
        <f>IF(TKB_Nhap!G25="","",IFERROR(T(INDEX(PhanCong!$B$3:$I$18,MATCH(TKB_Nhap!G25,PhanCong!$A$3:$A$18,0),MATCH($A25,PhanCong!$B$2:$I$2,0))),""))</f>
        <v/>
      </c>
      <c r="H25" s="30">
        <f>IF(TKB_Nhap!H25="","",IFERROR(T(INDEX(PhanCong!$B$3:$I$18,MATCH(TKB_Nhap!H25,PhanCong!$A$3:$A$18,0),MATCH($A25,PhanCong!$B$2:$I$2,0))),""))</f>
        <v/>
      </c>
      <c r="I25" s="30">
        <f>IF(TKB_Nhap!I25="","",IFERROR(T(INDEX(PhanCong!$B$3:$I$18,MATCH(TKB_Nhap!I25,PhanCong!$A$3:$A$18,0),MATCH($A25,PhanCong!$B$2:$I$2,0))),""))</f>
        <v/>
      </c>
      <c r="J25" s="30" t="n"/>
      <c r="L25" s="39" t="n"/>
      <c r="M25" s="39" t="n"/>
      <c r="N25" s="39" t="n"/>
      <c r="O25" s="39" t="n"/>
      <c r="P25" s="39" t="n"/>
      <c r="Q25" s="39" t="n"/>
      <c r="R25" s="39" t="n"/>
    </row>
    <row r="26" ht="15" customHeight="1">
      <c r="A26" s="36">
        <f>TKB_Nhap!A26</f>
        <v/>
      </c>
      <c r="B26" s="36">
        <f>TKB_Nhap!B26</f>
        <v/>
      </c>
      <c r="C26" s="36">
        <f>TKB_Nhap!C26</f>
        <v/>
      </c>
      <c r="D26" s="36">
        <f>IF(TKB_Nhap!D26="","",IFERROR(T(INDEX(PhanCong!$B$3:$I$18,MATCH(TKB_Nhap!D26,PhanCong!$A$3:$A$18,0),MATCH($A26,PhanCong!$B$2:$I$2,0))),""))</f>
        <v/>
      </c>
      <c r="E26" s="36">
        <f>IF(TKB_Nhap!E26="","",IFERROR(T(INDEX(PhanCong!$B$3:$I$18,MATCH(TKB_Nhap!E26,PhanCong!$A$3:$A$18,0),MATCH($A26,PhanCong!$B$2:$I$2,0))),""))</f>
        <v/>
      </c>
      <c r="F26" s="36">
        <f>IF(TKB_Nhap!F26="","",IFERROR(T(INDEX(PhanCong!$B$3:$I$18,MATCH(TKB_Nhap!F26,PhanCong!$A$3:$A$18,0),MATCH($A26,PhanCong!$B$2:$I$2,0))),""))</f>
        <v/>
      </c>
      <c r="G26" s="36">
        <f>IF(TKB_Nhap!G26="","",IFERROR(T(INDEX(PhanCong!$B$3:$I$18,MATCH(TKB_Nhap!G26,PhanCong!$A$3:$A$18,0),MATCH($A26,PhanCong!$B$2:$I$2,0))),""))</f>
        <v/>
      </c>
      <c r="H26" s="36">
        <f>IF(TKB_Nhap!H26="","",IFERROR(T(INDEX(PhanCong!$B$3:$I$18,MATCH(TKB_Nhap!H26,PhanCong!$A$3:$A$18,0),MATCH($A26,PhanCong!$B$2:$I$2,0))),""))</f>
        <v/>
      </c>
      <c r="I26" s="36">
        <f>IF(TKB_Nhap!I26="","",IFERROR(T(INDEX(PhanCong!$B$3:$I$18,MATCH(TKB_Nhap!I26,PhanCong!$A$3:$A$18,0),MATCH($A26,PhanCong!$B$2:$I$2,0))),""))</f>
        <v/>
      </c>
      <c r="J26" s="36" t="n"/>
      <c r="L26" s="39" t="n"/>
      <c r="M26" s="39" t="n"/>
      <c r="N26" s="39" t="n"/>
      <c r="O26" s="39" t="n"/>
      <c r="P26" s="39" t="n"/>
      <c r="Q26" s="39" t="n"/>
      <c r="R26" s="39" t="n"/>
    </row>
    <row r="27" ht="15" customHeight="1">
      <c r="A27" s="36">
        <f>TKB_Nhap!A27</f>
        <v/>
      </c>
      <c r="B27" s="36">
        <f>TKB_Nhap!B27</f>
        <v/>
      </c>
      <c r="C27" s="36">
        <f>TKB_Nhap!C27</f>
        <v/>
      </c>
      <c r="D27" s="36">
        <f>IF(TKB_Nhap!D27="","",IFERROR(T(INDEX(PhanCong!$B$3:$I$18,MATCH(TKB_Nhap!D27,PhanCong!$A$3:$A$18,0),MATCH($A27,PhanCong!$B$2:$I$2,0))),""))</f>
        <v/>
      </c>
      <c r="E27" s="36">
        <f>IF(TKB_Nhap!E27="","",IFERROR(T(INDEX(PhanCong!$B$3:$I$18,MATCH(TKB_Nhap!E27,PhanCong!$A$3:$A$18,0),MATCH($A27,PhanCong!$B$2:$I$2,0))),""))</f>
        <v/>
      </c>
      <c r="F27" s="36">
        <f>IF(TKB_Nhap!F27="","",IFERROR(T(INDEX(PhanCong!$B$3:$I$18,MATCH(TKB_Nhap!F27,PhanCong!$A$3:$A$18,0),MATCH($A27,PhanCong!$B$2:$I$2,0))),""))</f>
        <v/>
      </c>
      <c r="G27" s="36">
        <f>IF(TKB_Nhap!G27="","",IFERROR(T(INDEX(PhanCong!$B$3:$I$18,MATCH(TKB_Nhap!G27,PhanCong!$A$3:$A$18,0),MATCH($A27,PhanCong!$B$2:$I$2,0))),""))</f>
        <v/>
      </c>
      <c r="H27" s="36">
        <f>IF(TKB_Nhap!H27="","",IFERROR(T(INDEX(PhanCong!$B$3:$I$18,MATCH(TKB_Nhap!H27,PhanCong!$A$3:$A$18,0),MATCH($A27,PhanCong!$B$2:$I$2,0))),""))</f>
        <v/>
      </c>
      <c r="I27" s="36">
        <f>IF(TKB_Nhap!I27="","",IFERROR(T(INDEX(PhanCong!$B$3:$I$18,MATCH(TKB_Nhap!I27,PhanCong!$A$3:$A$18,0),MATCH($A27,PhanCong!$B$2:$I$2,0))),""))</f>
        <v/>
      </c>
      <c r="J27" s="36" t="n"/>
      <c r="L27" s="39" t="n"/>
      <c r="M27" s="39" t="n"/>
      <c r="N27" s="39" t="n"/>
      <c r="O27" s="39" t="n"/>
      <c r="P27" s="39" t="n"/>
      <c r="Q27" s="39" t="n"/>
      <c r="R27" s="39" t="n"/>
    </row>
    <row r="28" ht="15" customHeight="1">
      <c r="A28" s="36">
        <f>TKB_Nhap!A28</f>
        <v/>
      </c>
      <c r="B28" s="36">
        <f>TKB_Nhap!B28</f>
        <v/>
      </c>
      <c r="C28" s="36">
        <f>TKB_Nhap!C28</f>
        <v/>
      </c>
      <c r="D28" s="36">
        <f>IF(TKB_Nhap!D28="","",IFERROR(T(INDEX(PhanCong!$B$3:$I$18,MATCH(TKB_Nhap!D28,PhanCong!$A$3:$A$18,0),MATCH($A28,PhanCong!$B$2:$I$2,0))),""))</f>
        <v/>
      </c>
      <c r="E28" s="36">
        <f>IF(TKB_Nhap!E28="","",IFERROR(T(INDEX(PhanCong!$B$3:$I$18,MATCH(TKB_Nhap!E28,PhanCong!$A$3:$A$18,0),MATCH($A28,PhanCong!$B$2:$I$2,0))),""))</f>
        <v/>
      </c>
      <c r="F28" s="36">
        <f>IF(TKB_Nhap!F28="","",IFERROR(T(INDEX(PhanCong!$B$3:$I$18,MATCH(TKB_Nhap!F28,PhanCong!$A$3:$A$18,0),MATCH($A28,PhanCong!$B$2:$I$2,0))),""))</f>
        <v/>
      </c>
      <c r="G28" s="36">
        <f>IF(TKB_Nhap!G28="","",IFERROR(T(INDEX(PhanCong!$B$3:$I$18,MATCH(TKB_Nhap!G28,PhanCong!$A$3:$A$18,0),MATCH($A28,PhanCong!$B$2:$I$2,0))),""))</f>
        <v/>
      </c>
      <c r="H28" s="36">
        <f>IF(TKB_Nhap!H28="","",IFERROR(T(INDEX(PhanCong!$B$3:$I$18,MATCH(TKB_Nhap!H28,PhanCong!$A$3:$A$18,0),MATCH($A28,PhanCong!$B$2:$I$2,0))),""))</f>
        <v/>
      </c>
      <c r="I28" s="36">
        <f>IF(TKB_Nhap!I28="","",IFERROR(T(INDEX(PhanCong!$B$3:$I$18,MATCH(TKB_Nhap!I28,PhanCong!$A$3:$A$18,0),MATCH($A28,PhanCong!$B$2:$I$2,0))),""))</f>
        <v/>
      </c>
      <c r="J28" s="36" t="n"/>
      <c r="L28" s="39" t="n"/>
      <c r="M28" s="39" t="n"/>
      <c r="N28" s="39" t="n"/>
      <c r="O28" s="39" t="n"/>
      <c r="P28" s="39" t="n"/>
      <c r="Q28" s="39" t="n"/>
      <c r="R28" s="39" t="n"/>
    </row>
    <row r="29" ht="15" customHeight="1">
      <c r="A29" s="36">
        <f>TKB_Nhap!A29</f>
        <v/>
      </c>
      <c r="B29" s="36">
        <f>TKB_Nhap!B29</f>
        <v/>
      </c>
      <c r="C29" s="36">
        <f>TKB_Nhap!C29</f>
        <v/>
      </c>
      <c r="D29" s="36">
        <f>IF(TKB_Nhap!D29="","",IFERROR(T(INDEX(PhanCong!$B$3:$I$18,MATCH(TKB_Nhap!D29,PhanCong!$A$3:$A$18,0),MATCH($A29,PhanCong!$B$2:$I$2,0))),""))</f>
        <v/>
      </c>
      <c r="E29" s="36">
        <f>IF(TKB_Nhap!E29="","",IFERROR(T(INDEX(PhanCong!$B$3:$I$18,MATCH(TKB_Nhap!E29,PhanCong!$A$3:$A$18,0),MATCH($A29,PhanCong!$B$2:$I$2,0))),""))</f>
        <v/>
      </c>
      <c r="F29" s="36">
        <f>IF(TKB_Nhap!F29="","",IFERROR(T(INDEX(PhanCong!$B$3:$I$18,MATCH(TKB_Nhap!F29,PhanCong!$A$3:$A$18,0),MATCH($A29,PhanCong!$B$2:$I$2,0))),""))</f>
        <v/>
      </c>
      <c r="G29" s="36">
        <f>IF(TKB_Nhap!G29="","",IFERROR(T(INDEX(PhanCong!$B$3:$I$18,MATCH(TKB_Nhap!G29,PhanCong!$A$3:$A$18,0),MATCH($A29,PhanCong!$B$2:$I$2,0))),""))</f>
        <v/>
      </c>
      <c r="H29" s="36">
        <f>IF(TKB_Nhap!H29="","",IFERROR(T(INDEX(PhanCong!$B$3:$I$18,MATCH(TKB_Nhap!H29,PhanCong!$A$3:$A$18,0),MATCH($A29,PhanCong!$B$2:$I$2,0))),""))</f>
        <v/>
      </c>
      <c r="I29" s="36">
        <f>IF(TKB_Nhap!I29="","",IFERROR(T(INDEX(PhanCong!$B$3:$I$18,MATCH(TKB_Nhap!I29,PhanCong!$A$3:$A$18,0),MATCH($A29,PhanCong!$B$2:$I$2,0))),""))</f>
        <v/>
      </c>
      <c r="J29" s="36" t="n"/>
      <c r="L29" s="39" t="n"/>
      <c r="M29" s="39" t="n"/>
      <c r="N29" s="39" t="n"/>
      <c r="O29" s="39" t="n"/>
      <c r="P29" s="39" t="n"/>
      <c r="Q29" s="39" t="n"/>
      <c r="R29" s="39" t="n"/>
    </row>
    <row r="30" ht="15" customHeight="1">
      <c r="A30" s="36">
        <f>TKB_Nhap!A30</f>
        <v/>
      </c>
      <c r="B30" s="36">
        <f>TKB_Nhap!B30</f>
        <v/>
      </c>
      <c r="C30" s="36">
        <f>TKB_Nhap!C30</f>
        <v/>
      </c>
      <c r="D30" s="36">
        <f>IF(TKB_Nhap!D30="","",IFERROR(T(INDEX(PhanCong!$B$3:$I$18,MATCH(TKB_Nhap!D30,PhanCong!$A$3:$A$18,0),MATCH($A30,PhanCong!$B$2:$I$2,0))),""))</f>
        <v/>
      </c>
      <c r="E30" s="36">
        <f>IF(TKB_Nhap!E30="","",IFERROR(T(INDEX(PhanCong!$B$3:$I$18,MATCH(TKB_Nhap!E30,PhanCong!$A$3:$A$18,0),MATCH($A30,PhanCong!$B$2:$I$2,0))),""))</f>
        <v/>
      </c>
      <c r="F30" s="36">
        <f>IF(TKB_Nhap!F30="","",IFERROR(T(INDEX(PhanCong!$B$3:$I$18,MATCH(TKB_Nhap!F30,PhanCong!$A$3:$A$18,0),MATCH($A30,PhanCong!$B$2:$I$2,0))),""))</f>
        <v/>
      </c>
      <c r="G30" s="36">
        <f>IF(TKB_Nhap!G30="","",IFERROR(T(INDEX(PhanCong!$B$3:$I$18,MATCH(TKB_Nhap!G30,PhanCong!$A$3:$A$18,0),MATCH($A30,PhanCong!$B$2:$I$2,0))),""))</f>
        <v/>
      </c>
      <c r="H30" s="36">
        <f>IF(TKB_Nhap!H30="","",IFERROR(T(INDEX(PhanCong!$B$3:$I$18,MATCH(TKB_Nhap!H30,PhanCong!$A$3:$A$18,0),MATCH($A30,PhanCong!$B$2:$I$2,0))),""))</f>
        <v/>
      </c>
      <c r="I30" s="36">
        <f>IF(TKB_Nhap!I30="","",IFERROR(T(INDEX(PhanCong!$B$3:$I$18,MATCH(TKB_Nhap!I30,PhanCong!$A$3:$A$18,0),MATCH($A30,PhanCong!$B$2:$I$2,0))),""))</f>
        <v/>
      </c>
      <c r="J30" s="36" t="n"/>
      <c r="L30" s="39" t="n"/>
      <c r="M30" s="39" t="n"/>
      <c r="N30" s="39" t="n"/>
      <c r="O30" s="39" t="n"/>
      <c r="P30" s="39" t="n"/>
      <c r="Q30" s="39" t="n"/>
      <c r="R30" s="39" t="n"/>
    </row>
    <row r="31" ht="15" customHeight="1">
      <c r="A31" s="36">
        <f>TKB_Nhap!A31</f>
        <v/>
      </c>
      <c r="B31" s="36">
        <f>TKB_Nhap!B31</f>
        <v/>
      </c>
      <c r="C31" s="36">
        <f>TKB_Nhap!C31</f>
        <v/>
      </c>
      <c r="D31" s="36">
        <f>IF(TKB_Nhap!D31="","",IFERROR(T(INDEX(PhanCong!$B$3:$I$18,MATCH(TKB_Nhap!D31,PhanCong!$A$3:$A$18,0),MATCH($A31,PhanCong!$B$2:$I$2,0))),""))</f>
        <v/>
      </c>
      <c r="E31" s="36">
        <f>IF(TKB_Nhap!E31="","",IFERROR(T(INDEX(PhanCong!$B$3:$I$18,MATCH(TKB_Nhap!E31,PhanCong!$A$3:$A$18,0),MATCH($A31,PhanCong!$B$2:$I$2,0))),""))</f>
        <v/>
      </c>
      <c r="F31" s="36">
        <f>IF(TKB_Nhap!F31="","",IFERROR(T(INDEX(PhanCong!$B$3:$I$18,MATCH(TKB_Nhap!F31,PhanCong!$A$3:$A$18,0),MATCH($A31,PhanCong!$B$2:$I$2,0))),""))</f>
        <v/>
      </c>
      <c r="G31" s="36">
        <f>IF(TKB_Nhap!G31="","",IFERROR(T(INDEX(PhanCong!$B$3:$I$18,MATCH(TKB_Nhap!G31,PhanCong!$A$3:$A$18,0),MATCH($A31,PhanCong!$B$2:$I$2,0))),""))</f>
        <v/>
      </c>
      <c r="H31" s="36">
        <f>IF(TKB_Nhap!H31="","",IFERROR(T(INDEX(PhanCong!$B$3:$I$18,MATCH(TKB_Nhap!H31,PhanCong!$A$3:$A$18,0),MATCH($A31,PhanCong!$B$2:$I$2,0))),""))</f>
        <v/>
      </c>
      <c r="I31" s="36">
        <f>IF(TKB_Nhap!I31="","",IFERROR(T(INDEX(PhanCong!$B$3:$I$18,MATCH(TKB_Nhap!I31,PhanCong!$A$3:$A$18,0),MATCH($A31,PhanCong!$B$2:$I$2,0))),""))</f>
        <v/>
      </c>
      <c r="J31" s="36" t="n"/>
      <c r="L31" s="39" t="n"/>
      <c r="M31" s="39" t="n"/>
      <c r="N31" s="39" t="n"/>
      <c r="O31" s="39" t="n"/>
      <c r="P31" s="39" t="n"/>
      <c r="Q31" s="39" t="n"/>
      <c r="R31" s="39" t="n"/>
    </row>
    <row r="32" ht="15" customHeight="1">
      <c r="A32" s="36">
        <f>TKB_Nhap!A32</f>
        <v/>
      </c>
      <c r="B32" s="36">
        <f>TKB_Nhap!B32</f>
        <v/>
      </c>
      <c r="C32" s="36">
        <f>TKB_Nhap!C32</f>
        <v/>
      </c>
      <c r="D32" s="36">
        <f>IF(TKB_Nhap!D32="","",IFERROR(T(INDEX(PhanCong!$B$3:$I$18,MATCH(TKB_Nhap!D32,PhanCong!$A$3:$A$18,0),MATCH($A32,PhanCong!$B$2:$I$2,0))),""))</f>
        <v/>
      </c>
      <c r="E32" s="36">
        <f>IF(TKB_Nhap!E32="","",IFERROR(T(INDEX(PhanCong!$B$3:$I$18,MATCH(TKB_Nhap!E32,PhanCong!$A$3:$A$18,0),MATCH($A32,PhanCong!$B$2:$I$2,0))),""))</f>
        <v/>
      </c>
      <c r="F32" s="36">
        <f>IF(TKB_Nhap!F32="","",IFERROR(T(INDEX(PhanCong!$B$3:$I$18,MATCH(TKB_Nhap!F32,PhanCong!$A$3:$A$18,0),MATCH($A32,PhanCong!$B$2:$I$2,0))),""))</f>
        <v/>
      </c>
      <c r="G32" s="36">
        <f>IF(TKB_Nhap!G32="","",IFERROR(T(INDEX(PhanCong!$B$3:$I$18,MATCH(TKB_Nhap!G32,PhanCong!$A$3:$A$18,0),MATCH($A32,PhanCong!$B$2:$I$2,0))),""))</f>
        <v/>
      </c>
      <c r="H32" s="36">
        <f>IF(TKB_Nhap!H32="","",IFERROR(T(INDEX(PhanCong!$B$3:$I$18,MATCH(TKB_Nhap!H32,PhanCong!$A$3:$A$18,0),MATCH($A32,PhanCong!$B$2:$I$2,0))),""))</f>
        <v/>
      </c>
      <c r="I32" s="36">
        <f>IF(TKB_Nhap!I32="","",IFERROR(T(INDEX(PhanCong!$B$3:$I$18,MATCH(TKB_Nhap!I32,PhanCong!$A$3:$A$18,0),MATCH($A32,PhanCong!$B$2:$I$2,0))),""))</f>
        <v/>
      </c>
      <c r="J32" s="36" t="n"/>
      <c r="L32" s="39" t="n"/>
      <c r="M32" s="39" t="n"/>
      <c r="N32" s="39" t="n"/>
      <c r="O32" s="39" t="n"/>
      <c r="P32" s="39" t="n"/>
      <c r="Q32" s="39" t="n"/>
      <c r="R32" s="39" t="n"/>
    </row>
    <row r="33" ht="15" customHeight="1">
      <c r="A33" s="36">
        <f>TKB_Nhap!A33</f>
        <v/>
      </c>
      <c r="B33" s="36">
        <f>TKB_Nhap!B33</f>
        <v/>
      </c>
      <c r="C33" s="36">
        <f>TKB_Nhap!C33</f>
        <v/>
      </c>
      <c r="D33" s="36">
        <f>IF(TKB_Nhap!D33="","",IFERROR(T(INDEX(PhanCong!$B$3:$I$18,MATCH(TKB_Nhap!D33,PhanCong!$A$3:$A$18,0),MATCH($A33,PhanCong!$B$2:$I$2,0))),""))</f>
        <v/>
      </c>
      <c r="E33" s="36">
        <f>IF(TKB_Nhap!E33="","",IFERROR(T(INDEX(PhanCong!$B$3:$I$18,MATCH(TKB_Nhap!E33,PhanCong!$A$3:$A$18,0),MATCH($A33,PhanCong!$B$2:$I$2,0))),""))</f>
        <v/>
      </c>
      <c r="F33" s="36">
        <f>IF(TKB_Nhap!F33="","",IFERROR(T(INDEX(PhanCong!$B$3:$I$18,MATCH(TKB_Nhap!F33,PhanCong!$A$3:$A$18,0),MATCH($A33,PhanCong!$B$2:$I$2,0))),""))</f>
        <v/>
      </c>
      <c r="G33" s="36">
        <f>IF(TKB_Nhap!G33="","",IFERROR(T(INDEX(PhanCong!$B$3:$I$18,MATCH(TKB_Nhap!G33,PhanCong!$A$3:$A$18,0),MATCH($A33,PhanCong!$B$2:$I$2,0))),""))</f>
        <v/>
      </c>
      <c r="H33" s="36">
        <f>IF(TKB_Nhap!H33="","",IFERROR(T(INDEX(PhanCong!$B$3:$I$18,MATCH(TKB_Nhap!H33,PhanCong!$A$3:$A$18,0),MATCH($A33,PhanCong!$B$2:$I$2,0))),""))</f>
        <v/>
      </c>
      <c r="I33" s="36">
        <f>IF(TKB_Nhap!I33="","",IFERROR(T(INDEX(PhanCong!$B$3:$I$18,MATCH(TKB_Nhap!I33,PhanCong!$A$3:$A$18,0),MATCH($A33,PhanCong!$B$2:$I$2,0))),""))</f>
        <v/>
      </c>
      <c r="J33" s="36" t="n"/>
      <c r="L33" s="39" t="n"/>
      <c r="M33" s="39" t="n"/>
      <c r="N33" s="39" t="n"/>
      <c r="O33" s="39" t="n"/>
      <c r="P33" s="39" t="n"/>
      <c r="Q33" s="39" t="n"/>
      <c r="R33" s="39" t="n"/>
    </row>
    <row r="34" ht="15" customHeight="1">
      <c r="A34" s="30">
        <f>TKB_Nhap!A34</f>
        <v/>
      </c>
      <c r="B34" s="30">
        <f>TKB_Nhap!B34</f>
        <v/>
      </c>
      <c r="C34" s="30">
        <f>TKB_Nhap!C34</f>
        <v/>
      </c>
      <c r="D34" s="30">
        <f>IF(TKB_Nhap!D34="","",IFERROR(T(INDEX(PhanCong!$B$3:$I$18,MATCH(TKB_Nhap!D34,PhanCong!$A$3:$A$18,0),MATCH($A34,PhanCong!$B$2:$I$2,0))),""))</f>
        <v/>
      </c>
      <c r="E34" s="30">
        <f>IF(TKB_Nhap!E34="","",IFERROR(T(INDEX(PhanCong!$B$3:$I$18,MATCH(TKB_Nhap!E34,PhanCong!$A$3:$A$18,0),MATCH($A34,PhanCong!$B$2:$I$2,0))),""))</f>
        <v/>
      </c>
      <c r="F34" s="30">
        <f>IF(TKB_Nhap!F34="","",IFERROR(T(INDEX(PhanCong!$B$3:$I$18,MATCH(TKB_Nhap!F34,PhanCong!$A$3:$A$18,0),MATCH($A34,PhanCong!$B$2:$I$2,0))),""))</f>
        <v/>
      </c>
      <c r="G34" s="30">
        <f>IF(TKB_Nhap!G34="","",IFERROR(T(INDEX(PhanCong!$B$3:$I$18,MATCH(TKB_Nhap!G34,PhanCong!$A$3:$A$18,0),MATCH($A34,PhanCong!$B$2:$I$2,0))),""))</f>
        <v/>
      </c>
      <c r="H34" s="30">
        <f>IF(TKB_Nhap!H34="","",IFERROR(T(INDEX(PhanCong!$B$3:$I$18,MATCH(TKB_Nhap!H34,PhanCong!$A$3:$A$18,0),MATCH($A34,PhanCong!$B$2:$I$2,0))),""))</f>
        <v/>
      </c>
      <c r="I34" s="30">
        <f>IF(TKB_Nhap!I34="","",IFERROR(T(INDEX(PhanCong!$B$3:$I$18,MATCH(TKB_Nhap!I34,PhanCong!$A$3:$A$18,0),MATCH($A34,PhanCong!$B$2:$I$2,0))),""))</f>
        <v/>
      </c>
      <c r="J34" s="30" t="n"/>
      <c r="L34" s="39" t="n"/>
      <c r="M34" s="39" t="n"/>
      <c r="N34" s="39" t="n"/>
      <c r="O34" s="39" t="n"/>
      <c r="P34" s="39" t="n"/>
      <c r="Q34" s="39" t="n"/>
      <c r="R34" s="39" t="n"/>
    </row>
    <row r="35" ht="15" customHeight="1">
      <c r="A35" s="30">
        <f>TKB_Nhap!A35</f>
        <v/>
      </c>
      <c r="B35" s="30">
        <f>TKB_Nhap!B35</f>
        <v/>
      </c>
      <c r="C35" s="30">
        <f>TKB_Nhap!C35</f>
        <v/>
      </c>
      <c r="D35" s="30">
        <f>IF(TKB_Nhap!D35="","",IFERROR(T(INDEX(PhanCong!$B$3:$I$18,MATCH(TKB_Nhap!D35,PhanCong!$A$3:$A$18,0),MATCH($A35,PhanCong!$B$2:$I$2,0))),""))</f>
        <v/>
      </c>
      <c r="E35" s="30">
        <f>IF(TKB_Nhap!E35="","",IFERROR(T(INDEX(PhanCong!$B$3:$I$18,MATCH(TKB_Nhap!E35,PhanCong!$A$3:$A$18,0),MATCH($A35,PhanCong!$B$2:$I$2,0))),""))</f>
        <v/>
      </c>
      <c r="F35" s="30">
        <f>IF(TKB_Nhap!F35="","",IFERROR(T(INDEX(PhanCong!$B$3:$I$18,MATCH(TKB_Nhap!F35,PhanCong!$A$3:$A$18,0),MATCH($A35,PhanCong!$B$2:$I$2,0))),""))</f>
        <v/>
      </c>
      <c r="G35" s="30">
        <f>IF(TKB_Nhap!G35="","",IFERROR(T(INDEX(PhanCong!$B$3:$I$18,MATCH(TKB_Nhap!G35,PhanCong!$A$3:$A$18,0),MATCH($A35,PhanCong!$B$2:$I$2,0))),""))</f>
        <v/>
      </c>
      <c r="H35" s="30">
        <f>IF(TKB_Nhap!H35="","",IFERROR(T(INDEX(PhanCong!$B$3:$I$18,MATCH(TKB_Nhap!H35,PhanCong!$A$3:$A$18,0),MATCH($A35,PhanCong!$B$2:$I$2,0))),""))</f>
        <v/>
      </c>
      <c r="I35" s="30">
        <f>IF(TKB_Nhap!I35="","",IFERROR(T(INDEX(PhanCong!$B$3:$I$18,MATCH(TKB_Nhap!I35,PhanCong!$A$3:$A$18,0),MATCH($A35,PhanCong!$B$2:$I$2,0))),""))</f>
        <v/>
      </c>
      <c r="J35" s="30" t="n"/>
      <c r="L35" s="39" t="n"/>
      <c r="M35" s="39" t="n"/>
      <c r="N35" s="39" t="n"/>
      <c r="O35" s="39" t="n"/>
      <c r="P35" s="39" t="n"/>
      <c r="Q35" s="39" t="n"/>
      <c r="R35" s="39" t="n"/>
    </row>
    <row r="36" ht="15" customHeight="1">
      <c r="A36" s="30">
        <f>TKB_Nhap!A36</f>
        <v/>
      </c>
      <c r="B36" s="30">
        <f>TKB_Nhap!B36</f>
        <v/>
      </c>
      <c r="C36" s="30">
        <f>TKB_Nhap!C36</f>
        <v/>
      </c>
      <c r="D36" s="30">
        <f>IF(TKB_Nhap!D36="","",IFERROR(T(INDEX(PhanCong!$B$3:$I$18,MATCH(TKB_Nhap!D36,PhanCong!$A$3:$A$18,0),MATCH($A36,PhanCong!$B$2:$I$2,0))),""))</f>
        <v/>
      </c>
      <c r="E36" s="30">
        <f>IF(TKB_Nhap!E36="","",IFERROR(T(INDEX(PhanCong!$B$3:$I$18,MATCH(TKB_Nhap!E36,PhanCong!$A$3:$A$18,0),MATCH($A36,PhanCong!$B$2:$I$2,0))),""))</f>
        <v/>
      </c>
      <c r="F36" s="30">
        <f>IF(TKB_Nhap!F36="","",IFERROR(T(INDEX(PhanCong!$B$3:$I$18,MATCH(TKB_Nhap!F36,PhanCong!$A$3:$A$18,0),MATCH($A36,PhanCong!$B$2:$I$2,0))),""))</f>
        <v/>
      </c>
      <c r="G36" s="30">
        <f>IF(TKB_Nhap!G36="","",IFERROR(T(INDEX(PhanCong!$B$3:$I$18,MATCH(TKB_Nhap!G36,PhanCong!$A$3:$A$18,0),MATCH($A36,PhanCong!$B$2:$I$2,0))),""))</f>
        <v/>
      </c>
      <c r="H36" s="30">
        <f>IF(TKB_Nhap!H36="","",IFERROR(T(INDEX(PhanCong!$B$3:$I$18,MATCH(TKB_Nhap!H36,PhanCong!$A$3:$A$18,0),MATCH($A36,PhanCong!$B$2:$I$2,0))),""))</f>
        <v/>
      </c>
      <c r="I36" s="30">
        <f>IF(TKB_Nhap!I36="","",IFERROR(T(INDEX(PhanCong!$B$3:$I$18,MATCH(TKB_Nhap!I36,PhanCong!$A$3:$A$18,0),MATCH($A36,PhanCong!$B$2:$I$2,0))),""))</f>
        <v/>
      </c>
      <c r="J36" s="30" t="n"/>
      <c r="L36" s="39" t="n"/>
      <c r="M36" s="39" t="n"/>
      <c r="N36" s="39" t="n"/>
      <c r="O36" s="39" t="n"/>
      <c r="P36" s="39" t="n"/>
      <c r="Q36" s="39" t="n"/>
      <c r="R36" s="39" t="n"/>
    </row>
    <row r="37" ht="15" customHeight="1">
      <c r="A37" s="30">
        <f>TKB_Nhap!A37</f>
        <v/>
      </c>
      <c r="B37" s="30">
        <f>TKB_Nhap!B37</f>
        <v/>
      </c>
      <c r="C37" s="30">
        <f>TKB_Nhap!C37</f>
        <v/>
      </c>
      <c r="D37" s="30">
        <f>IF(TKB_Nhap!D37="","",IFERROR(T(INDEX(PhanCong!$B$3:$I$18,MATCH(TKB_Nhap!D37,PhanCong!$A$3:$A$18,0),MATCH($A37,PhanCong!$B$2:$I$2,0))),""))</f>
        <v/>
      </c>
      <c r="E37" s="30">
        <f>IF(TKB_Nhap!E37="","",IFERROR(T(INDEX(PhanCong!$B$3:$I$18,MATCH(TKB_Nhap!E37,PhanCong!$A$3:$A$18,0),MATCH($A37,PhanCong!$B$2:$I$2,0))),""))</f>
        <v/>
      </c>
      <c r="F37" s="30">
        <f>IF(TKB_Nhap!F37="","",IFERROR(T(INDEX(PhanCong!$B$3:$I$18,MATCH(TKB_Nhap!F37,PhanCong!$A$3:$A$18,0),MATCH($A37,PhanCong!$B$2:$I$2,0))),""))</f>
        <v/>
      </c>
      <c r="G37" s="30">
        <f>IF(TKB_Nhap!G37="","",IFERROR(T(INDEX(PhanCong!$B$3:$I$18,MATCH(TKB_Nhap!G37,PhanCong!$A$3:$A$18,0),MATCH($A37,PhanCong!$B$2:$I$2,0))),""))</f>
        <v/>
      </c>
      <c r="H37" s="30">
        <f>IF(TKB_Nhap!H37="","",IFERROR(T(INDEX(PhanCong!$B$3:$I$18,MATCH(TKB_Nhap!H37,PhanCong!$A$3:$A$18,0),MATCH($A37,PhanCong!$B$2:$I$2,0))),""))</f>
        <v/>
      </c>
      <c r="I37" s="30">
        <f>IF(TKB_Nhap!I37="","",IFERROR(T(INDEX(PhanCong!$B$3:$I$18,MATCH(TKB_Nhap!I37,PhanCong!$A$3:$A$18,0),MATCH($A37,PhanCong!$B$2:$I$2,0))),""))</f>
        <v/>
      </c>
      <c r="J37" s="30" t="n"/>
      <c r="L37" s="39" t="n"/>
      <c r="M37" s="39" t="n"/>
      <c r="N37" s="39" t="n"/>
      <c r="O37" s="39" t="n"/>
      <c r="P37" s="39" t="n"/>
      <c r="Q37" s="39" t="n"/>
      <c r="R37" s="39" t="n"/>
    </row>
    <row r="38" ht="15" customHeight="1">
      <c r="A38" s="30">
        <f>TKB_Nhap!A38</f>
        <v/>
      </c>
      <c r="B38" s="30">
        <f>TKB_Nhap!B38</f>
        <v/>
      </c>
      <c r="C38" s="30">
        <f>TKB_Nhap!C38</f>
        <v/>
      </c>
      <c r="D38" s="30">
        <f>IF(TKB_Nhap!D38="","",IFERROR(T(INDEX(PhanCong!$B$3:$I$18,MATCH(TKB_Nhap!D38,PhanCong!$A$3:$A$18,0),MATCH($A38,PhanCong!$B$2:$I$2,0))),""))</f>
        <v/>
      </c>
      <c r="E38" s="30">
        <f>IF(TKB_Nhap!E38="","",IFERROR(T(INDEX(PhanCong!$B$3:$I$18,MATCH(TKB_Nhap!E38,PhanCong!$A$3:$A$18,0),MATCH($A38,PhanCong!$B$2:$I$2,0))),""))</f>
        <v/>
      </c>
      <c r="F38" s="30">
        <f>IF(TKB_Nhap!F38="","",IFERROR(T(INDEX(PhanCong!$B$3:$I$18,MATCH(TKB_Nhap!F38,PhanCong!$A$3:$A$18,0),MATCH($A38,PhanCong!$B$2:$I$2,0))),""))</f>
        <v/>
      </c>
      <c r="G38" s="30">
        <f>IF(TKB_Nhap!G38="","",IFERROR(T(INDEX(PhanCong!$B$3:$I$18,MATCH(TKB_Nhap!G38,PhanCong!$A$3:$A$18,0),MATCH($A38,PhanCong!$B$2:$I$2,0))),""))</f>
        <v/>
      </c>
      <c r="H38" s="30">
        <f>IF(TKB_Nhap!H38="","",IFERROR(T(INDEX(PhanCong!$B$3:$I$18,MATCH(TKB_Nhap!H38,PhanCong!$A$3:$A$18,0),MATCH($A38,PhanCong!$B$2:$I$2,0))),""))</f>
        <v/>
      </c>
      <c r="I38" s="30">
        <f>IF(TKB_Nhap!I38="","",IFERROR(T(INDEX(PhanCong!$B$3:$I$18,MATCH(TKB_Nhap!I38,PhanCong!$A$3:$A$18,0),MATCH($A38,PhanCong!$B$2:$I$2,0))),""))</f>
        <v/>
      </c>
      <c r="J38" s="30" t="n"/>
      <c r="L38" s="39" t="n"/>
      <c r="M38" s="39" t="n"/>
      <c r="N38" s="39" t="n"/>
      <c r="O38" s="39" t="n"/>
      <c r="P38" s="39" t="n"/>
      <c r="Q38" s="39" t="n"/>
      <c r="R38" s="39" t="n"/>
    </row>
    <row r="39" ht="15" customHeight="1">
      <c r="A39" s="30">
        <f>TKB_Nhap!A39</f>
        <v/>
      </c>
      <c r="B39" s="30">
        <f>TKB_Nhap!B39</f>
        <v/>
      </c>
      <c r="C39" s="30">
        <f>TKB_Nhap!C39</f>
        <v/>
      </c>
      <c r="D39" s="30">
        <f>IF(TKB_Nhap!D39="","",IFERROR(T(INDEX(PhanCong!$B$3:$I$18,MATCH(TKB_Nhap!D39,PhanCong!$A$3:$A$18,0),MATCH($A39,PhanCong!$B$2:$I$2,0))),""))</f>
        <v/>
      </c>
      <c r="E39" s="30">
        <f>IF(TKB_Nhap!E39="","",IFERROR(T(INDEX(PhanCong!$B$3:$I$18,MATCH(TKB_Nhap!E39,PhanCong!$A$3:$A$18,0),MATCH($A39,PhanCong!$B$2:$I$2,0))),""))</f>
        <v/>
      </c>
      <c r="F39" s="30">
        <f>IF(TKB_Nhap!F39="","",IFERROR(T(INDEX(PhanCong!$B$3:$I$18,MATCH(TKB_Nhap!F39,PhanCong!$A$3:$A$18,0),MATCH($A39,PhanCong!$B$2:$I$2,0))),""))</f>
        <v/>
      </c>
      <c r="G39" s="30">
        <f>IF(TKB_Nhap!G39="","",IFERROR(T(INDEX(PhanCong!$B$3:$I$18,MATCH(TKB_Nhap!G39,PhanCong!$A$3:$A$18,0),MATCH($A39,PhanCong!$B$2:$I$2,0))),""))</f>
        <v/>
      </c>
      <c r="H39" s="30">
        <f>IF(TKB_Nhap!H39="","",IFERROR(T(INDEX(PhanCong!$B$3:$I$18,MATCH(TKB_Nhap!H39,PhanCong!$A$3:$A$18,0),MATCH($A39,PhanCong!$B$2:$I$2,0))),""))</f>
        <v/>
      </c>
      <c r="I39" s="30">
        <f>IF(TKB_Nhap!I39="","",IFERROR(T(INDEX(PhanCong!$B$3:$I$18,MATCH(TKB_Nhap!I39,PhanCong!$A$3:$A$18,0),MATCH($A39,PhanCong!$B$2:$I$2,0))),""))</f>
        <v/>
      </c>
      <c r="J39" s="30" t="n"/>
      <c r="L39" s="39" t="n"/>
      <c r="M39" s="39" t="n"/>
      <c r="N39" s="39" t="n"/>
      <c r="O39" s="39" t="n"/>
      <c r="P39" s="39" t="n"/>
      <c r="Q39" s="39" t="n"/>
      <c r="R39" s="39" t="n"/>
    </row>
    <row r="40" ht="15" customHeight="1">
      <c r="A40" s="30">
        <f>TKB_Nhap!A40</f>
        <v/>
      </c>
      <c r="B40" s="30">
        <f>TKB_Nhap!B40</f>
        <v/>
      </c>
      <c r="C40" s="30">
        <f>TKB_Nhap!C40</f>
        <v/>
      </c>
      <c r="D40" s="30">
        <f>IF(TKB_Nhap!D40="","",IFERROR(T(INDEX(PhanCong!$B$3:$I$18,MATCH(TKB_Nhap!D40,PhanCong!$A$3:$A$18,0),MATCH($A40,PhanCong!$B$2:$I$2,0))),""))</f>
        <v/>
      </c>
      <c r="E40" s="30">
        <f>IF(TKB_Nhap!E40="","",IFERROR(T(INDEX(PhanCong!$B$3:$I$18,MATCH(TKB_Nhap!E40,PhanCong!$A$3:$A$18,0),MATCH($A40,PhanCong!$B$2:$I$2,0))),""))</f>
        <v/>
      </c>
      <c r="F40" s="30">
        <f>IF(TKB_Nhap!F40="","",IFERROR(T(INDEX(PhanCong!$B$3:$I$18,MATCH(TKB_Nhap!F40,PhanCong!$A$3:$A$18,0),MATCH($A40,PhanCong!$B$2:$I$2,0))),""))</f>
        <v/>
      </c>
      <c r="G40" s="30">
        <f>IF(TKB_Nhap!G40="","",IFERROR(T(INDEX(PhanCong!$B$3:$I$18,MATCH(TKB_Nhap!G40,PhanCong!$A$3:$A$18,0),MATCH($A40,PhanCong!$B$2:$I$2,0))),""))</f>
        <v/>
      </c>
      <c r="H40" s="30">
        <f>IF(TKB_Nhap!H40="","",IFERROR(T(INDEX(PhanCong!$B$3:$I$18,MATCH(TKB_Nhap!H40,PhanCong!$A$3:$A$18,0),MATCH($A40,PhanCong!$B$2:$I$2,0))),""))</f>
        <v/>
      </c>
      <c r="I40" s="30">
        <f>IF(TKB_Nhap!I40="","",IFERROR(T(INDEX(PhanCong!$B$3:$I$18,MATCH(TKB_Nhap!I40,PhanCong!$A$3:$A$18,0),MATCH($A40,PhanCong!$B$2:$I$2,0))),""))</f>
        <v/>
      </c>
      <c r="J40" s="30" t="n"/>
      <c r="L40" s="39" t="n"/>
      <c r="M40" s="39" t="n"/>
      <c r="N40" s="39" t="n"/>
      <c r="O40" s="39" t="n"/>
      <c r="P40" s="39" t="n"/>
      <c r="Q40" s="39" t="n"/>
      <c r="R40" s="39" t="n"/>
    </row>
    <row r="41" ht="15" customHeight="1">
      <c r="A41" s="30">
        <f>TKB_Nhap!A41</f>
        <v/>
      </c>
      <c r="B41" s="30">
        <f>TKB_Nhap!B41</f>
        <v/>
      </c>
      <c r="C41" s="30">
        <f>TKB_Nhap!C41</f>
        <v/>
      </c>
      <c r="D41" s="30">
        <f>IF(TKB_Nhap!D41="","",IFERROR(T(INDEX(PhanCong!$B$3:$I$18,MATCH(TKB_Nhap!D41,PhanCong!$A$3:$A$18,0),MATCH($A41,PhanCong!$B$2:$I$2,0))),""))</f>
        <v/>
      </c>
      <c r="E41" s="30">
        <f>IF(TKB_Nhap!E41="","",IFERROR(T(INDEX(PhanCong!$B$3:$I$18,MATCH(TKB_Nhap!E41,PhanCong!$A$3:$A$18,0),MATCH($A41,PhanCong!$B$2:$I$2,0))),""))</f>
        <v/>
      </c>
      <c r="F41" s="30">
        <f>IF(TKB_Nhap!F41="","",IFERROR(T(INDEX(PhanCong!$B$3:$I$18,MATCH(TKB_Nhap!F41,PhanCong!$A$3:$A$18,0),MATCH($A41,PhanCong!$B$2:$I$2,0))),""))</f>
        <v/>
      </c>
      <c r="G41" s="30">
        <f>IF(TKB_Nhap!G41="","",IFERROR(T(INDEX(PhanCong!$B$3:$I$18,MATCH(TKB_Nhap!G41,PhanCong!$A$3:$A$18,0),MATCH($A41,PhanCong!$B$2:$I$2,0))),""))</f>
        <v/>
      </c>
      <c r="H41" s="30">
        <f>IF(TKB_Nhap!H41="","",IFERROR(T(INDEX(PhanCong!$B$3:$I$18,MATCH(TKB_Nhap!H41,PhanCong!$A$3:$A$18,0),MATCH($A41,PhanCong!$B$2:$I$2,0))),""))</f>
        <v/>
      </c>
      <c r="I41" s="30">
        <f>IF(TKB_Nhap!I41="","",IFERROR(T(INDEX(PhanCong!$B$3:$I$18,MATCH(TKB_Nhap!I41,PhanCong!$A$3:$A$18,0),MATCH($A41,PhanCong!$B$2:$I$2,0))),""))</f>
        <v/>
      </c>
      <c r="J41" s="30" t="n"/>
      <c r="L41" s="39" t="n"/>
      <c r="M41" s="39" t="n"/>
      <c r="N41" s="39" t="n"/>
      <c r="O41" s="39" t="n"/>
      <c r="P41" s="39" t="n"/>
      <c r="Q41" s="39" t="n"/>
      <c r="R41" s="39" t="n"/>
    </row>
    <row r="42" ht="15" customHeight="1">
      <c r="A42" s="36">
        <f>TKB_Nhap!A42</f>
        <v/>
      </c>
      <c r="B42" s="36">
        <f>TKB_Nhap!B42</f>
        <v/>
      </c>
      <c r="C42" s="36">
        <f>TKB_Nhap!C42</f>
        <v/>
      </c>
      <c r="D42" s="36">
        <f>IF(TKB_Nhap!D42="","",IFERROR(T(INDEX(PhanCong!$B$3:$I$18,MATCH(TKB_Nhap!D42,PhanCong!$A$3:$A$18,0),MATCH($A42,PhanCong!$B$2:$I$2,0))),""))</f>
        <v/>
      </c>
      <c r="E42" s="36">
        <f>IF(TKB_Nhap!E42="","",IFERROR(T(INDEX(PhanCong!$B$3:$I$18,MATCH(TKB_Nhap!E42,PhanCong!$A$3:$A$18,0),MATCH($A42,PhanCong!$B$2:$I$2,0))),""))</f>
        <v/>
      </c>
      <c r="F42" s="36">
        <f>IF(TKB_Nhap!F42="","",IFERROR(T(INDEX(PhanCong!$B$3:$I$18,MATCH(TKB_Nhap!F42,PhanCong!$A$3:$A$18,0),MATCH($A42,PhanCong!$B$2:$I$2,0))),""))</f>
        <v/>
      </c>
      <c r="G42" s="36">
        <f>IF(TKB_Nhap!G42="","",IFERROR(T(INDEX(PhanCong!$B$3:$I$18,MATCH(TKB_Nhap!G42,PhanCong!$A$3:$A$18,0),MATCH($A42,PhanCong!$B$2:$I$2,0))),""))</f>
        <v/>
      </c>
      <c r="H42" s="36">
        <f>IF(TKB_Nhap!H42="","",IFERROR(T(INDEX(PhanCong!$B$3:$I$18,MATCH(TKB_Nhap!H42,PhanCong!$A$3:$A$18,0),MATCH($A42,PhanCong!$B$2:$I$2,0))),""))</f>
        <v/>
      </c>
      <c r="I42" s="36">
        <f>IF(TKB_Nhap!I42="","",IFERROR(T(INDEX(PhanCong!$B$3:$I$18,MATCH(TKB_Nhap!I42,PhanCong!$A$3:$A$18,0),MATCH($A42,PhanCong!$B$2:$I$2,0))),""))</f>
        <v/>
      </c>
      <c r="J42" s="36" t="n"/>
      <c r="L42" s="39" t="n"/>
      <c r="M42" s="39" t="n"/>
      <c r="N42" s="39" t="n"/>
      <c r="O42" s="39" t="n"/>
      <c r="P42" s="39" t="n"/>
      <c r="Q42" s="39" t="n"/>
      <c r="R42" s="39" t="n"/>
    </row>
    <row r="43" ht="15" customHeight="1">
      <c r="A43" s="36">
        <f>TKB_Nhap!A43</f>
        <v/>
      </c>
      <c r="B43" s="36">
        <f>TKB_Nhap!B43</f>
        <v/>
      </c>
      <c r="C43" s="36">
        <f>TKB_Nhap!C43</f>
        <v/>
      </c>
      <c r="D43" s="36">
        <f>IF(TKB_Nhap!D43="","",IFERROR(T(INDEX(PhanCong!$B$3:$I$18,MATCH(TKB_Nhap!D43,PhanCong!$A$3:$A$18,0),MATCH($A43,PhanCong!$B$2:$I$2,0))),""))</f>
        <v/>
      </c>
      <c r="E43" s="36">
        <f>IF(TKB_Nhap!E43="","",IFERROR(T(INDEX(PhanCong!$B$3:$I$18,MATCH(TKB_Nhap!E43,PhanCong!$A$3:$A$18,0),MATCH($A43,PhanCong!$B$2:$I$2,0))),""))</f>
        <v/>
      </c>
      <c r="F43" s="36">
        <f>IF(TKB_Nhap!F43="","",IFERROR(T(INDEX(PhanCong!$B$3:$I$18,MATCH(TKB_Nhap!F43,PhanCong!$A$3:$A$18,0),MATCH($A43,PhanCong!$B$2:$I$2,0))),""))</f>
        <v/>
      </c>
      <c r="G43" s="36">
        <f>IF(TKB_Nhap!G43="","",IFERROR(T(INDEX(PhanCong!$B$3:$I$18,MATCH(TKB_Nhap!G43,PhanCong!$A$3:$A$18,0),MATCH($A43,PhanCong!$B$2:$I$2,0))),""))</f>
        <v/>
      </c>
      <c r="H43" s="36">
        <f>IF(TKB_Nhap!H43="","",IFERROR(T(INDEX(PhanCong!$B$3:$I$18,MATCH(TKB_Nhap!H43,PhanCong!$A$3:$A$18,0),MATCH($A43,PhanCong!$B$2:$I$2,0))),""))</f>
        <v/>
      </c>
      <c r="I43" s="36">
        <f>IF(TKB_Nhap!I43="","",IFERROR(T(INDEX(PhanCong!$B$3:$I$18,MATCH(TKB_Nhap!I43,PhanCong!$A$3:$A$18,0),MATCH($A43,PhanCong!$B$2:$I$2,0))),""))</f>
        <v/>
      </c>
      <c r="J43" s="36" t="n"/>
      <c r="L43" s="39" t="n"/>
      <c r="M43" s="39" t="n"/>
      <c r="N43" s="39" t="n"/>
      <c r="O43" s="39" t="n"/>
      <c r="P43" s="39" t="n"/>
      <c r="Q43" s="39" t="n"/>
      <c r="R43" s="39" t="n"/>
    </row>
    <row r="44" ht="15" customHeight="1">
      <c r="A44" s="36">
        <f>TKB_Nhap!A44</f>
        <v/>
      </c>
      <c r="B44" s="36">
        <f>TKB_Nhap!B44</f>
        <v/>
      </c>
      <c r="C44" s="36">
        <f>TKB_Nhap!C44</f>
        <v/>
      </c>
      <c r="D44" s="36">
        <f>IF(TKB_Nhap!D44="","",IFERROR(T(INDEX(PhanCong!$B$3:$I$18,MATCH(TKB_Nhap!D44,PhanCong!$A$3:$A$18,0),MATCH($A44,PhanCong!$B$2:$I$2,0))),""))</f>
        <v/>
      </c>
      <c r="E44" s="36">
        <f>IF(TKB_Nhap!E44="","",IFERROR(T(INDEX(PhanCong!$B$3:$I$18,MATCH(TKB_Nhap!E44,PhanCong!$A$3:$A$18,0),MATCH($A44,PhanCong!$B$2:$I$2,0))),""))</f>
        <v/>
      </c>
      <c r="F44" s="36">
        <f>IF(TKB_Nhap!F44="","",IFERROR(T(INDEX(PhanCong!$B$3:$I$18,MATCH(TKB_Nhap!F44,PhanCong!$A$3:$A$18,0),MATCH($A44,PhanCong!$B$2:$I$2,0))),""))</f>
        <v/>
      </c>
      <c r="G44" s="36">
        <f>IF(TKB_Nhap!G44="","",IFERROR(T(INDEX(PhanCong!$B$3:$I$18,MATCH(TKB_Nhap!G44,PhanCong!$A$3:$A$18,0),MATCH($A44,PhanCong!$B$2:$I$2,0))),""))</f>
        <v/>
      </c>
      <c r="H44" s="36">
        <f>IF(TKB_Nhap!H44="","",IFERROR(T(INDEX(PhanCong!$B$3:$I$18,MATCH(TKB_Nhap!H44,PhanCong!$A$3:$A$18,0),MATCH($A44,PhanCong!$B$2:$I$2,0))),""))</f>
        <v/>
      </c>
      <c r="I44" s="36">
        <f>IF(TKB_Nhap!I44="","",IFERROR(T(INDEX(PhanCong!$B$3:$I$18,MATCH(TKB_Nhap!I44,PhanCong!$A$3:$A$18,0),MATCH($A44,PhanCong!$B$2:$I$2,0))),""))</f>
        <v/>
      </c>
      <c r="J44" s="36" t="n"/>
      <c r="L44" s="39" t="n"/>
      <c r="M44" s="39" t="n"/>
      <c r="N44" s="39" t="n"/>
      <c r="O44" s="39" t="n"/>
      <c r="P44" s="39" t="n"/>
      <c r="Q44" s="39" t="n"/>
      <c r="R44" s="39" t="n"/>
    </row>
    <row r="45" ht="15" customHeight="1">
      <c r="A45" s="36">
        <f>TKB_Nhap!A45</f>
        <v/>
      </c>
      <c r="B45" s="36">
        <f>TKB_Nhap!B45</f>
        <v/>
      </c>
      <c r="C45" s="36">
        <f>TKB_Nhap!C45</f>
        <v/>
      </c>
      <c r="D45" s="36">
        <f>IF(TKB_Nhap!D45="","",IFERROR(T(INDEX(PhanCong!$B$3:$I$18,MATCH(TKB_Nhap!D45,PhanCong!$A$3:$A$18,0),MATCH($A45,PhanCong!$B$2:$I$2,0))),""))</f>
        <v/>
      </c>
      <c r="E45" s="36">
        <f>IF(TKB_Nhap!E45="","",IFERROR(T(INDEX(PhanCong!$B$3:$I$18,MATCH(TKB_Nhap!E45,PhanCong!$A$3:$A$18,0),MATCH($A45,PhanCong!$B$2:$I$2,0))),""))</f>
        <v/>
      </c>
      <c r="F45" s="36">
        <f>IF(TKB_Nhap!F45="","",IFERROR(T(INDEX(PhanCong!$B$3:$I$18,MATCH(TKB_Nhap!F45,PhanCong!$A$3:$A$18,0),MATCH($A45,PhanCong!$B$2:$I$2,0))),""))</f>
        <v/>
      </c>
      <c r="G45" s="36">
        <f>IF(TKB_Nhap!G45="","",IFERROR(T(INDEX(PhanCong!$B$3:$I$18,MATCH(TKB_Nhap!G45,PhanCong!$A$3:$A$18,0),MATCH($A45,PhanCong!$B$2:$I$2,0))),""))</f>
        <v/>
      </c>
      <c r="H45" s="36">
        <f>IF(TKB_Nhap!H45="","",IFERROR(T(INDEX(PhanCong!$B$3:$I$18,MATCH(TKB_Nhap!H45,PhanCong!$A$3:$A$18,0),MATCH($A45,PhanCong!$B$2:$I$2,0))),""))</f>
        <v/>
      </c>
      <c r="I45" s="36">
        <f>IF(TKB_Nhap!I45="","",IFERROR(T(INDEX(PhanCong!$B$3:$I$18,MATCH(TKB_Nhap!I45,PhanCong!$A$3:$A$18,0),MATCH($A45,PhanCong!$B$2:$I$2,0))),""))</f>
        <v/>
      </c>
      <c r="J45" s="36" t="n"/>
      <c r="L45" s="39" t="n"/>
      <c r="M45" s="39" t="n"/>
      <c r="N45" s="39" t="n"/>
      <c r="O45" s="39" t="n"/>
      <c r="P45" s="39" t="n"/>
      <c r="Q45" s="39" t="n"/>
      <c r="R45" s="39" t="n"/>
    </row>
    <row r="46" ht="15" customHeight="1">
      <c r="A46" s="36">
        <f>TKB_Nhap!A46</f>
        <v/>
      </c>
      <c r="B46" s="36">
        <f>TKB_Nhap!B46</f>
        <v/>
      </c>
      <c r="C46" s="36">
        <f>TKB_Nhap!C46</f>
        <v/>
      </c>
      <c r="D46" s="36">
        <f>IF(TKB_Nhap!D46="","",IFERROR(T(INDEX(PhanCong!$B$3:$I$18,MATCH(TKB_Nhap!D46,PhanCong!$A$3:$A$18,0),MATCH($A46,PhanCong!$B$2:$I$2,0))),""))</f>
        <v/>
      </c>
      <c r="E46" s="36">
        <f>IF(TKB_Nhap!E46="","",IFERROR(T(INDEX(PhanCong!$B$3:$I$18,MATCH(TKB_Nhap!E46,PhanCong!$A$3:$A$18,0),MATCH($A46,PhanCong!$B$2:$I$2,0))),""))</f>
        <v/>
      </c>
      <c r="F46" s="36">
        <f>IF(TKB_Nhap!F46="","",IFERROR(T(INDEX(PhanCong!$B$3:$I$18,MATCH(TKB_Nhap!F46,PhanCong!$A$3:$A$18,0),MATCH($A46,PhanCong!$B$2:$I$2,0))),""))</f>
        <v/>
      </c>
      <c r="G46" s="36">
        <f>IF(TKB_Nhap!G46="","",IFERROR(T(INDEX(PhanCong!$B$3:$I$18,MATCH(TKB_Nhap!G46,PhanCong!$A$3:$A$18,0),MATCH($A46,PhanCong!$B$2:$I$2,0))),""))</f>
        <v/>
      </c>
      <c r="H46" s="36">
        <f>IF(TKB_Nhap!H46="","",IFERROR(T(INDEX(PhanCong!$B$3:$I$18,MATCH(TKB_Nhap!H46,PhanCong!$A$3:$A$18,0),MATCH($A46,PhanCong!$B$2:$I$2,0))),""))</f>
        <v/>
      </c>
      <c r="I46" s="36">
        <f>IF(TKB_Nhap!I46="","",IFERROR(T(INDEX(PhanCong!$B$3:$I$18,MATCH(TKB_Nhap!I46,PhanCong!$A$3:$A$18,0),MATCH($A46,PhanCong!$B$2:$I$2,0))),""))</f>
        <v/>
      </c>
      <c r="J46" s="36" t="n"/>
      <c r="L46" s="39" t="n"/>
      <c r="M46" s="39" t="n"/>
      <c r="N46" s="39" t="n"/>
      <c r="O46" s="39" t="n"/>
      <c r="P46" s="39" t="n"/>
      <c r="Q46" s="39" t="n"/>
      <c r="R46" s="39" t="n"/>
    </row>
    <row r="47" ht="15" customHeight="1">
      <c r="A47" s="36">
        <f>TKB_Nhap!A47</f>
        <v/>
      </c>
      <c r="B47" s="36">
        <f>TKB_Nhap!B47</f>
        <v/>
      </c>
      <c r="C47" s="36">
        <f>TKB_Nhap!C47</f>
        <v/>
      </c>
      <c r="D47" s="36">
        <f>IF(TKB_Nhap!D47="","",IFERROR(T(INDEX(PhanCong!$B$3:$I$18,MATCH(TKB_Nhap!D47,PhanCong!$A$3:$A$18,0),MATCH($A47,PhanCong!$B$2:$I$2,0))),""))</f>
        <v/>
      </c>
      <c r="E47" s="36">
        <f>IF(TKB_Nhap!E47="","",IFERROR(T(INDEX(PhanCong!$B$3:$I$18,MATCH(TKB_Nhap!E47,PhanCong!$A$3:$A$18,0),MATCH($A47,PhanCong!$B$2:$I$2,0))),""))</f>
        <v/>
      </c>
      <c r="F47" s="36">
        <f>IF(TKB_Nhap!F47="","",IFERROR(T(INDEX(PhanCong!$B$3:$I$18,MATCH(TKB_Nhap!F47,PhanCong!$A$3:$A$18,0),MATCH($A47,PhanCong!$B$2:$I$2,0))),""))</f>
        <v/>
      </c>
      <c r="G47" s="36">
        <f>IF(TKB_Nhap!G47="","",IFERROR(T(INDEX(PhanCong!$B$3:$I$18,MATCH(TKB_Nhap!G47,PhanCong!$A$3:$A$18,0),MATCH($A47,PhanCong!$B$2:$I$2,0))),""))</f>
        <v/>
      </c>
      <c r="H47" s="36">
        <f>IF(TKB_Nhap!H47="","",IFERROR(T(INDEX(PhanCong!$B$3:$I$18,MATCH(TKB_Nhap!H47,PhanCong!$A$3:$A$18,0),MATCH($A47,PhanCong!$B$2:$I$2,0))),""))</f>
        <v/>
      </c>
      <c r="I47" s="36">
        <f>IF(TKB_Nhap!I47="","",IFERROR(T(INDEX(PhanCong!$B$3:$I$18,MATCH(TKB_Nhap!I47,PhanCong!$A$3:$A$18,0),MATCH($A47,PhanCong!$B$2:$I$2,0))),""))</f>
        <v/>
      </c>
      <c r="J47" s="36" t="n"/>
      <c r="L47" s="39" t="n"/>
      <c r="M47" s="39" t="n"/>
      <c r="N47" s="39" t="n"/>
      <c r="O47" s="39" t="n"/>
      <c r="P47" s="39" t="n"/>
      <c r="Q47" s="39" t="n"/>
      <c r="R47" s="39" t="n"/>
    </row>
    <row r="48" ht="15" customHeight="1">
      <c r="A48" s="36">
        <f>TKB_Nhap!A48</f>
        <v/>
      </c>
      <c r="B48" s="36">
        <f>TKB_Nhap!B48</f>
        <v/>
      </c>
      <c r="C48" s="36">
        <f>TKB_Nhap!C48</f>
        <v/>
      </c>
      <c r="D48" s="36">
        <f>IF(TKB_Nhap!D48="","",IFERROR(T(INDEX(PhanCong!$B$3:$I$18,MATCH(TKB_Nhap!D48,PhanCong!$A$3:$A$18,0),MATCH($A48,PhanCong!$B$2:$I$2,0))),""))</f>
        <v/>
      </c>
      <c r="E48" s="36">
        <f>IF(TKB_Nhap!E48="","",IFERROR(T(INDEX(PhanCong!$B$3:$I$18,MATCH(TKB_Nhap!E48,PhanCong!$A$3:$A$18,0),MATCH($A48,PhanCong!$B$2:$I$2,0))),""))</f>
        <v/>
      </c>
      <c r="F48" s="36">
        <f>IF(TKB_Nhap!F48="","",IFERROR(T(INDEX(PhanCong!$B$3:$I$18,MATCH(TKB_Nhap!F48,PhanCong!$A$3:$A$18,0),MATCH($A48,PhanCong!$B$2:$I$2,0))),""))</f>
        <v/>
      </c>
      <c r="G48" s="36">
        <f>IF(TKB_Nhap!G48="","",IFERROR(T(INDEX(PhanCong!$B$3:$I$18,MATCH(TKB_Nhap!G48,PhanCong!$A$3:$A$18,0),MATCH($A48,PhanCong!$B$2:$I$2,0))),""))</f>
        <v/>
      </c>
      <c r="H48" s="36">
        <f>IF(TKB_Nhap!H48="","",IFERROR(T(INDEX(PhanCong!$B$3:$I$18,MATCH(TKB_Nhap!H48,PhanCong!$A$3:$A$18,0),MATCH($A48,PhanCong!$B$2:$I$2,0))),""))</f>
        <v/>
      </c>
      <c r="I48" s="36">
        <f>IF(TKB_Nhap!I48="","",IFERROR(T(INDEX(PhanCong!$B$3:$I$18,MATCH(TKB_Nhap!I48,PhanCong!$A$3:$A$18,0),MATCH($A48,PhanCong!$B$2:$I$2,0))),""))</f>
        <v/>
      </c>
      <c r="J48" s="36" t="n"/>
      <c r="L48" s="39" t="n"/>
      <c r="M48" s="39" t="n"/>
      <c r="N48" s="39" t="n"/>
      <c r="O48" s="39" t="n"/>
      <c r="P48" s="39" t="n"/>
      <c r="Q48" s="39" t="n"/>
      <c r="R48" s="39" t="n"/>
    </row>
    <row r="49" ht="15" customHeight="1">
      <c r="A49" s="36">
        <f>TKB_Nhap!A49</f>
        <v/>
      </c>
      <c r="B49" s="36">
        <f>TKB_Nhap!B49</f>
        <v/>
      </c>
      <c r="C49" s="36">
        <f>TKB_Nhap!C49</f>
        <v/>
      </c>
      <c r="D49" s="36">
        <f>IF(TKB_Nhap!D49="","",IFERROR(T(INDEX(PhanCong!$B$3:$I$18,MATCH(TKB_Nhap!D49,PhanCong!$A$3:$A$18,0),MATCH($A49,PhanCong!$B$2:$I$2,0))),""))</f>
        <v/>
      </c>
      <c r="E49" s="36">
        <f>IF(TKB_Nhap!E49="","",IFERROR(T(INDEX(PhanCong!$B$3:$I$18,MATCH(TKB_Nhap!E49,PhanCong!$A$3:$A$18,0),MATCH($A49,PhanCong!$B$2:$I$2,0))),""))</f>
        <v/>
      </c>
      <c r="F49" s="36">
        <f>IF(TKB_Nhap!F49="","",IFERROR(T(INDEX(PhanCong!$B$3:$I$18,MATCH(TKB_Nhap!F49,PhanCong!$A$3:$A$18,0),MATCH($A49,PhanCong!$B$2:$I$2,0))),""))</f>
        <v/>
      </c>
      <c r="G49" s="36">
        <f>IF(TKB_Nhap!G49="","",IFERROR(T(INDEX(PhanCong!$B$3:$I$18,MATCH(TKB_Nhap!G49,PhanCong!$A$3:$A$18,0),MATCH($A49,PhanCong!$B$2:$I$2,0))),""))</f>
        <v/>
      </c>
      <c r="H49" s="36">
        <f>IF(TKB_Nhap!H49="","",IFERROR(T(INDEX(PhanCong!$B$3:$I$18,MATCH(TKB_Nhap!H49,PhanCong!$A$3:$A$18,0),MATCH($A49,PhanCong!$B$2:$I$2,0))),""))</f>
        <v/>
      </c>
      <c r="I49" s="36">
        <f>IF(TKB_Nhap!I49="","",IFERROR(T(INDEX(PhanCong!$B$3:$I$18,MATCH(TKB_Nhap!I49,PhanCong!$A$3:$A$18,0),MATCH($A49,PhanCong!$B$2:$I$2,0))),""))</f>
        <v/>
      </c>
      <c r="J49" s="36" t="n"/>
      <c r="L49" s="39" t="n"/>
      <c r="M49" s="39" t="n"/>
      <c r="N49" s="39" t="n"/>
      <c r="O49" s="39" t="n"/>
      <c r="P49" s="39" t="n"/>
      <c r="Q49" s="39" t="n"/>
      <c r="R49" s="39" t="n"/>
    </row>
    <row r="50" ht="15" customHeight="1">
      <c r="A50" s="30">
        <f>TKB_Nhap!A50</f>
        <v/>
      </c>
      <c r="B50" s="30">
        <f>TKB_Nhap!B50</f>
        <v/>
      </c>
      <c r="C50" s="30">
        <f>TKB_Nhap!C50</f>
        <v/>
      </c>
      <c r="D50" s="30">
        <f>IF(TKB_Nhap!D50="","",IFERROR(T(INDEX(PhanCong!$B$3:$I$18,MATCH(TKB_Nhap!D50,PhanCong!$A$3:$A$18,0),MATCH($A50,PhanCong!$B$2:$I$2,0))),""))</f>
        <v/>
      </c>
      <c r="E50" s="30">
        <f>IF(TKB_Nhap!E50="","",IFERROR(T(INDEX(PhanCong!$B$3:$I$18,MATCH(TKB_Nhap!E50,PhanCong!$A$3:$A$18,0),MATCH($A50,PhanCong!$B$2:$I$2,0))),""))</f>
        <v/>
      </c>
      <c r="F50" s="30">
        <f>IF(TKB_Nhap!F50="","",IFERROR(T(INDEX(PhanCong!$B$3:$I$18,MATCH(TKB_Nhap!F50,PhanCong!$A$3:$A$18,0),MATCH($A50,PhanCong!$B$2:$I$2,0))),""))</f>
        <v/>
      </c>
      <c r="G50" s="30">
        <f>IF(TKB_Nhap!G50="","",IFERROR(T(INDEX(PhanCong!$B$3:$I$18,MATCH(TKB_Nhap!G50,PhanCong!$A$3:$A$18,0),MATCH($A50,PhanCong!$B$2:$I$2,0))),""))</f>
        <v/>
      </c>
      <c r="H50" s="30">
        <f>IF(TKB_Nhap!H50="","",IFERROR(T(INDEX(PhanCong!$B$3:$I$18,MATCH(TKB_Nhap!H50,PhanCong!$A$3:$A$18,0),MATCH($A50,PhanCong!$B$2:$I$2,0))),""))</f>
        <v/>
      </c>
      <c r="I50" s="30">
        <f>IF(TKB_Nhap!I50="","",IFERROR(T(INDEX(PhanCong!$B$3:$I$18,MATCH(TKB_Nhap!I50,PhanCong!$A$3:$A$18,0),MATCH($A50,PhanCong!$B$2:$I$2,0))),""))</f>
        <v/>
      </c>
      <c r="J50" s="30" t="n"/>
      <c r="L50" s="39" t="n"/>
      <c r="M50" s="39" t="n"/>
      <c r="N50" s="39" t="n"/>
      <c r="O50" s="39" t="n"/>
      <c r="P50" s="39" t="n"/>
      <c r="Q50" s="39" t="n"/>
      <c r="R50" s="39" t="n"/>
    </row>
    <row r="51" ht="15" customHeight="1">
      <c r="A51" s="30">
        <f>TKB_Nhap!A51</f>
        <v/>
      </c>
      <c r="B51" s="30">
        <f>TKB_Nhap!B51</f>
        <v/>
      </c>
      <c r="C51" s="30">
        <f>TKB_Nhap!C51</f>
        <v/>
      </c>
      <c r="D51" s="30">
        <f>IF(TKB_Nhap!D51="","",IFERROR(T(INDEX(PhanCong!$B$3:$I$18,MATCH(TKB_Nhap!D51,PhanCong!$A$3:$A$18,0),MATCH($A51,PhanCong!$B$2:$I$2,0))),""))</f>
        <v/>
      </c>
      <c r="E51" s="30">
        <f>IF(TKB_Nhap!E51="","",IFERROR(T(INDEX(PhanCong!$B$3:$I$18,MATCH(TKB_Nhap!E51,PhanCong!$A$3:$A$18,0),MATCH($A51,PhanCong!$B$2:$I$2,0))),""))</f>
        <v/>
      </c>
      <c r="F51" s="30">
        <f>IF(TKB_Nhap!F51="","",IFERROR(T(INDEX(PhanCong!$B$3:$I$18,MATCH(TKB_Nhap!F51,PhanCong!$A$3:$A$18,0),MATCH($A51,PhanCong!$B$2:$I$2,0))),""))</f>
        <v/>
      </c>
      <c r="G51" s="30">
        <f>IF(TKB_Nhap!G51="","",IFERROR(T(INDEX(PhanCong!$B$3:$I$18,MATCH(TKB_Nhap!G51,PhanCong!$A$3:$A$18,0),MATCH($A51,PhanCong!$B$2:$I$2,0))),""))</f>
        <v/>
      </c>
      <c r="H51" s="30">
        <f>IF(TKB_Nhap!H51="","",IFERROR(T(INDEX(PhanCong!$B$3:$I$18,MATCH(TKB_Nhap!H51,PhanCong!$A$3:$A$18,0),MATCH($A51,PhanCong!$B$2:$I$2,0))),""))</f>
        <v/>
      </c>
      <c r="I51" s="30">
        <f>IF(TKB_Nhap!I51="","",IFERROR(T(INDEX(PhanCong!$B$3:$I$18,MATCH(TKB_Nhap!I51,PhanCong!$A$3:$A$18,0),MATCH($A51,PhanCong!$B$2:$I$2,0))),""))</f>
        <v/>
      </c>
      <c r="J51" s="30" t="n"/>
      <c r="L51" s="39" t="n"/>
      <c r="M51" s="39" t="n"/>
      <c r="N51" s="39" t="n"/>
      <c r="O51" s="39" t="n"/>
      <c r="P51" s="39" t="n"/>
      <c r="Q51" s="39" t="n"/>
      <c r="R51" s="39" t="n"/>
    </row>
    <row r="52" ht="15" customHeight="1">
      <c r="A52" s="30">
        <f>TKB_Nhap!A52</f>
        <v/>
      </c>
      <c r="B52" s="30">
        <f>TKB_Nhap!B52</f>
        <v/>
      </c>
      <c r="C52" s="30">
        <f>TKB_Nhap!C52</f>
        <v/>
      </c>
      <c r="D52" s="30">
        <f>IF(TKB_Nhap!D52="","",IFERROR(T(INDEX(PhanCong!$B$3:$I$18,MATCH(TKB_Nhap!D52,PhanCong!$A$3:$A$18,0),MATCH($A52,PhanCong!$B$2:$I$2,0))),""))</f>
        <v/>
      </c>
      <c r="E52" s="30">
        <f>IF(TKB_Nhap!E52="","",IFERROR(T(INDEX(PhanCong!$B$3:$I$18,MATCH(TKB_Nhap!E52,PhanCong!$A$3:$A$18,0),MATCH($A52,PhanCong!$B$2:$I$2,0))),""))</f>
        <v/>
      </c>
      <c r="F52" s="30">
        <f>IF(TKB_Nhap!F52="","",IFERROR(T(INDEX(PhanCong!$B$3:$I$18,MATCH(TKB_Nhap!F52,PhanCong!$A$3:$A$18,0),MATCH($A52,PhanCong!$B$2:$I$2,0))),""))</f>
        <v/>
      </c>
      <c r="G52" s="30">
        <f>IF(TKB_Nhap!G52="","",IFERROR(T(INDEX(PhanCong!$B$3:$I$18,MATCH(TKB_Nhap!G52,PhanCong!$A$3:$A$18,0),MATCH($A52,PhanCong!$B$2:$I$2,0))),""))</f>
        <v/>
      </c>
      <c r="H52" s="30">
        <f>IF(TKB_Nhap!H52="","",IFERROR(T(INDEX(PhanCong!$B$3:$I$18,MATCH(TKB_Nhap!H52,PhanCong!$A$3:$A$18,0),MATCH($A52,PhanCong!$B$2:$I$2,0))),""))</f>
        <v/>
      </c>
      <c r="I52" s="30">
        <f>IF(TKB_Nhap!I52="","",IFERROR(T(INDEX(PhanCong!$B$3:$I$18,MATCH(TKB_Nhap!I52,PhanCong!$A$3:$A$18,0),MATCH($A52,PhanCong!$B$2:$I$2,0))),""))</f>
        <v/>
      </c>
      <c r="J52" s="30" t="n"/>
      <c r="L52" s="39" t="n"/>
      <c r="M52" s="39" t="n"/>
      <c r="N52" s="39" t="n"/>
      <c r="O52" s="39" t="n"/>
      <c r="P52" s="39" t="n"/>
      <c r="Q52" s="39" t="n"/>
      <c r="R52" s="39" t="n"/>
    </row>
    <row r="53" ht="15" customHeight="1">
      <c r="A53" s="30">
        <f>TKB_Nhap!A53</f>
        <v/>
      </c>
      <c r="B53" s="30">
        <f>TKB_Nhap!B53</f>
        <v/>
      </c>
      <c r="C53" s="30">
        <f>TKB_Nhap!C53</f>
        <v/>
      </c>
      <c r="D53" s="30">
        <f>IF(TKB_Nhap!D53="","",IFERROR(T(INDEX(PhanCong!$B$3:$I$18,MATCH(TKB_Nhap!D53,PhanCong!$A$3:$A$18,0),MATCH($A53,PhanCong!$B$2:$I$2,0))),""))</f>
        <v/>
      </c>
      <c r="E53" s="30">
        <f>IF(TKB_Nhap!E53="","",IFERROR(T(INDEX(PhanCong!$B$3:$I$18,MATCH(TKB_Nhap!E53,PhanCong!$A$3:$A$18,0),MATCH($A53,PhanCong!$B$2:$I$2,0))),""))</f>
        <v/>
      </c>
      <c r="F53" s="30">
        <f>IF(TKB_Nhap!F53="","",IFERROR(T(INDEX(PhanCong!$B$3:$I$18,MATCH(TKB_Nhap!F53,PhanCong!$A$3:$A$18,0),MATCH($A53,PhanCong!$B$2:$I$2,0))),""))</f>
        <v/>
      </c>
      <c r="G53" s="30">
        <f>IF(TKB_Nhap!G53="","",IFERROR(T(INDEX(PhanCong!$B$3:$I$18,MATCH(TKB_Nhap!G53,PhanCong!$A$3:$A$18,0),MATCH($A53,PhanCong!$B$2:$I$2,0))),""))</f>
        <v/>
      </c>
      <c r="H53" s="30">
        <f>IF(TKB_Nhap!H53="","",IFERROR(T(INDEX(PhanCong!$B$3:$I$18,MATCH(TKB_Nhap!H53,PhanCong!$A$3:$A$18,0),MATCH($A53,PhanCong!$B$2:$I$2,0))),""))</f>
        <v/>
      </c>
      <c r="I53" s="30">
        <f>IF(TKB_Nhap!I53="","",IFERROR(T(INDEX(PhanCong!$B$3:$I$18,MATCH(TKB_Nhap!I53,PhanCong!$A$3:$A$18,0),MATCH($A53,PhanCong!$B$2:$I$2,0))),""))</f>
        <v/>
      </c>
      <c r="J53" s="30" t="n"/>
      <c r="L53" s="39" t="n"/>
      <c r="M53" s="39" t="n"/>
      <c r="N53" s="39" t="n"/>
      <c r="O53" s="39" t="n"/>
      <c r="P53" s="39" t="n"/>
      <c r="Q53" s="39" t="n"/>
      <c r="R53" s="39" t="n"/>
    </row>
    <row r="54" ht="15" customHeight="1">
      <c r="A54" s="30">
        <f>TKB_Nhap!A54</f>
        <v/>
      </c>
      <c r="B54" s="30">
        <f>TKB_Nhap!B54</f>
        <v/>
      </c>
      <c r="C54" s="30">
        <f>TKB_Nhap!C54</f>
        <v/>
      </c>
      <c r="D54" s="30">
        <f>IF(TKB_Nhap!D54="","",IFERROR(T(INDEX(PhanCong!$B$3:$I$18,MATCH(TKB_Nhap!D54,PhanCong!$A$3:$A$18,0),MATCH($A54,PhanCong!$B$2:$I$2,0))),""))</f>
        <v/>
      </c>
      <c r="E54" s="30">
        <f>IF(TKB_Nhap!E54="","",IFERROR(T(INDEX(PhanCong!$B$3:$I$18,MATCH(TKB_Nhap!E54,PhanCong!$A$3:$A$18,0),MATCH($A54,PhanCong!$B$2:$I$2,0))),""))</f>
        <v/>
      </c>
      <c r="F54" s="30">
        <f>IF(TKB_Nhap!F54="","",IFERROR(T(INDEX(PhanCong!$B$3:$I$18,MATCH(TKB_Nhap!F54,PhanCong!$A$3:$A$18,0),MATCH($A54,PhanCong!$B$2:$I$2,0))),""))</f>
        <v/>
      </c>
      <c r="G54" s="30">
        <f>IF(TKB_Nhap!G54="","",IFERROR(T(INDEX(PhanCong!$B$3:$I$18,MATCH(TKB_Nhap!G54,PhanCong!$A$3:$A$18,0),MATCH($A54,PhanCong!$B$2:$I$2,0))),""))</f>
        <v/>
      </c>
      <c r="H54" s="30">
        <f>IF(TKB_Nhap!H54="","",IFERROR(T(INDEX(PhanCong!$B$3:$I$18,MATCH(TKB_Nhap!H54,PhanCong!$A$3:$A$18,0),MATCH($A54,PhanCong!$B$2:$I$2,0))),""))</f>
        <v/>
      </c>
      <c r="I54" s="30">
        <f>IF(TKB_Nhap!I54="","",IFERROR(T(INDEX(PhanCong!$B$3:$I$18,MATCH(TKB_Nhap!I54,PhanCong!$A$3:$A$18,0),MATCH($A54,PhanCong!$B$2:$I$2,0))),""))</f>
        <v/>
      </c>
      <c r="J54" s="30" t="n"/>
      <c r="L54" s="39" t="n"/>
      <c r="M54" s="39" t="n"/>
      <c r="N54" s="39" t="n"/>
      <c r="O54" s="39" t="n"/>
      <c r="P54" s="39" t="n"/>
      <c r="Q54" s="39" t="n"/>
      <c r="R54" s="39" t="n"/>
    </row>
    <row r="55" ht="15" customHeight="1">
      <c r="A55" s="30">
        <f>TKB_Nhap!A55</f>
        <v/>
      </c>
      <c r="B55" s="30">
        <f>TKB_Nhap!B55</f>
        <v/>
      </c>
      <c r="C55" s="30">
        <f>TKB_Nhap!C55</f>
        <v/>
      </c>
      <c r="D55" s="30">
        <f>IF(TKB_Nhap!D55="","",IFERROR(T(INDEX(PhanCong!$B$3:$I$18,MATCH(TKB_Nhap!D55,PhanCong!$A$3:$A$18,0),MATCH($A55,PhanCong!$B$2:$I$2,0))),""))</f>
        <v/>
      </c>
      <c r="E55" s="30">
        <f>IF(TKB_Nhap!E55="","",IFERROR(T(INDEX(PhanCong!$B$3:$I$18,MATCH(TKB_Nhap!E55,PhanCong!$A$3:$A$18,0),MATCH($A55,PhanCong!$B$2:$I$2,0))),""))</f>
        <v/>
      </c>
      <c r="F55" s="30">
        <f>IF(TKB_Nhap!F55="","",IFERROR(T(INDEX(PhanCong!$B$3:$I$18,MATCH(TKB_Nhap!F55,PhanCong!$A$3:$A$18,0),MATCH($A55,PhanCong!$B$2:$I$2,0))),""))</f>
        <v/>
      </c>
      <c r="G55" s="30">
        <f>IF(TKB_Nhap!G55="","",IFERROR(T(INDEX(PhanCong!$B$3:$I$18,MATCH(TKB_Nhap!G55,PhanCong!$A$3:$A$18,0),MATCH($A55,PhanCong!$B$2:$I$2,0))),""))</f>
        <v/>
      </c>
      <c r="H55" s="30">
        <f>IF(TKB_Nhap!H55="","",IFERROR(T(INDEX(PhanCong!$B$3:$I$18,MATCH(TKB_Nhap!H55,PhanCong!$A$3:$A$18,0),MATCH($A55,PhanCong!$B$2:$I$2,0))),""))</f>
        <v/>
      </c>
      <c r="I55" s="30">
        <f>IF(TKB_Nhap!I55="","",IFERROR(T(INDEX(PhanCong!$B$3:$I$18,MATCH(TKB_Nhap!I55,PhanCong!$A$3:$A$18,0),MATCH($A55,PhanCong!$B$2:$I$2,0))),""))</f>
        <v/>
      </c>
      <c r="J55" s="30" t="n"/>
      <c r="L55" s="39" t="n"/>
      <c r="M55" s="39" t="n"/>
      <c r="N55" s="39" t="n"/>
      <c r="O55" s="39" t="n"/>
      <c r="P55" s="39" t="n"/>
      <c r="Q55" s="39" t="n"/>
      <c r="R55" s="39" t="n"/>
    </row>
    <row r="56" ht="15" customHeight="1">
      <c r="A56" s="30">
        <f>TKB_Nhap!A56</f>
        <v/>
      </c>
      <c r="B56" s="30">
        <f>TKB_Nhap!B56</f>
        <v/>
      </c>
      <c r="C56" s="30">
        <f>TKB_Nhap!C56</f>
        <v/>
      </c>
      <c r="D56" s="30">
        <f>IF(TKB_Nhap!D56="","",IFERROR(T(INDEX(PhanCong!$B$3:$I$18,MATCH(TKB_Nhap!D56,PhanCong!$A$3:$A$18,0),MATCH($A56,PhanCong!$B$2:$I$2,0))),""))</f>
        <v/>
      </c>
      <c r="E56" s="30">
        <f>IF(TKB_Nhap!E56="","",IFERROR(T(INDEX(PhanCong!$B$3:$I$18,MATCH(TKB_Nhap!E56,PhanCong!$A$3:$A$18,0),MATCH($A56,PhanCong!$B$2:$I$2,0))),""))</f>
        <v/>
      </c>
      <c r="F56" s="30">
        <f>IF(TKB_Nhap!F56="","",IFERROR(T(INDEX(PhanCong!$B$3:$I$18,MATCH(TKB_Nhap!F56,PhanCong!$A$3:$A$18,0),MATCH($A56,PhanCong!$B$2:$I$2,0))),""))</f>
        <v/>
      </c>
      <c r="G56" s="30">
        <f>IF(TKB_Nhap!G56="","",IFERROR(T(INDEX(PhanCong!$B$3:$I$18,MATCH(TKB_Nhap!G56,PhanCong!$A$3:$A$18,0),MATCH($A56,PhanCong!$B$2:$I$2,0))),""))</f>
        <v/>
      </c>
      <c r="H56" s="30">
        <f>IF(TKB_Nhap!H56="","",IFERROR(T(INDEX(PhanCong!$B$3:$I$18,MATCH(TKB_Nhap!H56,PhanCong!$A$3:$A$18,0),MATCH($A56,PhanCong!$B$2:$I$2,0))),""))</f>
        <v/>
      </c>
      <c r="I56" s="30">
        <f>IF(TKB_Nhap!I56="","",IFERROR(T(INDEX(PhanCong!$B$3:$I$18,MATCH(TKB_Nhap!I56,PhanCong!$A$3:$A$18,0),MATCH($A56,PhanCong!$B$2:$I$2,0))),""))</f>
        <v/>
      </c>
      <c r="J56" s="30" t="n"/>
      <c r="L56" s="39" t="n"/>
      <c r="M56" s="39" t="n"/>
      <c r="N56" s="39" t="n"/>
      <c r="O56" s="39" t="n"/>
      <c r="P56" s="39" t="n"/>
      <c r="Q56" s="39" t="n"/>
      <c r="R56" s="39" t="n"/>
    </row>
    <row r="57" ht="15" customHeight="1">
      <c r="A57" s="30">
        <f>TKB_Nhap!A57</f>
        <v/>
      </c>
      <c r="B57" s="30">
        <f>TKB_Nhap!B57</f>
        <v/>
      </c>
      <c r="C57" s="30">
        <f>TKB_Nhap!C57</f>
        <v/>
      </c>
      <c r="D57" s="30">
        <f>IF(TKB_Nhap!D57="","",IFERROR(T(INDEX(PhanCong!$B$3:$I$18,MATCH(TKB_Nhap!D57,PhanCong!$A$3:$A$18,0),MATCH($A57,PhanCong!$B$2:$I$2,0))),""))</f>
        <v/>
      </c>
      <c r="E57" s="30">
        <f>IF(TKB_Nhap!E57="","",IFERROR(T(INDEX(PhanCong!$B$3:$I$18,MATCH(TKB_Nhap!E57,PhanCong!$A$3:$A$18,0),MATCH($A57,PhanCong!$B$2:$I$2,0))),""))</f>
        <v/>
      </c>
      <c r="F57" s="30">
        <f>IF(TKB_Nhap!F57="","",IFERROR(T(INDEX(PhanCong!$B$3:$I$18,MATCH(TKB_Nhap!F57,PhanCong!$A$3:$A$18,0),MATCH($A57,PhanCong!$B$2:$I$2,0))),""))</f>
        <v/>
      </c>
      <c r="G57" s="30">
        <f>IF(TKB_Nhap!G57="","",IFERROR(T(INDEX(PhanCong!$B$3:$I$18,MATCH(TKB_Nhap!G57,PhanCong!$A$3:$A$18,0),MATCH($A57,PhanCong!$B$2:$I$2,0))),""))</f>
        <v/>
      </c>
      <c r="H57" s="30">
        <f>IF(TKB_Nhap!H57="","",IFERROR(T(INDEX(PhanCong!$B$3:$I$18,MATCH(TKB_Nhap!H57,PhanCong!$A$3:$A$18,0),MATCH($A57,PhanCong!$B$2:$I$2,0))),""))</f>
        <v/>
      </c>
      <c r="I57" s="30">
        <f>IF(TKB_Nhap!I57="","",IFERROR(T(INDEX(PhanCong!$B$3:$I$18,MATCH(TKB_Nhap!I57,PhanCong!$A$3:$A$18,0),MATCH($A57,PhanCong!$B$2:$I$2,0))),""))</f>
        <v/>
      </c>
      <c r="J57" s="30" t="n"/>
      <c r="L57" s="39" t="n"/>
      <c r="M57" s="39" t="n"/>
      <c r="N57" s="39" t="n"/>
      <c r="O57" s="39" t="n"/>
      <c r="P57" s="39" t="n"/>
      <c r="Q57" s="39" t="n"/>
      <c r="R57" s="39" t="n"/>
    </row>
    <row r="58" ht="15" customHeight="1">
      <c r="A58" s="36" t="n"/>
      <c r="B58" s="36" t="n"/>
      <c r="C58" s="36" t="n"/>
      <c r="D58" s="36" t="n"/>
      <c r="E58" s="36" t="n"/>
      <c r="F58" s="36" t="n"/>
      <c r="G58" s="36" t="n"/>
      <c r="H58" s="36" t="n"/>
      <c r="I58" s="36" t="n"/>
      <c r="J58" s="36" t="n"/>
      <c r="L58" s="39" t="n"/>
      <c r="M58" s="39" t="n"/>
      <c r="N58" s="39" t="n"/>
      <c r="O58" s="39" t="n"/>
      <c r="P58" s="39" t="n"/>
      <c r="Q58" s="39" t="n"/>
      <c r="R58" s="39" t="n"/>
    </row>
    <row r="59" ht="15" customHeight="1">
      <c r="A59" s="36" t="n"/>
      <c r="B59" s="36" t="n"/>
      <c r="C59" s="36" t="n"/>
      <c r="D59" s="36" t="n"/>
      <c r="E59" s="36" t="n"/>
      <c r="F59" s="36" t="n"/>
      <c r="G59" s="36" t="n"/>
      <c r="H59" s="36" t="n"/>
      <c r="I59" s="36" t="n"/>
      <c r="J59" s="36" t="n"/>
      <c r="L59" s="39" t="n"/>
      <c r="M59" s="39" t="n"/>
      <c r="N59" s="39" t="n"/>
      <c r="O59" s="39" t="n"/>
      <c r="P59" s="39" t="n"/>
      <c r="Q59" s="39" t="n"/>
      <c r="R59" s="39" t="n"/>
    </row>
    <row r="60" ht="15" customHeight="1">
      <c r="A60" s="36" t="n"/>
      <c r="B60" s="36" t="n"/>
      <c r="C60" s="36" t="n"/>
      <c r="D60" s="36" t="n"/>
      <c r="E60" s="36" t="n"/>
      <c r="F60" s="36" t="n"/>
      <c r="G60" s="36" t="n"/>
      <c r="H60" s="36" t="n"/>
      <c r="I60" s="36" t="n"/>
      <c r="J60" s="36" t="n"/>
      <c r="L60" s="39" t="n"/>
      <c r="M60" s="39" t="n"/>
      <c r="N60" s="39" t="n"/>
      <c r="O60" s="39" t="n"/>
      <c r="P60" s="39" t="n"/>
      <c r="Q60" s="39" t="n"/>
      <c r="R60" s="39" t="n"/>
    </row>
    <row r="61" ht="15" customHeight="1">
      <c r="A61" s="36" t="n"/>
      <c r="B61" s="36" t="n"/>
      <c r="C61" s="36" t="n"/>
      <c r="D61" s="36" t="n"/>
      <c r="E61" s="36" t="n"/>
      <c r="F61" s="36" t="n"/>
      <c r="G61" s="36" t="n"/>
      <c r="H61" s="36" t="n"/>
      <c r="I61" s="36" t="n"/>
      <c r="J61" s="36" t="n"/>
      <c r="L61" s="39" t="n"/>
      <c r="M61" s="39" t="n"/>
      <c r="N61" s="39" t="n"/>
      <c r="O61" s="39" t="n"/>
      <c r="P61" s="39" t="n"/>
      <c r="Q61" s="39" t="n"/>
      <c r="R61" s="39" t="n"/>
    </row>
    <row r="62" ht="15" customHeight="1">
      <c r="A62" s="36" t="n"/>
      <c r="B62" s="36" t="n"/>
      <c r="C62" s="36" t="n"/>
      <c r="D62" s="36" t="n"/>
      <c r="E62" s="36" t="n"/>
      <c r="F62" s="36" t="n"/>
      <c r="G62" s="36" t="n"/>
      <c r="H62" s="36" t="n"/>
      <c r="I62" s="36" t="n"/>
      <c r="J62" s="36" t="n"/>
      <c r="L62" s="39" t="n"/>
      <c r="M62" s="39" t="n"/>
      <c r="N62" s="39" t="n"/>
      <c r="O62" s="39" t="n"/>
      <c r="P62" s="39" t="n"/>
      <c r="Q62" s="39" t="n"/>
      <c r="R62" s="39" t="n"/>
    </row>
    <row r="63" ht="15" customHeight="1">
      <c r="A63" s="36" t="n"/>
      <c r="B63" s="36" t="n"/>
      <c r="C63" s="36" t="n"/>
      <c r="D63" s="36" t="n"/>
      <c r="E63" s="36" t="n"/>
      <c r="F63" s="36" t="n"/>
      <c r="G63" s="36" t="n"/>
      <c r="H63" s="36" t="n"/>
      <c r="I63" s="36" t="n"/>
      <c r="J63" s="36" t="n"/>
      <c r="L63" s="39" t="n"/>
      <c r="M63" s="39" t="n"/>
      <c r="N63" s="39" t="n"/>
      <c r="O63" s="39" t="n"/>
      <c r="P63" s="39" t="n"/>
      <c r="Q63" s="39" t="n"/>
      <c r="R63" s="39" t="n"/>
    </row>
    <row r="64" ht="15" customHeight="1">
      <c r="A64" s="36" t="n"/>
      <c r="B64" s="36" t="n"/>
      <c r="C64" s="36" t="n"/>
      <c r="D64" s="36" t="n"/>
      <c r="E64" s="36" t="n"/>
      <c r="F64" s="36" t="n"/>
      <c r="G64" s="36" t="n"/>
      <c r="H64" s="36" t="n"/>
      <c r="I64" s="36" t="n"/>
      <c r="J64" s="36" t="n"/>
      <c r="L64" s="39" t="n"/>
      <c r="M64" s="39" t="n"/>
      <c r="N64" s="39" t="n"/>
      <c r="O64" s="39" t="n"/>
      <c r="P64" s="39" t="n"/>
      <c r="Q64" s="39" t="n"/>
      <c r="R64" s="39" t="n"/>
    </row>
    <row r="65" ht="15" customHeight="1">
      <c r="A65" s="36" t="n"/>
      <c r="B65" s="36" t="n"/>
      <c r="C65" s="36" t="n"/>
      <c r="D65" s="36" t="n"/>
      <c r="E65" s="36" t="n"/>
      <c r="F65" s="36" t="n"/>
      <c r="G65" s="36" t="n"/>
      <c r="H65" s="36" t="n"/>
      <c r="I65" s="36" t="n"/>
      <c r="J65" s="36" t="n"/>
      <c r="L65" s="39" t="n"/>
      <c r="M65" s="39" t="n"/>
      <c r="N65" s="39" t="n"/>
      <c r="O65" s="39" t="n"/>
      <c r="P65" s="39" t="n"/>
      <c r="Q65" s="39" t="n"/>
      <c r="R65" s="39" t="n"/>
    </row>
    <row r="66" ht="15" customHeight="1">
      <c r="A66" s="30" t="n"/>
      <c r="B66" s="30" t="n"/>
      <c r="C66" s="30" t="n"/>
      <c r="D66" s="30" t="n"/>
      <c r="E66" s="30" t="n"/>
      <c r="F66" s="30" t="n"/>
      <c r="G66" s="30" t="n"/>
      <c r="H66" s="30" t="n"/>
      <c r="I66" s="30" t="n"/>
      <c r="J66" s="30" t="n"/>
      <c r="L66" s="39" t="n"/>
      <c r="M66" s="39" t="n"/>
      <c r="N66" s="39" t="n"/>
      <c r="O66" s="39" t="n"/>
      <c r="P66" s="39" t="n"/>
      <c r="Q66" s="39" t="n"/>
      <c r="R66" s="39" t="n"/>
    </row>
    <row r="67" ht="15" customHeight="1">
      <c r="A67" s="30" t="n"/>
      <c r="B67" s="30" t="n"/>
      <c r="C67" s="30" t="n"/>
      <c r="D67" s="30" t="n"/>
      <c r="E67" s="30" t="n"/>
      <c r="F67" s="30" t="n"/>
      <c r="G67" s="30" t="n"/>
      <c r="H67" s="30" t="n"/>
      <c r="I67" s="30" t="n"/>
      <c r="J67" s="30" t="n"/>
      <c r="L67" s="39" t="n"/>
      <c r="M67" s="39" t="n"/>
      <c r="N67" s="39" t="n"/>
      <c r="O67" s="39" t="n"/>
      <c r="P67" s="39" t="n"/>
      <c r="Q67" s="39" t="n"/>
      <c r="R67" s="39" t="n"/>
    </row>
    <row r="68" ht="15" customHeight="1">
      <c r="A68" s="30" t="n"/>
      <c r="B68" s="30" t="n"/>
      <c r="C68" s="30" t="n"/>
      <c r="D68" s="30" t="n"/>
      <c r="E68" s="30" t="n"/>
      <c r="F68" s="30" t="n"/>
      <c r="G68" s="30" t="n"/>
      <c r="H68" s="30" t="n"/>
      <c r="I68" s="30" t="n"/>
      <c r="J68" s="30" t="n"/>
      <c r="L68" s="39" t="n"/>
      <c r="M68" s="39" t="n"/>
      <c r="N68" s="39" t="n"/>
      <c r="O68" s="39" t="n"/>
      <c r="P68" s="39" t="n"/>
      <c r="Q68" s="39" t="n"/>
      <c r="R68" s="39" t="n"/>
    </row>
    <row r="69" ht="15" customHeight="1">
      <c r="A69" s="30" t="n"/>
      <c r="B69" s="30" t="n"/>
      <c r="C69" s="30" t="n"/>
      <c r="D69" s="30" t="n"/>
      <c r="E69" s="30" t="n"/>
      <c r="F69" s="30" t="n"/>
      <c r="G69" s="30" t="n"/>
      <c r="H69" s="30" t="n"/>
      <c r="I69" s="30" t="n"/>
      <c r="J69" s="30" t="n"/>
      <c r="L69" s="39" t="n"/>
      <c r="M69" s="39" t="n"/>
      <c r="N69" s="39" t="n"/>
      <c r="O69" s="39" t="n"/>
      <c r="P69" s="39" t="n"/>
      <c r="Q69" s="39" t="n"/>
      <c r="R69" s="39" t="n"/>
    </row>
    <row r="70" ht="15" customHeight="1">
      <c r="A70" s="30" t="n"/>
      <c r="B70" s="30" t="n"/>
      <c r="C70" s="30" t="n"/>
      <c r="D70" s="30" t="n"/>
      <c r="E70" s="30" t="n"/>
      <c r="F70" s="30" t="n"/>
      <c r="G70" s="30" t="n"/>
      <c r="H70" s="30" t="n"/>
      <c r="I70" s="30" t="n"/>
      <c r="J70" s="30" t="n"/>
      <c r="L70" s="39" t="n"/>
      <c r="M70" s="39" t="n"/>
      <c r="N70" s="39" t="n"/>
      <c r="O70" s="39" t="n"/>
      <c r="P70" s="39" t="n"/>
      <c r="Q70" s="39" t="n"/>
      <c r="R70" s="39" t="n"/>
    </row>
    <row r="71" ht="15" customHeight="1">
      <c r="A71" s="30" t="n"/>
      <c r="B71" s="30" t="n"/>
      <c r="C71" s="30" t="n"/>
      <c r="D71" s="30" t="n"/>
      <c r="E71" s="30" t="n"/>
      <c r="F71" s="30" t="n"/>
      <c r="G71" s="30" t="n"/>
      <c r="H71" s="30" t="n"/>
      <c r="I71" s="30" t="n"/>
      <c r="J71" s="30" t="n"/>
      <c r="L71" s="39" t="n"/>
      <c r="M71" s="39" t="n"/>
      <c r="N71" s="39" t="n"/>
      <c r="O71" s="39" t="n"/>
      <c r="P71" s="39" t="n"/>
      <c r="Q71" s="39" t="n"/>
      <c r="R71" s="39" t="n"/>
    </row>
    <row r="72" ht="15" customHeight="1">
      <c r="A72" s="30" t="n"/>
      <c r="B72" s="30" t="n"/>
      <c r="C72" s="30" t="n"/>
      <c r="D72" s="30" t="n"/>
      <c r="E72" s="30" t="n"/>
      <c r="F72" s="30" t="n"/>
      <c r="G72" s="30" t="n"/>
      <c r="H72" s="30" t="n"/>
      <c r="I72" s="30" t="n"/>
      <c r="J72" s="30" t="n"/>
      <c r="L72" s="39" t="n"/>
      <c r="M72" s="39" t="n"/>
      <c r="N72" s="39" t="n"/>
      <c r="O72" s="39" t="n"/>
      <c r="P72" s="39" t="n"/>
      <c r="Q72" s="39" t="n"/>
      <c r="R72" s="39" t="n"/>
    </row>
    <row r="73" ht="15" customHeight="1">
      <c r="A73" s="30" t="n"/>
      <c r="B73" s="30" t="n"/>
      <c r="C73" s="30" t="n"/>
      <c r="D73" s="30" t="n"/>
      <c r="E73" s="30" t="n"/>
      <c r="F73" s="30" t="n"/>
      <c r="G73" s="30" t="n"/>
      <c r="H73" s="30" t="n"/>
      <c r="I73" s="30" t="n"/>
      <c r="J73" s="30" t="n"/>
      <c r="L73" s="39" t="n"/>
      <c r="M73" s="39" t="n"/>
      <c r="N73" s="39" t="n"/>
      <c r="O73" s="39" t="n"/>
      <c r="P73" s="39" t="n"/>
      <c r="Q73" s="39" t="n"/>
      <c r="R73" s="39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conditionalFormatting sqref="D2:J73">
    <cfRule type="expression" priority="2" dxfId="0">
      <formula>L2=1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J44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" sqref="A1:J1"/>
    </sheetView>
  </sheetViews>
  <sheetFormatPr baseColWidth="8" defaultColWidth="8.7109375" defaultRowHeight="15"/>
  <cols>
    <col width="32" customWidth="1" min="1" max="1"/>
    <col width="8" customWidth="1" min="2" max="10"/>
  </cols>
  <sheetData>
    <row r="1" ht="15.75" customHeight="1">
      <c r="A1" s="2" t="inlineStr">
        <is>
          <t>KIỂM TRA — Định mức theo TuanConfig!B2 (C/L). Chênh lệch=Đã xếp−Định mức (0=đạt)</t>
        </is>
      </c>
    </row>
    <row r="2" ht="15" customHeight="1"/>
    <row r="3" ht="15" customHeight="1">
      <c r="A3" s="28" t="inlineStr">
        <is>
          <t>Môn \ Lớp</t>
        </is>
      </c>
      <c r="B3" s="11" t="inlineStr">
        <is>
          <t>6A5</t>
        </is>
      </c>
      <c r="C3" s="11" t="inlineStr">
        <is>
          <t>6A6</t>
        </is>
      </c>
      <c r="D3" s="11" t="inlineStr">
        <is>
          <t>7A4</t>
        </is>
      </c>
      <c r="E3" s="11" t="inlineStr">
        <is>
          <t>7A5</t>
        </is>
      </c>
      <c r="F3" s="11" t="inlineStr">
        <is>
          <t>8A5</t>
        </is>
      </c>
      <c r="G3" s="11" t="inlineStr">
        <is>
          <t>8A6</t>
        </is>
      </c>
      <c r="H3" s="11" t="inlineStr">
        <is>
          <t>9A5</t>
        </is>
      </c>
      <c r="I3" s="11" t="inlineStr">
        <is>
          <t>9A6</t>
        </is>
      </c>
      <c r="J3" s="11" t="n"/>
    </row>
    <row r="4" ht="15" customHeight="1">
      <c r="A4" s="26" t="inlineStr">
        <is>
          <t>Toán học</t>
        </is>
      </c>
      <c r="B4" s="30">
        <f>SUMPRODUCT((TKB_Nhap!$A$2:$A$57=B$3)*(TKB_Nhap!$D$2:$J$57=$A4))-IFERROR(N(IF(TuanConfig!$B$2="C",INDEX(SoTiet!$B$3:$I$18,MATCH($A4,SoTiet!$A$3:$A$18,0),1),INDEX(SoTiet!$K$3:$R$18,MATCH($A4,SoTiet!$A$3:$A$18,0),1))),0)</f>
        <v/>
      </c>
      <c r="C4" s="30">
        <f>SUMPRODUCT((TKB_Nhap!$A$2:$A$57=C$3)*(TKB_Nhap!$D$2:$J$57=$A4))-IFERROR(N(IF(TuanConfig!$B$2="C",INDEX(SoTiet!$B$3:$I$18,MATCH($A4,SoTiet!$A$3:$A$18,0),2),INDEX(SoTiet!$K$3:$R$18,MATCH($A4,SoTiet!$A$3:$A$18,0),2))),0)</f>
        <v/>
      </c>
      <c r="D4" s="30">
        <f>SUMPRODUCT((TKB_Nhap!$A$2:$A$57=D$3)*(TKB_Nhap!$D$2:$J$57=$A4))-IFERROR(N(IF(TuanConfig!$B$2="C",INDEX(SoTiet!$B$3:$I$18,MATCH($A4,SoTiet!$A$3:$A$18,0),3),INDEX(SoTiet!$K$3:$R$18,MATCH($A4,SoTiet!$A$3:$A$18,0),3))),0)</f>
        <v/>
      </c>
      <c r="E4" s="30">
        <f>SUMPRODUCT((TKB_Nhap!$A$2:$A$57=E$3)*(TKB_Nhap!$D$2:$J$57=$A4))-IFERROR(N(IF(TuanConfig!$B$2="C",INDEX(SoTiet!$B$3:$I$18,MATCH($A4,SoTiet!$A$3:$A$18,0),4),INDEX(SoTiet!$K$3:$R$18,MATCH($A4,SoTiet!$A$3:$A$18,0),4))),0)</f>
        <v/>
      </c>
      <c r="F4" s="30">
        <f>SUMPRODUCT((TKB_Nhap!$A$2:$A$57=F$3)*(TKB_Nhap!$D$2:$J$57=$A4))-IFERROR(N(IF(TuanConfig!$B$2="C",INDEX(SoTiet!$B$3:$I$18,MATCH($A4,SoTiet!$A$3:$A$18,0),5),INDEX(SoTiet!$K$3:$R$18,MATCH($A4,SoTiet!$A$3:$A$18,0),5))),0)</f>
        <v/>
      </c>
      <c r="G4" s="30">
        <f>SUMPRODUCT((TKB_Nhap!$A$2:$A$57=G$3)*(TKB_Nhap!$D$2:$J$57=$A4))-IFERROR(N(IF(TuanConfig!$B$2="C",INDEX(SoTiet!$B$3:$I$18,MATCH($A4,SoTiet!$A$3:$A$18,0),6),INDEX(SoTiet!$K$3:$R$18,MATCH($A4,SoTiet!$A$3:$A$18,0),6))),0)</f>
        <v/>
      </c>
      <c r="H4" s="30">
        <f>SUMPRODUCT((TKB_Nhap!$A$2:$A$57=H$3)*(TKB_Nhap!$D$2:$J$57=$A4))-IFERROR(N(IF(TuanConfig!$B$2="C",INDEX(SoTiet!$B$3:$I$18,MATCH($A4,SoTiet!$A$3:$A$18,0),7),INDEX(SoTiet!$K$3:$R$18,MATCH($A4,SoTiet!$A$3:$A$18,0),7))),0)</f>
        <v/>
      </c>
      <c r="I4" s="30">
        <f>SUMPRODUCT((TKB_Nhap!$A$2:$A$57=I$3)*(TKB_Nhap!$D$2:$J$57=$A4))-IFERROR(N(IF(TuanConfig!$B$2="C",INDEX(SoTiet!$B$3:$I$18,MATCH($A4,SoTiet!$A$3:$A$18,0),8),INDEX(SoTiet!$K$3:$R$18,MATCH($A4,SoTiet!$A$3:$A$18,0),8))),0)</f>
        <v/>
      </c>
      <c r="J4" s="30" t="n"/>
    </row>
    <row r="5" ht="15" customHeight="1">
      <c r="A5" s="26" t="inlineStr">
        <is>
          <t>Ngữ văn</t>
        </is>
      </c>
      <c r="B5" s="30">
        <f>SUMPRODUCT((TKB_Nhap!$A$2:$A$57=B$3)*(TKB_Nhap!$D$2:$J$57=$A5))-IFERROR(N(IF(TuanConfig!$B$2="C",INDEX(SoTiet!$B$3:$I$18,MATCH($A5,SoTiet!$A$3:$A$18,0),1),INDEX(SoTiet!$K$3:$R$18,MATCH($A5,SoTiet!$A$3:$A$18,0),1))),0)</f>
        <v/>
      </c>
      <c r="C5" s="30">
        <f>SUMPRODUCT((TKB_Nhap!$A$2:$A$57=C$3)*(TKB_Nhap!$D$2:$J$57=$A5))-IFERROR(N(IF(TuanConfig!$B$2="C",INDEX(SoTiet!$B$3:$I$18,MATCH($A5,SoTiet!$A$3:$A$18,0),2),INDEX(SoTiet!$K$3:$R$18,MATCH($A5,SoTiet!$A$3:$A$18,0),2))),0)</f>
        <v/>
      </c>
      <c r="D5" s="30">
        <f>SUMPRODUCT((TKB_Nhap!$A$2:$A$57=D$3)*(TKB_Nhap!$D$2:$J$57=$A5))-IFERROR(N(IF(TuanConfig!$B$2="C",INDEX(SoTiet!$B$3:$I$18,MATCH($A5,SoTiet!$A$3:$A$18,0),3),INDEX(SoTiet!$K$3:$R$18,MATCH($A5,SoTiet!$A$3:$A$18,0),3))),0)</f>
        <v/>
      </c>
      <c r="E5" s="30">
        <f>SUMPRODUCT((TKB_Nhap!$A$2:$A$57=E$3)*(TKB_Nhap!$D$2:$J$57=$A5))-IFERROR(N(IF(TuanConfig!$B$2="C",INDEX(SoTiet!$B$3:$I$18,MATCH($A5,SoTiet!$A$3:$A$18,0),4),INDEX(SoTiet!$K$3:$R$18,MATCH($A5,SoTiet!$A$3:$A$18,0),4))),0)</f>
        <v/>
      </c>
      <c r="F5" s="30">
        <f>SUMPRODUCT((TKB_Nhap!$A$2:$A$57=F$3)*(TKB_Nhap!$D$2:$J$57=$A5))-IFERROR(N(IF(TuanConfig!$B$2="C",INDEX(SoTiet!$B$3:$I$18,MATCH($A5,SoTiet!$A$3:$A$18,0),5),INDEX(SoTiet!$K$3:$R$18,MATCH($A5,SoTiet!$A$3:$A$18,0),5))),0)</f>
        <v/>
      </c>
      <c r="G5" s="30">
        <f>SUMPRODUCT((TKB_Nhap!$A$2:$A$57=G$3)*(TKB_Nhap!$D$2:$J$57=$A5))-IFERROR(N(IF(TuanConfig!$B$2="C",INDEX(SoTiet!$B$3:$I$18,MATCH($A5,SoTiet!$A$3:$A$18,0),6),INDEX(SoTiet!$K$3:$R$18,MATCH($A5,SoTiet!$A$3:$A$18,0),6))),0)</f>
        <v/>
      </c>
      <c r="H5" s="30">
        <f>SUMPRODUCT((TKB_Nhap!$A$2:$A$57=H$3)*(TKB_Nhap!$D$2:$J$57=$A5))-IFERROR(N(IF(TuanConfig!$B$2="C",INDEX(SoTiet!$B$3:$I$18,MATCH($A5,SoTiet!$A$3:$A$18,0),7),INDEX(SoTiet!$K$3:$R$18,MATCH($A5,SoTiet!$A$3:$A$18,0),7))),0)</f>
        <v/>
      </c>
      <c r="I5" s="30">
        <f>SUMPRODUCT((TKB_Nhap!$A$2:$A$57=I$3)*(TKB_Nhap!$D$2:$J$57=$A5))-IFERROR(N(IF(TuanConfig!$B$2="C",INDEX(SoTiet!$B$3:$I$18,MATCH($A5,SoTiet!$A$3:$A$18,0),8),INDEX(SoTiet!$K$3:$R$18,MATCH($A5,SoTiet!$A$3:$A$18,0),8))),0)</f>
        <v/>
      </c>
      <c r="J5" s="30" t="n"/>
    </row>
    <row r="6" ht="15" customHeight="1">
      <c r="A6" s="26" t="inlineStr">
        <is>
          <t>Ngoại ngữ</t>
        </is>
      </c>
      <c r="B6" s="30">
        <f>SUMPRODUCT((TKB_Nhap!$A$2:$A$57=B$3)*(TKB_Nhap!$D$2:$J$57=$A6))-IFERROR(N(IF(TuanConfig!$B$2="C",INDEX(SoTiet!$B$3:$I$18,MATCH($A6,SoTiet!$A$3:$A$18,0),1),INDEX(SoTiet!$K$3:$R$18,MATCH($A6,SoTiet!$A$3:$A$18,0),1))),0)</f>
        <v/>
      </c>
      <c r="C6" s="30">
        <f>SUMPRODUCT((TKB_Nhap!$A$2:$A$57=C$3)*(TKB_Nhap!$D$2:$J$57=$A6))-IFERROR(N(IF(TuanConfig!$B$2="C",INDEX(SoTiet!$B$3:$I$18,MATCH($A6,SoTiet!$A$3:$A$18,0),2),INDEX(SoTiet!$K$3:$R$18,MATCH($A6,SoTiet!$A$3:$A$18,0),2))),0)</f>
        <v/>
      </c>
      <c r="D6" s="30">
        <f>SUMPRODUCT((TKB_Nhap!$A$2:$A$57=D$3)*(TKB_Nhap!$D$2:$J$57=$A6))-IFERROR(N(IF(TuanConfig!$B$2="C",INDEX(SoTiet!$B$3:$I$18,MATCH($A6,SoTiet!$A$3:$A$18,0),3),INDEX(SoTiet!$K$3:$R$18,MATCH($A6,SoTiet!$A$3:$A$18,0),3))),0)</f>
        <v/>
      </c>
      <c r="E6" s="30">
        <f>SUMPRODUCT((TKB_Nhap!$A$2:$A$57=E$3)*(TKB_Nhap!$D$2:$J$57=$A6))-IFERROR(N(IF(TuanConfig!$B$2="C",INDEX(SoTiet!$B$3:$I$18,MATCH($A6,SoTiet!$A$3:$A$18,0),4),INDEX(SoTiet!$K$3:$R$18,MATCH($A6,SoTiet!$A$3:$A$18,0),4))),0)</f>
        <v/>
      </c>
      <c r="F6" s="30">
        <f>SUMPRODUCT((TKB_Nhap!$A$2:$A$57=F$3)*(TKB_Nhap!$D$2:$J$57=$A6))-IFERROR(N(IF(TuanConfig!$B$2="C",INDEX(SoTiet!$B$3:$I$18,MATCH($A6,SoTiet!$A$3:$A$18,0),5),INDEX(SoTiet!$K$3:$R$18,MATCH($A6,SoTiet!$A$3:$A$18,0),5))),0)</f>
        <v/>
      </c>
      <c r="G6" s="30">
        <f>SUMPRODUCT((TKB_Nhap!$A$2:$A$57=G$3)*(TKB_Nhap!$D$2:$J$57=$A6))-IFERROR(N(IF(TuanConfig!$B$2="C",INDEX(SoTiet!$B$3:$I$18,MATCH($A6,SoTiet!$A$3:$A$18,0),6),INDEX(SoTiet!$K$3:$R$18,MATCH($A6,SoTiet!$A$3:$A$18,0),6))),0)</f>
        <v/>
      </c>
      <c r="H6" s="30">
        <f>SUMPRODUCT((TKB_Nhap!$A$2:$A$57=H$3)*(TKB_Nhap!$D$2:$J$57=$A6))-IFERROR(N(IF(TuanConfig!$B$2="C",INDEX(SoTiet!$B$3:$I$18,MATCH($A6,SoTiet!$A$3:$A$18,0),7),INDEX(SoTiet!$K$3:$R$18,MATCH($A6,SoTiet!$A$3:$A$18,0),7))),0)</f>
        <v/>
      </c>
      <c r="I6" s="30">
        <f>SUMPRODUCT((TKB_Nhap!$A$2:$A$57=I$3)*(TKB_Nhap!$D$2:$J$57=$A6))-IFERROR(N(IF(TuanConfig!$B$2="C",INDEX(SoTiet!$B$3:$I$18,MATCH($A6,SoTiet!$A$3:$A$18,0),8),INDEX(SoTiet!$K$3:$R$18,MATCH($A6,SoTiet!$A$3:$A$18,0),8))),0)</f>
        <v/>
      </c>
      <c r="J6" s="30" t="n"/>
    </row>
    <row r="7" ht="15" customHeight="1">
      <c r="A7" s="26" t="inlineStr">
        <is>
          <t>Khoa học tự nhiên (Vật lý)</t>
        </is>
      </c>
      <c r="B7" s="30">
        <f>SUMPRODUCT((TKB_Nhap!$A$2:$A$57=B$3)*(TKB_Nhap!$D$2:$J$57=$A7))-IFERROR(N(IF(TuanConfig!$B$2="C",INDEX(SoTiet!$B$3:$I$18,MATCH($A7,SoTiet!$A$3:$A$18,0),1),INDEX(SoTiet!$K$3:$R$18,MATCH($A7,SoTiet!$A$3:$A$18,0),1))),0)</f>
        <v/>
      </c>
      <c r="C7" s="30">
        <f>SUMPRODUCT((TKB_Nhap!$A$2:$A$57=C$3)*(TKB_Nhap!$D$2:$J$57=$A7))-IFERROR(N(IF(TuanConfig!$B$2="C",INDEX(SoTiet!$B$3:$I$18,MATCH($A7,SoTiet!$A$3:$A$18,0),2),INDEX(SoTiet!$K$3:$R$18,MATCH($A7,SoTiet!$A$3:$A$18,0),2))),0)</f>
        <v/>
      </c>
      <c r="D7" s="30">
        <f>SUMPRODUCT((TKB_Nhap!$A$2:$A$57=D$3)*(TKB_Nhap!$D$2:$J$57=$A7))-IFERROR(N(IF(TuanConfig!$B$2="C",INDEX(SoTiet!$B$3:$I$18,MATCH($A7,SoTiet!$A$3:$A$18,0),3),INDEX(SoTiet!$K$3:$R$18,MATCH($A7,SoTiet!$A$3:$A$18,0),3))),0)</f>
        <v/>
      </c>
      <c r="E7" s="30">
        <f>SUMPRODUCT((TKB_Nhap!$A$2:$A$57=E$3)*(TKB_Nhap!$D$2:$J$57=$A7))-IFERROR(N(IF(TuanConfig!$B$2="C",INDEX(SoTiet!$B$3:$I$18,MATCH($A7,SoTiet!$A$3:$A$18,0),4),INDEX(SoTiet!$K$3:$R$18,MATCH($A7,SoTiet!$A$3:$A$18,0),4))),0)</f>
        <v/>
      </c>
      <c r="F7" s="30">
        <f>SUMPRODUCT((TKB_Nhap!$A$2:$A$57=F$3)*(TKB_Nhap!$D$2:$J$57=$A7))-IFERROR(N(IF(TuanConfig!$B$2="C",INDEX(SoTiet!$B$3:$I$18,MATCH($A7,SoTiet!$A$3:$A$18,0),5),INDEX(SoTiet!$K$3:$R$18,MATCH($A7,SoTiet!$A$3:$A$18,0),5))),0)</f>
        <v/>
      </c>
      <c r="G7" s="30">
        <f>SUMPRODUCT((TKB_Nhap!$A$2:$A$57=G$3)*(TKB_Nhap!$D$2:$J$57=$A7))-IFERROR(N(IF(TuanConfig!$B$2="C",INDEX(SoTiet!$B$3:$I$18,MATCH($A7,SoTiet!$A$3:$A$18,0),6),INDEX(SoTiet!$K$3:$R$18,MATCH($A7,SoTiet!$A$3:$A$18,0),6))),0)</f>
        <v/>
      </c>
      <c r="H7" s="30">
        <f>SUMPRODUCT((TKB_Nhap!$A$2:$A$57=H$3)*(TKB_Nhap!$D$2:$J$57=$A7))-IFERROR(N(IF(TuanConfig!$B$2="C",INDEX(SoTiet!$B$3:$I$18,MATCH($A7,SoTiet!$A$3:$A$18,0),7),INDEX(SoTiet!$K$3:$R$18,MATCH($A7,SoTiet!$A$3:$A$18,0),7))),0)</f>
        <v/>
      </c>
      <c r="I7" s="30">
        <f>SUMPRODUCT((TKB_Nhap!$A$2:$A$57=I$3)*(TKB_Nhap!$D$2:$J$57=$A7))-IFERROR(N(IF(TuanConfig!$B$2="C",INDEX(SoTiet!$B$3:$I$18,MATCH($A7,SoTiet!$A$3:$A$18,0),8),INDEX(SoTiet!$K$3:$R$18,MATCH($A7,SoTiet!$A$3:$A$18,0),8))),0)</f>
        <v/>
      </c>
      <c r="J7" s="30" t="n"/>
    </row>
    <row r="8" ht="15" customHeight="1">
      <c r="A8" s="26" t="inlineStr">
        <is>
          <t>Khoa học tự nhiên (Hoá học)</t>
        </is>
      </c>
      <c r="B8" s="30">
        <f>SUMPRODUCT((TKB_Nhap!$A$2:$A$57=B$3)*(TKB_Nhap!$D$2:$J$57=$A8))-IFERROR(N(IF(TuanConfig!$B$2="C",INDEX(SoTiet!$B$3:$I$18,MATCH($A8,SoTiet!$A$3:$A$18,0),1),INDEX(SoTiet!$K$3:$R$18,MATCH($A8,SoTiet!$A$3:$A$18,0),1))),0)</f>
        <v/>
      </c>
      <c r="C8" s="30">
        <f>SUMPRODUCT((TKB_Nhap!$A$2:$A$57=C$3)*(TKB_Nhap!$D$2:$J$57=$A8))-IFERROR(N(IF(TuanConfig!$B$2="C",INDEX(SoTiet!$B$3:$I$18,MATCH($A8,SoTiet!$A$3:$A$18,0),2),INDEX(SoTiet!$K$3:$R$18,MATCH($A8,SoTiet!$A$3:$A$18,0),2))),0)</f>
        <v/>
      </c>
      <c r="D8" s="30">
        <f>SUMPRODUCT((TKB_Nhap!$A$2:$A$57=D$3)*(TKB_Nhap!$D$2:$J$57=$A8))-IFERROR(N(IF(TuanConfig!$B$2="C",INDEX(SoTiet!$B$3:$I$18,MATCH($A8,SoTiet!$A$3:$A$18,0),3),INDEX(SoTiet!$K$3:$R$18,MATCH($A8,SoTiet!$A$3:$A$18,0),3))),0)</f>
        <v/>
      </c>
      <c r="E8" s="30">
        <f>SUMPRODUCT((TKB_Nhap!$A$2:$A$57=E$3)*(TKB_Nhap!$D$2:$J$57=$A8))-IFERROR(N(IF(TuanConfig!$B$2="C",INDEX(SoTiet!$B$3:$I$18,MATCH($A8,SoTiet!$A$3:$A$18,0),4),INDEX(SoTiet!$K$3:$R$18,MATCH($A8,SoTiet!$A$3:$A$18,0),4))),0)</f>
        <v/>
      </c>
      <c r="F8" s="30">
        <f>SUMPRODUCT((TKB_Nhap!$A$2:$A$57=F$3)*(TKB_Nhap!$D$2:$J$57=$A8))-IFERROR(N(IF(TuanConfig!$B$2="C",INDEX(SoTiet!$B$3:$I$18,MATCH($A8,SoTiet!$A$3:$A$18,0),5),INDEX(SoTiet!$K$3:$R$18,MATCH($A8,SoTiet!$A$3:$A$18,0),5))),0)</f>
        <v/>
      </c>
      <c r="G8" s="30">
        <f>SUMPRODUCT((TKB_Nhap!$A$2:$A$57=G$3)*(TKB_Nhap!$D$2:$J$57=$A8))-IFERROR(N(IF(TuanConfig!$B$2="C",INDEX(SoTiet!$B$3:$I$18,MATCH($A8,SoTiet!$A$3:$A$18,0),6),INDEX(SoTiet!$K$3:$R$18,MATCH($A8,SoTiet!$A$3:$A$18,0),6))),0)</f>
        <v/>
      </c>
      <c r="H8" s="30">
        <f>SUMPRODUCT((TKB_Nhap!$A$2:$A$57=H$3)*(TKB_Nhap!$D$2:$J$57=$A8))-IFERROR(N(IF(TuanConfig!$B$2="C",INDEX(SoTiet!$B$3:$I$18,MATCH($A8,SoTiet!$A$3:$A$18,0),7),INDEX(SoTiet!$K$3:$R$18,MATCH($A8,SoTiet!$A$3:$A$18,0),7))),0)</f>
        <v/>
      </c>
      <c r="I8" s="30">
        <f>SUMPRODUCT((TKB_Nhap!$A$2:$A$57=I$3)*(TKB_Nhap!$D$2:$J$57=$A8))-IFERROR(N(IF(TuanConfig!$B$2="C",INDEX(SoTiet!$B$3:$I$18,MATCH($A8,SoTiet!$A$3:$A$18,0),8),INDEX(SoTiet!$K$3:$R$18,MATCH($A8,SoTiet!$A$3:$A$18,0),8))),0)</f>
        <v/>
      </c>
      <c r="J8" s="30" t="n"/>
    </row>
    <row r="9" ht="15" customHeight="1">
      <c r="A9" s="26" t="inlineStr">
        <is>
          <t>Khoa học tự nhiên (Sinh học)</t>
        </is>
      </c>
      <c r="B9" s="30">
        <f>SUMPRODUCT((TKB_Nhap!$A$2:$A$57=B$3)*(TKB_Nhap!$D$2:$J$57=$A9))-IFERROR(N(IF(TuanConfig!$B$2="C",INDEX(SoTiet!$B$3:$I$18,MATCH($A9,SoTiet!$A$3:$A$18,0),1),INDEX(SoTiet!$K$3:$R$18,MATCH($A9,SoTiet!$A$3:$A$18,0),1))),0)</f>
        <v/>
      </c>
      <c r="C9" s="30">
        <f>SUMPRODUCT((TKB_Nhap!$A$2:$A$57=C$3)*(TKB_Nhap!$D$2:$J$57=$A9))-IFERROR(N(IF(TuanConfig!$B$2="C",INDEX(SoTiet!$B$3:$I$18,MATCH($A9,SoTiet!$A$3:$A$18,0),2),INDEX(SoTiet!$K$3:$R$18,MATCH($A9,SoTiet!$A$3:$A$18,0),2))),0)</f>
        <v/>
      </c>
      <c r="D9" s="30">
        <f>SUMPRODUCT((TKB_Nhap!$A$2:$A$57=D$3)*(TKB_Nhap!$D$2:$J$57=$A9))-IFERROR(N(IF(TuanConfig!$B$2="C",INDEX(SoTiet!$B$3:$I$18,MATCH($A9,SoTiet!$A$3:$A$18,0),3),INDEX(SoTiet!$K$3:$R$18,MATCH($A9,SoTiet!$A$3:$A$18,0),3))),0)</f>
        <v/>
      </c>
      <c r="E9" s="30">
        <f>SUMPRODUCT((TKB_Nhap!$A$2:$A$57=E$3)*(TKB_Nhap!$D$2:$J$57=$A9))-IFERROR(N(IF(TuanConfig!$B$2="C",INDEX(SoTiet!$B$3:$I$18,MATCH($A9,SoTiet!$A$3:$A$18,0),4),INDEX(SoTiet!$K$3:$R$18,MATCH($A9,SoTiet!$A$3:$A$18,0),4))),0)</f>
        <v/>
      </c>
      <c r="F9" s="30">
        <f>SUMPRODUCT((TKB_Nhap!$A$2:$A$57=F$3)*(TKB_Nhap!$D$2:$J$57=$A9))-IFERROR(N(IF(TuanConfig!$B$2="C",INDEX(SoTiet!$B$3:$I$18,MATCH($A9,SoTiet!$A$3:$A$18,0),5),INDEX(SoTiet!$K$3:$R$18,MATCH($A9,SoTiet!$A$3:$A$18,0),5))),0)</f>
        <v/>
      </c>
      <c r="G9" s="30">
        <f>SUMPRODUCT((TKB_Nhap!$A$2:$A$57=G$3)*(TKB_Nhap!$D$2:$J$57=$A9))-IFERROR(N(IF(TuanConfig!$B$2="C",INDEX(SoTiet!$B$3:$I$18,MATCH($A9,SoTiet!$A$3:$A$18,0),6),INDEX(SoTiet!$K$3:$R$18,MATCH($A9,SoTiet!$A$3:$A$18,0),6))),0)</f>
        <v/>
      </c>
      <c r="H9" s="30">
        <f>SUMPRODUCT((TKB_Nhap!$A$2:$A$57=H$3)*(TKB_Nhap!$D$2:$J$57=$A9))-IFERROR(N(IF(TuanConfig!$B$2="C",INDEX(SoTiet!$B$3:$I$18,MATCH($A9,SoTiet!$A$3:$A$18,0),7),INDEX(SoTiet!$K$3:$R$18,MATCH($A9,SoTiet!$A$3:$A$18,0),7))),0)</f>
        <v/>
      </c>
      <c r="I9" s="30">
        <f>SUMPRODUCT((TKB_Nhap!$A$2:$A$57=I$3)*(TKB_Nhap!$D$2:$J$57=$A9))-IFERROR(N(IF(TuanConfig!$B$2="C",INDEX(SoTiet!$B$3:$I$18,MATCH($A9,SoTiet!$A$3:$A$18,0),8),INDEX(SoTiet!$K$3:$R$18,MATCH($A9,SoTiet!$A$3:$A$18,0),8))),0)</f>
        <v/>
      </c>
      <c r="J9" s="30" t="n"/>
    </row>
    <row r="10" ht="15" customHeight="1">
      <c r="A10" s="26" t="inlineStr">
        <is>
          <t>Lịch sử và địa lý (Lịch sử)</t>
        </is>
      </c>
      <c r="B10" s="30">
        <f>SUMPRODUCT((TKB_Nhap!$A$2:$A$57=B$3)*(TKB_Nhap!$D$2:$J$57=$A10))-IFERROR(N(IF(TuanConfig!$B$2="C",INDEX(SoTiet!$B$3:$I$18,MATCH($A10,SoTiet!$A$3:$A$18,0),1),INDEX(SoTiet!$K$3:$R$18,MATCH($A10,SoTiet!$A$3:$A$18,0),1))),0)</f>
        <v/>
      </c>
      <c r="C10" s="30">
        <f>SUMPRODUCT((TKB_Nhap!$A$2:$A$57=C$3)*(TKB_Nhap!$D$2:$J$57=$A10))-IFERROR(N(IF(TuanConfig!$B$2="C",INDEX(SoTiet!$B$3:$I$18,MATCH($A10,SoTiet!$A$3:$A$18,0),2),INDEX(SoTiet!$K$3:$R$18,MATCH($A10,SoTiet!$A$3:$A$18,0),2))),0)</f>
        <v/>
      </c>
      <c r="D10" s="30">
        <f>SUMPRODUCT((TKB_Nhap!$A$2:$A$57=D$3)*(TKB_Nhap!$D$2:$J$57=$A10))-IFERROR(N(IF(TuanConfig!$B$2="C",INDEX(SoTiet!$B$3:$I$18,MATCH($A10,SoTiet!$A$3:$A$18,0),3),INDEX(SoTiet!$K$3:$R$18,MATCH($A10,SoTiet!$A$3:$A$18,0),3))),0)</f>
        <v/>
      </c>
      <c r="E10" s="30">
        <f>SUMPRODUCT((TKB_Nhap!$A$2:$A$57=E$3)*(TKB_Nhap!$D$2:$J$57=$A10))-IFERROR(N(IF(TuanConfig!$B$2="C",INDEX(SoTiet!$B$3:$I$18,MATCH($A10,SoTiet!$A$3:$A$18,0),4),INDEX(SoTiet!$K$3:$R$18,MATCH($A10,SoTiet!$A$3:$A$18,0),4))),0)</f>
        <v/>
      </c>
      <c r="F10" s="30">
        <f>SUMPRODUCT((TKB_Nhap!$A$2:$A$57=F$3)*(TKB_Nhap!$D$2:$J$57=$A10))-IFERROR(N(IF(TuanConfig!$B$2="C",INDEX(SoTiet!$B$3:$I$18,MATCH($A10,SoTiet!$A$3:$A$18,0),5),INDEX(SoTiet!$K$3:$R$18,MATCH($A10,SoTiet!$A$3:$A$18,0),5))),0)</f>
        <v/>
      </c>
      <c r="G10" s="30">
        <f>SUMPRODUCT((TKB_Nhap!$A$2:$A$57=G$3)*(TKB_Nhap!$D$2:$J$57=$A10))-IFERROR(N(IF(TuanConfig!$B$2="C",INDEX(SoTiet!$B$3:$I$18,MATCH($A10,SoTiet!$A$3:$A$18,0),6),INDEX(SoTiet!$K$3:$R$18,MATCH($A10,SoTiet!$A$3:$A$18,0),6))),0)</f>
        <v/>
      </c>
      <c r="H10" s="30">
        <f>SUMPRODUCT((TKB_Nhap!$A$2:$A$57=H$3)*(TKB_Nhap!$D$2:$J$57=$A10))-IFERROR(N(IF(TuanConfig!$B$2="C",INDEX(SoTiet!$B$3:$I$18,MATCH($A10,SoTiet!$A$3:$A$18,0),7),INDEX(SoTiet!$K$3:$R$18,MATCH($A10,SoTiet!$A$3:$A$18,0),7))),0)</f>
        <v/>
      </c>
      <c r="I10" s="30">
        <f>SUMPRODUCT((TKB_Nhap!$A$2:$A$57=I$3)*(TKB_Nhap!$D$2:$J$57=$A10))-IFERROR(N(IF(TuanConfig!$B$2="C",INDEX(SoTiet!$B$3:$I$18,MATCH($A10,SoTiet!$A$3:$A$18,0),8),INDEX(SoTiet!$K$3:$R$18,MATCH($A10,SoTiet!$A$3:$A$18,0),8))),0)</f>
        <v/>
      </c>
      <c r="J10" s="30" t="n"/>
    </row>
    <row r="11" ht="15" customHeight="1">
      <c r="A11" s="26" t="inlineStr">
        <is>
          <t>Lịch sử và địa lý (Địa lý)</t>
        </is>
      </c>
      <c r="B11" s="30">
        <f>SUMPRODUCT((TKB_Nhap!$A$2:$A$57=B$3)*(TKB_Nhap!$D$2:$J$57=$A11))-IFERROR(N(IF(TuanConfig!$B$2="C",INDEX(SoTiet!$B$3:$I$18,MATCH($A11,SoTiet!$A$3:$A$18,0),1),INDEX(SoTiet!$K$3:$R$18,MATCH($A11,SoTiet!$A$3:$A$18,0),1))),0)</f>
        <v/>
      </c>
      <c r="C11" s="30">
        <f>SUMPRODUCT((TKB_Nhap!$A$2:$A$57=C$3)*(TKB_Nhap!$D$2:$J$57=$A11))-IFERROR(N(IF(TuanConfig!$B$2="C",INDEX(SoTiet!$B$3:$I$18,MATCH($A11,SoTiet!$A$3:$A$18,0),2),INDEX(SoTiet!$K$3:$R$18,MATCH($A11,SoTiet!$A$3:$A$18,0),2))),0)</f>
        <v/>
      </c>
      <c r="D11" s="30">
        <f>SUMPRODUCT((TKB_Nhap!$A$2:$A$57=D$3)*(TKB_Nhap!$D$2:$J$57=$A11))-IFERROR(N(IF(TuanConfig!$B$2="C",INDEX(SoTiet!$B$3:$I$18,MATCH($A11,SoTiet!$A$3:$A$18,0),3),INDEX(SoTiet!$K$3:$R$18,MATCH($A11,SoTiet!$A$3:$A$18,0),3))),0)</f>
        <v/>
      </c>
      <c r="E11" s="30">
        <f>SUMPRODUCT((TKB_Nhap!$A$2:$A$57=E$3)*(TKB_Nhap!$D$2:$J$57=$A11))-IFERROR(N(IF(TuanConfig!$B$2="C",INDEX(SoTiet!$B$3:$I$18,MATCH($A11,SoTiet!$A$3:$A$18,0),4),INDEX(SoTiet!$K$3:$R$18,MATCH($A11,SoTiet!$A$3:$A$18,0),4))),0)</f>
        <v/>
      </c>
      <c r="F11" s="30">
        <f>SUMPRODUCT((TKB_Nhap!$A$2:$A$57=F$3)*(TKB_Nhap!$D$2:$J$57=$A11))-IFERROR(N(IF(TuanConfig!$B$2="C",INDEX(SoTiet!$B$3:$I$18,MATCH($A11,SoTiet!$A$3:$A$18,0),5),INDEX(SoTiet!$K$3:$R$18,MATCH($A11,SoTiet!$A$3:$A$18,0),5))),0)</f>
        <v/>
      </c>
      <c r="G11" s="30">
        <f>SUMPRODUCT((TKB_Nhap!$A$2:$A$57=G$3)*(TKB_Nhap!$D$2:$J$57=$A11))-IFERROR(N(IF(TuanConfig!$B$2="C",INDEX(SoTiet!$B$3:$I$18,MATCH($A11,SoTiet!$A$3:$A$18,0),6),INDEX(SoTiet!$K$3:$R$18,MATCH($A11,SoTiet!$A$3:$A$18,0),6))),0)</f>
        <v/>
      </c>
      <c r="H11" s="30">
        <f>SUMPRODUCT((TKB_Nhap!$A$2:$A$57=H$3)*(TKB_Nhap!$D$2:$J$57=$A11))-IFERROR(N(IF(TuanConfig!$B$2="C",INDEX(SoTiet!$B$3:$I$18,MATCH($A11,SoTiet!$A$3:$A$18,0),7),INDEX(SoTiet!$K$3:$R$18,MATCH($A11,SoTiet!$A$3:$A$18,0),7))),0)</f>
        <v/>
      </c>
      <c r="I11" s="30">
        <f>SUMPRODUCT((TKB_Nhap!$A$2:$A$57=I$3)*(TKB_Nhap!$D$2:$J$57=$A11))-IFERROR(N(IF(TuanConfig!$B$2="C",INDEX(SoTiet!$B$3:$I$18,MATCH($A11,SoTiet!$A$3:$A$18,0),8),INDEX(SoTiet!$K$3:$R$18,MATCH($A11,SoTiet!$A$3:$A$18,0),8))),0)</f>
        <v/>
      </c>
      <c r="J11" s="30" t="n"/>
    </row>
    <row r="12" ht="15" customHeight="1">
      <c r="A12" s="26" t="inlineStr">
        <is>
          <t>Giáo dục công dân</t>
        </is>
      </c>
      <c r="B12" s="30">
        <f>SUMPRODUCT((TKB_Nhap!$A$2:$A$57=B$3)*(TKB_Nhap!$D$2:$J$57=$A12))-IFERROR(N(IF(TuanConfig!$B$2="C",INDEX(SoTiet!$B$3:$I$18,MATCH($A12,SoTiet!$A$3:$A$18,0),1),INDEX(SoTiet!$K$3:$R$18,MATCH($A12,SoTiet!$A$3:$A$18,0),1))),0)</f>
        <v/>
      </c>
      <c r="C12" s="30">
        <f>SUMPRODUCT((TKB_Nhap!$A$2:$A$57=C$3)*(TKB_Nhap!$D$2:$J$57=$A12))-IFERROR(N(IF(TuanConfig!$B$2="C",INDEX(SoTiet!$B$3:$I$18,MATCH($A12,SoTiet!$A$3:$A$18,0),2),INDEX(SoTiet!$K$3:$R$18,MATCH($A12,SoTiet!$A$3:$A$18,0),2))),0)</f>
        <v/>
      </c>
      <c r="D12" s="30">
        <f>SUMPRODUCT((TKB_Nhap!$A$2:$A$57=D$3)*(TKB_Nhap!$D$2:$J$57=$A12))-IFERROR(N(IF(TuanConfig!$B$2="C",INDEX(SoTiet!$B$3:$I$18,MATCH($A12,SoTiet!$A$3:$A$18,0),3),INDEX(SoTiet!$K$3:$R$18,MATCH($A12,SoTiet!$A$3:$A$18,0),3))),0)</f>
        <v/>
      </c>
      <c r="E12" s="30">
        <f>SUMPRODUCT((TKB_Nhap!$A$2:$A$57=E$3)*(TKB_Nhap!$D$2:$J$57=$A12))-IFERROR(N(IF(TuanConfig!$B$2="C",INDEX(SoTiet!$B$3:$I$18,MATCH($A12,SoTiet!$A$3:$A$18,0),4),INDEX(SoTiet!$K$3:$R$18,MATCH($A12,SoTiet!$A$3:$A$18,0),4))),0)</f>
        <v/>
      </c>
      <c r="F12" s="30">
        <f>SUMPRODUCT((TKB_Nhap!$A$2:$A$57=F$3)*(TKB_Nhap!$D$2:$J$57=$A12))-IFERROR(N(IF(TuanConfig!$B$2="C",INDEX(SoTiet!$B$3:$I$18,MATCH($A12,SoTiet!$A$3:$A$18,0),5),INDEX(SoTiet!$K$3:$R$18,MATCH($A12,SoTiet!$A$3:$A$18,0),5))),0)</f>
        <v/>
      </c>
      <c r="G12" s="30">
        <f>SUMPRODUCT((TKB_Nhap!$A$2:$A$57=G$3)*(TKB_Nhap!$D$2:$J$57=$A12))-IFERROR(N(IF(TuanConfig!$B$2="C",INDEX(SoTiet!$B$3:$I$18,MATCH($A12,SoTiet!$A$3:$A$18,0),6),INDEX(SoTiet!$K$3:$R$18,MATCH($A12,SoTiet!$A$3:$A$18,0),6))),0)</f>
        <v/>
      </c>
      <c r="H12" s="30">
        <f>SUMPRODUCT((TKB_Nhap!$A$2:$A$57=H$3)*(TKB_Nhap!$D$2:$J$57=$A12))-IFERROR(N(IF(TuanConfig!$B$2="C",INDEX(SoTiet!$B$3:$I$18,MATCH($A12,SoTiet!$A$3:$A$18,0),7),INDEX(SoTiet!$K$3:$R$18,MATCH($A12,SoTiet!$A$3:$A$18,0),7))),0)</f>
        <v/>
      </c>
      <c r="I12" s="30">
        <f>SUMPRODUCT((TKB_Nhap!$A$2:$A$57=I$3)*(TKB_Nhap!$D$2:$J$57=$A12))-IFERROR(N(IF(TuanConfig!$B$2="C",INDEX(SoTiet!$B$3:$I$18,MATCH($A12,SoTiet!$A$3:$A$18,0),8),INDEX(SoTiet!$K$3:$R$18,MATCH($A12,SoTiet!$A$3:$A$18,0),8))),0)</f>
        <v/>
      </c>
      <c r="J12" s="30" t="n"/>
    </row>
    <row r="13" ht="15" customHeight="1">
      <c r="A13" s="26" t="inlineStr">
        <is>
          <t>Công nghệ</t>
        </is>
      </c>
      <c r="B13" s="30">
        <f>SUMPRODUCT((TKB_Nhap!$A$2:$A$57=B$3)*(TKB_Nhap!$D$2:$J$57=$A13))-IFERROR(N(IF(TuanConfig!$B$2="C",INDEX(SoTiet!$B$3:$I$18,MATCH($A13,SoTiet!$A$3:$A$18,0),1),INDEX(SoTiet!$K$3:$R$18,MATCH($A13,SoTiet!$A$3:$A$18,0),1))),0)</f>
        <v/>
      </c>
      <c r="C13" s="30">
        <f>SUMPRODUCT((TKB_Nhap!$A$2:$A$57=C$3)*(TKB_Nhap!$D$2:$J$57=$A13))-IFERROR(N(IF(TuanConfig!$B$2="C",INDEX(SoTiet!$B$3:$I$18,MATCH($A13,SoTiet!$A$3:$A$18,0),2),INDEX(SoTiet!$K$3:$R$18,MATCH($A13,SoTiet!$A$3:$A$18,0),2))),0)</f>
        <v/>
      </c>
      <c r="D13" s="30">
        <f>SUMPRODUCT((TKB_Nhap!$A$2:$A$57=D$3)*(TKB_Nhap!$D$2:$J$57=$A13))-IFERROR(N(IF(TuanConfig!$B$2="C",INDEX(SoTiet!$B$3:$I$18,MATCH($A13,SoTiet!$A$3:$A$18,0),3),INDEX(SoTiet!$K$3:$R$18,MATCH($A13,SoTiet!$A$3:$A$18,0),3))),0)</f>
        <v/>
      </c>
      <c r="E13" s="30">
        <f>SUMPRODUCT((TKB_Nhap!$A$2:$A$57=E$3)*(TKB_Nhap!$D$2:$J$57=$A13))-IFERROR(N(IF(TuanConfig!$B$2="C",INDEX(SoTiet!$B$3:$I$18,MATCH($A13,SoTiet!$A$3:$A$18,0),4),INDEX(SoTiet!$K$3:$R$18,MATCH($A13,SoTiet!$A$3:$A$18,0),4))),0)</f>
        <v/>
      </c>
      <c r="F13" s="30">
        <f>SUMPRODUCT((TKB_Nhap!$A$2:$A$57=F$3)*(TKB_Nhap!$D$2:$J$57=$A13))-IFERROR(N(IF(TuanConfig!$B$2="C",INDEX(SoTiet!$B$3:$I$18,MATCH($A13,SoTiet!$A$3:$A$18,0),5),INDEX(SoTiet!$K$3:$R$18,MATCH($A13,SoTiet!$A$3:$A$18,0),5))),0)</f>
        <v/>
      </c>
      <c r="G13" s="30">
        <f>SUMPRODUCT((TKB_Nhap!$A$2:$A$57=G$3)*(TKB_Nhap!$D$2:$J$57=$A13))-IFERROR(N(IF(TuanConfig!$B$2="C",INDEX(SoTiet!$B$3:$I$18,MATCH($A13,SoTiet!$A$3:$A$18,0),6),INDEX(SoTiet!$K$3:$R$18,MATCH($A13,SoTiet!$A$3:$A$18,0),6))),0)</f>
        <v/>
      </c>
      <c r="H13" s="30">
        <f>SUMPRODUCT((TKB_Nhap!$A$2:$A$57=H$3)*(TKB_Nhap!$D$2:$J$57=$A13))-IFERROR(N(IF(TuanConfig!$B$2="C",INDEX(SoTiet!$B$3:$I$18,MATCH($A13,SoTiet!$A$3:$A$18,0),7),INDEX(SoTiet!$K$3:$R$18,MATCH($A13,SoTiet!$A$3:$A$18,0),7))),0)</f>
        <v/>
      </c>
      <c r="I13" s="30">
        <f>SUMPRODUCT((TKB_Nhap!$A$2:$A$57=I$3)*(TKB_Nhap!$D$2:$J$57=$A13))-IFERROR(N(IF(TuanConfig!$B$2="C",INDEX(SoTiet!$B$3:$I$18,MATCH($A13,SoTiet!$A$3:$A$18,0),8),INDEX(SoTiet!$K$3:$R$18,MATCH($A13,SoTiet!$A$3:$A$18,0),8))),0)</f>
        <v/>
      </c>
      <c r="J13" s="30" t="n"/>
    </row>
    <row r="14" ht="15" customHeight="1">
      <c r="A14" s="26" t="inlineStr">
        <is>
          <t>Tin</t>
        </is>
      </c>
      <c r="B14" s="30">
        <f>SUMPRODUCT((TKB_Nhap!$A$2:$A$57=B$3)*(TKB_Nhap!$D$2:$J$57=$A14))-IFERROR(N(IF(TuanConfig!$B$2="C",INDEX(SoTiet!$B$3:$I$18,MATCH($A14,SoTiet!$A$3:$A$18,0),1),INDEX(SoTiet!$K$3:$R$18,MATCH($A14,SoTiet!$A$3:$A$18,0),1))),0)</f>
        <v/>
      </c>
      <c r="C14" s="30">
        <f>SUMPRODUCT((TKB_Nhap!$A$2:$A$57=C$3)*(TKB_Nhap!$D$2:$J$57=$A14))-IFERROR(N(IF(TuanConfig!$B$2="C",INDEX(SoTiet!$B$3:$I$18,MATCH($A14,SoTiet!$A$3:$A$18,0),2),INDEX(SoTiet!$K$3:$R$18,MATCH($A14,SoTiet!$A$3:$A$18,0),2))),0)</f>
        <v/>
      </c>
      <c r="D14" s="30">
        <f>SUMPRODUCT((TKB_Nhap!$A$2:$A$57=D$3)*(TKB_Nhap!$D$2:$J$57=$A14))-IFERROR(N(IF(TuanConfig!$B$2="C",INDEX(SoTiet!$B$3:$I$18,MATCH($A14,SoTiet!$A$3:$A$18,0),3),INDEX(SoTiet!$K$3:$R$18,MATCH($A14,SoTiet!$A$3:$A$18,0),3))),0)</f>
        <v/>
      </c>
      <c r="E14" s="30">
        <f>SUMPRODUCT((TKB_Nhap!$A$2:$A$57=E$3)*(TKB_Nhap!$D$2:$J$57=$A14))-IFERROR(N(IF(TuanConfig!$B$2="C",INDEX(SoTiet!$B$3:$I$18,MATCH($A14,SoTiet!$A$3:$A$18,0),4),INDEX(SoTiet!$K$3:$R$18,MATCH($A14,SoTiet!$A$3:$A$18,0),4))),0)</f>
        <v/>
      </c>
      <c r="F14" s="30">
        <f>SUMPRODUCT((TKB_Nhap!$A$2:$A$57=F$3)*(TKB_Nhap!$D$2:$J$57=$A14))-IFERROR(N(IF(TuanConfig!$B$2="C",INDEX(SoTiet!$B$3:$I$18,MATCH($A14,SoTiet!$A$3:$A$18,0),5),INDEX(SoTiet!$K$3:$R$18,MATCH($A14,SoTiet!$A$3:$A$18,0),5))),0)</f>
        <v/>
      </c>
      <c r="G14" s="30">
        <f>SUMPRODUCT((TKB_Nhap!$A$2:$A$57=G$3)*(TKB_Nhap!$D$2:$J$57=$A14))-IFERROR(N(IF(TuanConfig!$B$2="C",INDEX(SoTiet!$B$3:$I$18,MATCH($A14,SoTiet!$A$3:$A$18,0),6),INDEX(SoTiet!$K$3:$R$18,MATCH($A14,SoTiet!$A$3:$A$18,0),6))),0)</f>
        <v/>
      </c>
      <c r="H14" s="30">
        <f>SUMPRODUCT((TKB_Nhap!$A$2:$A$57=H$3)*(TKB_Nhap!$D$2:$J$57=$A14))-IFERROR(N(IF(TuanConfig!$B$2="C",INDEX(SoTiet!$B$3:$I$18,MATCH($A14,SoTiet!$A$3:$A$18,0),7),INDEX(SoTiet!$K$3:$R$18,MATCH($A14,SoTiet!$A$3:$A$18,0),7))),0)</f>
        <v/>
      </c>
      <c r="I14" s="30">
        <f>SUMPRODUCT((TKB_Nhap!$A$2:$A$57=I$3)*(TKB_Nhap!$D$2:$J$57=$A14))-IFERROR(N(IF(TuanConfig!$B$2="C",INDEX(SoTiet!$B$3:$I$18,MATCH($A14,SoTiet!$A$3:$A$18,0),8),INDEX(SoTiet!$K$3:$R$18,MATCH($A14,SoTiet!$A$3:$A$18,0),8))),0)</f>
        <v/>
      </c>
      <c r="J14" s="30" t="n"/>
    </row>
    <row r="15" ht="15" customHeight="1">
      <c r="A15" s="26" t="inlineStr">
        <is>
          <t>Giáo dục thể chất</t>
        </is>
      </c>
      <c r="B15" s="30">
        <f>SUMPRODUCT((TKB_Nhap!$A$2:$A$57=B$3)*(TKB_Nhap!$D$2:$J$57=$A15))-IFERROR(N(IF(TuanConfig!$B$2="C",INDEX(SoTiet!$B$3:$I$18,MATCH($A15,SoTiet!$A$3:$A$18,0),1),INDEX(SoTiet!$K$3:$R$18,MATCH($A15,SoTiet!$A$3:$A$18,0),1))),0)</f>
        <v/>
      </c>
      <c r="C15" s="30">
        <f>SUMPRODUCT((TKB_Nhap!$A$2:$A$57=C$3)*(TKB_Nhap!$D$2:$J$57=$A15))-IFERROR(N(IF(TuanConfig!$B$2="C",INDEX(SoTiet!$B$3:$I$18,MATCH($A15,SoTiet!$A$3:$A$18,0),2),INDEX(SoTiet!$K$3:$R$18,MATCH($A15,SoTiet!$A$3:$A$18,0),2))),0)</f>
        <v/>
      </c>
      <c r="D15" s="30">
        <f>SUMPRODUCT((TKB_Nhap!$A$2:$A$57=D$3)*(TKB_Nhap!$D$2:$J$57=$A15))-IFERROR(N(IF(TuanConfig!$B$2="C",INDEX(SoTiet!$B$3:$I$18,MATCH($A15,SoTiet!$A$3:$A$18,0),3),INDEX(SoTiet!$K$3:$R$18,MATCH($A15,SoTiet!$A$3:$A$18,0),3))),0)</f>
        <v/>
      </c>
      <c r="E15" s="30">
        <f>SUMPRODUCT((TKB_Nhap!$A$2:$A$57=E$3)*(TKB_Nhap!$D$2:$J$57=$A15))-IFERROR(N(IF(TuanConfig!$B$2="C",INDEX(SoTiet!$B$3:$I$18,MATCH($A15,SoTiet!$A$3:$A$18,0),4),INDEX(SoTiet!$K$3:$R$18,MATCH($A15,SoTiet!$A$3:$A$18,0),4))),0)</f>
        <v/>
      </c>
      <c r="F15" s="30">
        <f>SUMPRODUCT((TKB_Nhap!$A$2:$A$57=F$3)*(TKB_Nhap!$D$2:$J$57=$A15))-IFERROR(N(IF(TuanConfig!$B$2="C",INDEX(SoTiet!$B$3:$I$18,MATCH($A15,SoTiet!$A$3:$A$18,0),5),INDEX(SoTiet!$K$3:$R$18,MATCH($A15,SoTiet!$A$3:$A$18,0),5))),0)</f>
        <v/>
      </c>
      <c r="G15" s="30">
        <f>SUMPRODUCT((TKB_Nhap!$A$2:$A$57=G$3)*(TKB_Nhap!$D$2:$J$57=$A15))-IFERROR(N(IF(TuanConfig!$B$2="C",INDEX(SoTiet!$B$3:$I$18,MATCH($A15,SoTiet!$A$3:$A$18,0),6),INDEX(SoTiet!$K$3:$R$18,MATCH($A15,SoTiet!$A$3:$A$18,0),6))),0)</f>
        <v/>
      </c>
      <c r="H15" s="30">
        <f>SUMPRODUCT((TKB_Nhap!$A$2:$A$57=H$3)*(TKB_Nhap!$D$2:$J$57=$A15))-IFERROR(N(IF(TuanConfig!$B$2="C",INDEX(SoTiet!$B$3:$I$18,MATCH($A15,SoTiet!$A$3:$A$18,0),7),INDEX(SoTiet!$K$3:$R$18,MATCH($A15,SoTiet!$A$3:$A$18,0),7))),0)</f>
        <v/>
      </c>
      <c r="I15" s="30">
        <f>SUMPRODUCT((TKB_Nhap!$A$2:$A$57=I$3)*(TKB_Nhap!$D$2:$J$57=$A15))-IFERROR(N(IF(TuanConfig!$B$2="C",INDEX(SoTiet!$B$3:$I$18,MATCH($A15,SoTiet!$A$3:$A$18,0),8),INDEX(SoTiet!$K$3:$R$18,MATCH($A15,SoTiet!$A$3:$A$18,0),8))),0)</f>
        <v/>
      </c>
      <c r="J15" s="30" t="n"/>
    </row>
    <row r="16" ht="15" customHeight="1">
      <c r="A16" s="26" t="inlineStr">
        <is>
          <t>Nội dung giáo dục của địa phương</t>
        </is>
      </c>
      <c r="B16" s="30">
        <f>SUMPRODUCT((TKB_Nhap!$A$2:$A$57=B$3)*(TKB_Nhap!$D$2:$J$57=$A16))-IFERROR(N(IF(TuanConfig!$B$2="C",INDEX(SoTiet!$B$3:$I$18,MATCH($A16,SoTiet!$A$3:$A$18,0),1),INDEX(SoTiet!$K$3:$R$18,MATCH($A16,SoTiet!$A$3:$A$18,0),1))),0)</f>
        <v/>
      </c>
      <c r="C16" s="30">
        <f>SUMPRODUCT((TKB_Nhap!$A$2:$A$57=C$3)*(TKB_Nhap!$D$2:$J$57=$A16))-IFERROR(N(IF(TuanConfig!$B$2="C",INDEX(SoTiet!$B$3:$I$18,MATCH($A16,SoTiet!$A$3:$A$18,0),2),INDEX(SoTiet!$K$3:$R$18,MATCH($A16,SoTiet!$A$3:$A$18,0),2))),0)</f>
        <v/>
      </c>
      <c r="D16" s="30">
        <f>SUMPRODUCT((TKB_Nhap!$A$2:$A$57=D$3)*(TKB_Nhap!$D$2:$J$57=$A16))-IFERROR(N(IF(TuanConfig!$B$2="C",INDEX(SoTiet!$B$3:$I$18,MATCH($A16,SoTiet!$A$3:$A$18,0),3),INDEX(SoTiet!$K$3:$R$18,MATCH($A16,SoTiet!$A$3:$A$18,0),3))),0)</f>
        <v/>
      </c>
      <c r="E16" s="30">
        <f>SUMPRODUCT((TKB_Nhap!$A$2:$A$57=E$3)*(TKB_Nhap!$D$2:$J$57=$A16))-IFERROR(N(IF(TuanConfig!$B$2="C",INDEX(SoTiet!$B$3:$I$18,MATCH($A16,SoTiet!$A$3:$A$18,0),4),INDEX(SoTiet!$K$3:$R$18,MATCH($A16,SoTiet!$A$3:$A$18,0),4))),0)</f>
        <v/>
      </c>
      <c r="F16" s="30">
        <f>SUMPRODUCT((TKB_Nhap!$A$2:$A$57=F$3)*(TKB_Nhap!$D$2:$J$57=$A16))-IFERROR(N(IF(TuanConfig!$B$2="C",INDEX(SoTiet!$B$3:$I$18,MATCH($A16,SoTiet!$A$3:$A$18,0),5),INDEX(SoTiet!$K$3:$R$18,MATCH($A16,SoTiet!$A$3:$A$18,0),5))),0)</f>
        <v/>
      </c>
      <c r="G16" s="30">
        <f>SUMPRODUCT((TKB_Nhap!$A$2:$A$57=G$3)*(TKB_Nhap!$D$2:$J$57=$A16))-IFERROR(N(IF(TuanConfig!$B$2="C",INDEX(SoTiet!$B$3:$I$18,MATCH($A16,SoTiet!$A$3:$A$18,0),6),INDEX(SoTiet!$K$3:$R$18,MATCH($A16,SoTiet!$A$3:$A$18,0),6))),0)</f>
        <v/>
      </c>
      <c r="H16" s="30">
        <f>SUMPRODUCT((TKB_Nhap!$A$2:$A$57=H$3)*(TKB_Nhap!$D$2:$J$57=$A16))-IFERROR(N(IF(TuanConfig!$B$2="C",INDEX(SoTiet!$B$3:$I$18,MATCH($A16,SoTiet!$A$3:$A$18,0),7),INDEX(SoTiet!$K$3:$R$18,MATCH($A16,SoTiet!$A$3:$A$18,0),7))),0)</f>
        <v/>
      </c>
      <c r="I16" s="30">
        <f>SUMPRODUCT((TKB_Nhap!$A$2:$A$57=I$3)*(TKB_Nhap!$D$2:$J$57=$A16))-IFERROR(N(IF(TuanConfig!$B$2="C",INDEX(SoTiet!$B$3:$I$18,MATCH($A16,SoTiet!$A$3:$A$18,0),8),INDEX(SoTiet!$K$3:$R$18,MATCH($A16,SoTiet!$A$3:$A$18,0),8))),0)</f>
        <v/>
      </c>
      <c r="J16" s="30" t="n"/>
    </row>
    <row r="17" ht="15" customHeight="1">
      <c r="A17" s="26" t="inlineStr">
        <is>
          <t>Hoạt động trải nghiệm, hướng nghiệp</t>
        </is>
      </c>
      <c r="B17" s="30">
        <f>SUMPRODUCT((TKB_Nhap!$A$2:$A$57=B$3)*(TKB_Nhap!$D$2:$J$57=$A17))-IFERROR(N(IF(TuanConfig!$B$2="C",INDEX(SoTiet!$B$3:$I$18,MATCH($A17,SoTiet!$A$3:$A$18,0),1),INDEX(SoTiet!$K$3:$R$18,MATCH($A17,SoTiet!$A$3:$A$18,0),1))),0)</f>
        <v/>
      </c>
      <c r="C17" s="30">
        <f>SUMPRODUCT((TKB_Nhap!$A$2:$A$57=C$3)*(TKB_Nhap!$D$2:$J$57=$A17))-IFERROR(N(IF(TuanConfig!$B$2="C",INDEX(SoTiet!$B$3:$I$18,MATCH($A17,SoTiet!$A$3:$A$18,0),2),INDEX(SoTiet!$K$3:$R$18,MATCH($A17,SoTiet!$A$3:$A$18,0),2))),0)</f>
        <v/>
      </c>
      <c r="D17" s="30">
        <f>SUMPRODUCT((TKB_Nhap!$A$2:$A$57=D$3)*(TKB_Nhap!$D$2:$J$57=$A17))-IFERROR(N(IF(TuanConfig!$B$2="C",INDEX(SoTiet!$B$3:$I$18,MATCH($A17,SoTiet!$A$3:$A$18,0),3),INDEX(SoTiet!$K$3:$R$18,MATCH($A17,SoTiet!$A$3:$A$18,0),3))),0)</f>
        <v/>
      </c>
      <c r="E17" s="30">
        <f>SUMPRODUCT((TKB_Nhap!$A$2:$A$57=E$3)*(TKB_Nhap!$D$2:$J$57=$A17))-IFERROR(N(IF(TuanConfig!$B$2="C",INDEX(SoTiet!$B$3:$I$18,MATCH($A17,SoTiet!$A$3:$A$18,0),4),INDEX(SoTiet!$K$3:$R$18,MATCH($A17,SoTiet!$A$3:$A$18,0),4))),0)</f>
        <v/>
      </c>
      <c r="F17" s="30">
        <f>SUMPRODUCT((TKB_Nhap!$A$2:$A$57=F$3)*(TKB_Nhap!$D$2:$J$57=$A17))-IFERROR(N(IF(TuanConfig!$B$2="C",INDEX(SoTiet!$B$3:$I$18,MATCH($A17,SoTiet!$A$3:$A$18,0),5),INDEX(SoTiet!$K$3:$R$18,MATCH($A17,SoTiet!$A$3:$A$18,0),5))),0)</f>
        <v/>
      </c>
      <c r="G17" s="30">
        <f>SUMPRODUCT((TKB_Nhap!$A$2:$A$57=G$3)*(TKB_Nhap!$D$2:$J$57=$A17))-IFERROR(N(IF(TuanConfig!$B$2="C",INDEX(SoTiet!$B$3:$I$18,MATCH($A17,SoTiet!$A$3:$A$18,0),6),INDEX(SoTiet!$K$3:$R$18,MATCH($A17,SoTiet!$A$3:$A$18,0),6))),0)</f>
        <v/>
      </c>
      <c r="H17" s="30">
        <f>SUMPRODUCT((TKB_Nhap!$A$2:$A$57=H$3)*(TKB_Nhap!$D$2:$J$57=$A17))-IFERROR(N(IF(TuanConfig!$B$2="C",INDEX(SoTiet!$B$3:$I$18,MATCH($A17,SoTiet!$A$3:$A$18,0),7),INDEX(SoTiet!$K$3:$R$18,MATCH($A17,SoTiet!$A$3:$A$18,0),7))),0)</f>
        <v/>
      </c>
      <c r="I17" s="30">
        <f>SUMPRODUCT((TKB_Nhap!$A$2:$A$57=I$3)*(TKB_Nhap!$D$2:$J$57=$A17))-IFERROR(N(IF(TuanConfig!$B$2="C",INDEX(SoTiet!$B$3:$I$18,MATCH($A17,SoTiet!$A$3:$A$18,0),8),INDEX(SoTiet!$K$3:$R$18,MATCH($A17,SoTiet!$A$3:$A$18,0),8))),0)</f>
        <v/>
      </c>
      <c r="J17" s="30" t="n"/>
    </row>
    <row r="18" ht="15" customHeight="1">
      <c r="A18" s="26" t="inlineStr">
        <is>
          <t>Nghệ thuật (Nhạc)</t>
        </is>
      </c>
      <c r="B18" s="30">
        <f>SUMPRODUCT((TKB_Nhap!$A$2:$A$57=B$3)*(TKB_Nhap!$D$2:$J$57=$A18))-IFERROR(N(IF(TuanConfig!$B$2="C",INDEX(SoTiet!$B$3:$I$18,MATCH($A18,SoTiet!$A$3:$A$18,0),1),INDEX(SoTiet!$K$3:$R$18,MATCH($A18,SoTiet!$A$3:$A$18,0),1))),0)</f>
        <v/>
      </c>
      <c r="C18" s="30">
        <f>SUMPRODUCT((TKB_Nhap!$A$2:$A$57=C$3)*(TKB_Nhap!$D$2:$J$57=$A18))-IFERROR(N(IF(TuanConfig!$B$2="C",INDEX(SoTiet!$B$3:$I$18,MATCH($A18,SoTiet!$A$3:$A$18,0),2),INDEX(SoTiet!$K$3:$R$18,MATCH($A18,SoTiet!$A$3:$A$18,0),2))),0)</f>
        <v/>
      </c>
      <c r="D18" s="30">
        <f>SUMPRODUCT((TKB_Nhap!$A$2:$A$57=D$3)*(TKB_Nhap!$D$2:$J$57=$A18))-IFERROR(N(IF(TuanConfig!$B$2="C",INDEX(SoTiet!$B$3:$I$18,MATCH($A18,SoTiet!$A$3:$A$18,0),3),INDEX(SoTiet!$K$3:$R$18,MATCH($A18,SoTiet!$A$3:$A$18,0),3))),0)</f>
        <v/>
      </c>
      <c r="E18" s="30">
        <f>SUMPRODUCT((TKB_Nhap!$A$2:$A$57=E$3)*(TKB_Nhap!$D$2:$J$57=$A18))-IFERROR(N(IF(TuanConfig!$B$2="C",INDEX(SoTiet!$B$3:$I$18,MATCH($A18,SoTiet!$A$3:$A$18,0),4),INDEX(SoTiet!$K$3:$R$18,MATCH($A18,SoTiet!$A$3:$A$18,0),4))),0)</f>
        <v/>
      </c>
      <c r="F18" s="30">
        <f>SUMPRODUCT((TKB_Nhap!$A$2:$A$57=F$3)*(TKB_Nhap!$D$2:$J$57=$A18))-IFERROR(N(IF(TuanConfig!$B$2="C",INDEX(SoTiet!$B$3:$I$18,MATCH($A18,SoTiet!$A$3:$A$18,0),5),INDEX(SoTiet!$K$3:$R$18,MATCH($A18,SoTiet!$A$3:$A$18,0),5))),0)</f>
        <v/>
      </c>
      <c r="G18" s="30">
        <f>SUMPRODUCT((TKB_Nhap!$A$2:$A$57=G$3)*(TKB_Nhap!$D$2:$J$57=$A18))-IFERROR(N(IF(TuanConfig!$B$2="C",INDEX(SoTiet!$B$3:$I$18,MATCH($A18,SoTiet!$A$3:$A$18,0),6),INDEX(SoTiet!$K$3:$R$18,MATCH($A18,SoTiet!$A$3:$A$18,0),6))),0)</f>
        <v/>
      </c>
      <c r="H18" s="30">
        <f>SUMPRODUCT((TKB_Nhap!$A$2:$A$57=H$3)*(TKB_Nhap!$D$2:$J$57=$A18))-IFERROR(N(IF(TuanConfig!$B$2="C",INDEX(SoTiet!$B$3:$I$18,MATCH($A18,SoTiet!$A$3:$A$18,0),7),INDEX(SoTiet!$K$3:$R$18,MATCH($A18,SoTiet!$A$3:$A$18,0),7))),0)</f>
        <v/>
      </c>
      <c r="I18" s="30">
        <f>SUMPRODUCT((TKB_Nhap!$A$2:$A$57=I$3)*(TKB_Nhap!$D$2:$J$57=$A18))-IFERROR(N(IF(TuanConfig!$B$2="C",INDEX(SoTiet!$B$3:$I$18,MATCH($A18,SoTiet!$A$3:$A$18,0),8),INDEX(SoTiet!$K$3:$R$18,MATCH($A18,SoTiet!$A$3:$A$18,0),8))),0)</f>
        <v/>
      </c>
      <c r="J18" s="30" t="n"/>
    </row>
    <row r="19" ht="15" customHeight="1">
      <c r="A19" s="26" t="inlineStr">
        <is>
          <t>Nghệ thuật (Mỹ thuật)</t>
        </is>
      </c>
      <c r="B19" s="30">
        <f>SUMPRODUCT((TKB_Nhap!$A$2:$A$57=B$3)*(TKB_Nhap!$D$2:$J$57=$A19))-IFERROR(N(IF(TuanConfig!$B$2="C",INDEX(SoTiet!$B$3:$I$18,MATCH($A19,SoTiet!$A$3:$A$18,0),1),INDEX(SoTiet!$K$3:$R$18,MATCH($A19,SoTiet!$A$3:$A$18,0),1))),0)</f>
        <v/>
      </c>
      <c r="C19" s="30">
        <f>SUMPRODUCT((TKB_Nhap!$A$2:$A$57=C$3)*(TKB_Nhap!$D$2:$J$57=$A19))-IFERROR(N(IF(TuanConfig!$B$2="C",INDEX(SoTiet!$B$3:$I$18,MATCH($A19,SoTiet!$A$3:$A$18,0),2),INDEX(SoTiet!$K$3:$R$18,MATCH($A19,SoTiet!$A$3:$A$18,0),2))),0)</f>
        <v/>
      </c>
      <c r="D19" s="30">
        <f>SUMPRODUCT((TKB_Nhap!$A$2:$A$57=D$3)*(TKB_Nhap!$D$2:$J$57=$A19))-IFERROR(N(IF(TuanConfig!$B$2="C",INDEX(SoTiet!$B$3:$I$18,MATCH($A19,SoTiet!$A$3:$A$18,0),3),INDEX(SoTiet!$K$3:$R$18,MATCH($A19,SoTiet!$A$3:$A$18,0),3))),0)</f>
        <v/>
      </c>
      <c r="E19" s="30">
        <f>SUMPRODUCT((TKB_Nhap!$A$2:$A$57=E$3)*(TKB_Nhap!$D$2:$J$57=$A19))-IFERROR(N(IF(TuanConfig!$B$2="C",INDEX(SoTiet!$B$3:$I$18,MATCH($A19,SoTiet!$A$3:$A$18,0),4),INDEX(SoTiet!$K$3:$R$18,MATCH($A19,SoTiet!$A$3:$A$18,0),4))),0)</f>
        <v/>
      </c>
      <c r="F19" s="30">
        <f>SUMPRODUCT((TKB_Nhap!$A$2:$A$57=F$3)*(TKB_Nhap!$D$2:$J$57=$A19))-IFERROR(N(IF(TuanConfig!$B$2="C",INDEX(SoTiet!$B$3:$I$18,MATCH($A19,SoTiet!$A$3:$A$18,0),5),INDEX(SoTiet!$K$3:$R$18,MATCH($A19,SoTiet!$A$3:$A$18,0),5))),0)</f>
        <v/>
      </c>
      <c r="G19" s="30">
        <f>SUMPRODUCT((TKB_Nhap!$A$2:$A$57=G$3)*(TKB_Nhap!$D$2:$J$57=$A19))-IFERROR(N(IF(TuanConfig!$B$2="C",INDEX(SoTiet!$B$3:$I$18,MATCH($A19,SoTiet!$A$3:$A$18,0),6),INDEX(SoTiet!$K$3:$R$18,MATCH($A19,SoTiet!$A$3:$A$18,0),6))),0)</f>
        <v/>
      </c>
      <c r="H19" s="30">
        <f>SUMPRODUCT((TKB_Nhap!$A$2:$A$57=H$3)*(TKB_Nhap!$D$2:$J$57=$A19))-IFERROR(N(IF(TuanConfig!$B$2="C",INDEX(SoTiet!$B$3:$I$18,MATCH($A19,SoTiet!$A$3:$A$18,0),7),INDEX(SoTiet!$K$3:$R$18,MATCH($A19,SoTiet!$A$3:$A$18,0),7))),0)</f>
        <v/>
      </c>
      <c r="I19" s="30">
        <f>SUMPRODUCT((TKB_Nhap!$A$2:$A$57=I$3)*(TKB_Nhap!$D$2:$J$57=$A19))-IFERROR(N(IF(TuanConfig!$B$2="C",INDEX(SoTiet!$B$3:$I$18,MATCH($A19,SoTiet!$A$3:$A$18,0),8),INDEX(SoTiet!$K$3:$R$18,MATCH($A19,SoTiet!$A$3:$A$18,0),8))),0)</f>
        <v/>
      </c>
      <c r="J19" s="30" t="n"/>
    </row>
    <row r="20" ht="15" customHeight="1">
      <c r="A20" s="15" t="inlineStr">
        <is>
          <t>TỔNG</t>
        </is>
      </c>
      <c r="B20" s="11">
        <f>SUM(B4:B19)</f>
        <v/>
      </c>
      <c r="C20" s="11">
        <f>SUM(C4:C19)</f>
        <v/>
      </c>
      <c r="D20" s="11">
        <f>SUM(D4:D19)</f>
        <v/>
      </c>
      <c r="E20" s="11">
        <f>SUM(E4:E19)</f>
        <v/>
      </c>
      <c r="F20" s="11">
        <f>SUM(F4:F19)</f>
        <v/>
      </c>
      <c r="G20" s="11">
        <f>SUM(G4:G19)</f>
        <v/>
      </c>
      <c r="H20" s="11">
        <f>SUM(H4:H19)</f>
        <v/>
      </c>
      <c r="I20" s="11">
        <f>SUM(I4:I19)</f>
        <v/>
      </c>
      <c r="J20" s="11" t="n"/>
    </row>
    <row r="21" ht="15" customHeight="1">
      <c r="A21" s="5" t="n"/>
      <c r="B21" s="12" t="n"/>
      <c r="C21" s="12" t="n"/>
      <c r="D21" s="12" t="n"/>
      <c r="E21" s="12" t="n"/>
      <c r="F21" s="12" t="n"/>
      <c r="G21" s="12" t="n"/>
      <c r="H21" s="12" t="n"/>
      <c r="I21" s="12" t="n"/>
      <c r="J21" s="12" t="n"/>
    </row>
    <row r="22" ht="15" customHeight="1">
      <c r="A22" s="5" t="n"/>
      <c r="B22" s="31" t="n"/>
    </row>
    <row r="23" ht="15" customHeight="1">
      <c r="A23" s="5" t="n"/>
      <c r="B23" s="12" t="n"/>
      <c r="C23" s="40" t="n"/>
    </row>
    <row r="24" ht="15" customHeight="1"/>
    <row r="25" ht="15" customHeight="1">
      <c r="A25" s="41" t="n"/>
    </row>
    <row r="26" ht="15" customHeight="1">
      <c r="A26" s="5" t="n"/>
      <c r="B26" s="5" t="n"/>
    </row>
    <row r="27" ht="15" customHeight="1">
      <c r="A27" s="4" t="n"/>
      <c r="B27" s="19" t="n"/>
    </row>
    <row r="28" ht="15" customHeight="1">
      <c r="A28" s="4" t="n"/>
      <c r="B28" s="19" t="n"/>
    </row>
    <row r="29" ht="15" customHeight="1">
      <c r="A29" s="4" t="n"/>
      <c r="B29" s="19" t="n"/>
    </row>
    <row r="30" ht="15" customHeight="1">
      <c r="A30" s="4" t="n"/>
      <c r="B30" s="19" t="n"/>
    </row>
    <row r="31" ht="15" customHeight="1">
      <c r="A31" s="4" t="n"/>
      <c r="B31" s="19" t="n"/>
    </row>
    <row r="32" ht="15" customHeight="1">
      <c r="A32" s="4" t="n"/>
      <c r="B32" s="19" t="n"/>
    </row>
    <row r="33" ht="15" customHeight="1">
      <c r="A33" s="4" t="n"/>
      <c r="B33" s="19" t="n"/>
    </row>
    <row r="34" ht="15" customHeight="1">
      <c r="A34" s="4" t="n"/>
      <c r="B34" s="19" t="n"/>
    </row>
    <row r="35" ht="15" customHeight="1">
      <c r="A35" s="4" t="n"/>
      <c r="B35" s="19" t="n"/>
    </row>
    <row r="36" ht="15" customHeight="1">
      <c r="A36" s="4" t="n"/>
      <c r="B36" s="19" t="n"/>
    </row>
    <row r="37" ht="15" customHeight="1">
      <c r="A37" s="4" t="n"/>
      <c r="B37" s="19" t="n"/>
    </row>
    <row r="38" ht="15" customHeight="1">
      <c r="A38" s="4" t="n"/>
      <c r="B38" s="19" t="n"/>
    </row>
    <row r="39" ht="15" customHeight="1">
      <c r="A39" s="4" t="n"/>
      <c r="B39" s="19" t="n"/>
    </row>
    <row r="40" ht="15" customHeight="1">
      <c r="A40" s="4" t="n"/>
      <c r="B40" s="19" t="n"/>
    </row>
    <row r="41" ht="15" customHeight="1">
      <c r="A41" s="4" t="n"/>
      <c r="B41" s="19" t="n"/>
    </row>
    <row r="42" ht="15" customHeight="1">
      <c r="A42" s="4" t="n"/>
      <c r="B42" s="19" t="n"/>
    </row>
    <row r="43" ht="15" customHeight="1">
      <c r="A43" s="4" t="n"/>
      <c r="B43" s="19" t="n"/>
    </row>
    <row r="44" ht="15" customHeight="1">
      <c r="A44" s="4" t="n"/>
      <c r="B44" s="19" t="n"/>
    </row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conditionalFormatting sqref="B22:B23">
    <cfRule type="expression" priority="3" dxfId="0">
      <formula>B22&gt;0</formula>
    </cfRule>
  </conditionalFormatting>
  <conditionalFormatting sqref="B4:I20">
    <cfRule type="expression" priority="9" dxfId="0">
      <formula>B4&lt;&gt;0</formula>
    </cfRule>
  </conditionalFormatting>
  <conditionalFormatting sqref="B4:J21">
    <cfRule type="expression" priority="2" dxfId="0">
      <formula>B4&lt;&gt;0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2:H57"/>
  <sheetViews>
    <sheetView zoomScaleNormal="100" workbookViewId="0">
      <selection activeCell="A1" sqref="A1"/>
    </sheetView>
  </sheetViews>
  <sheetFormatPr baseColWidth="8" defaultColWidth="8.7109375" defaultRowHeight="15"/>
  <sheetData>
    <row r="2" ht="15" customHeight="1">
      <c r="A2" t="inlineStr">
        <is>
          <t>6A5</t>
        </is>
      </c>
      <c r="B2" t="inlineStr">
        <is>
          <t>S</t>
        </is>
      </c>
      <c r="C2" t="n">
        <v>1</v>
      </c>
      <c r="D2" t="inlineStr">
        <is>
          <t>x</t>
        </is>
      </c>
      <c r="E2" t="inlineStr">
        <is>
          <t>x</t>
        </is>
      </c>
      <c r="F2" t="inlineStr">
        <is>
          <t>x</t>
        </is>
      </c>
      <c r="G2" t="inlineStr">
        <is>
          <t>x</t>
        </is>
      </c>
      <c r="H2" t="inlineStr">
        <is>
          <t>x</t>
        </is>
      </c>
    </row>
    <row r="3" ht="15" customHeight="1">
      <c r="A3" t="inlineStr">
        <is>
          <t>6A5</t>
        </is>
      </c>
      <c r="B3" t="inlineStr">
        <is>
          <t>S</t>
        </is>
      </c>
      <c r="C3" t="n">
        <v>2</v>
      </c>
      <c r="D3" t="inlineStr">
        <is>
          <t>x</t>
        </is>
      </c>
      <c r="E3" t="inlineStr">
        <is>
          <t>x</t>
        </is>
      </c>
      <c r="F3" t="inlineStr">
        <is>
          <t>x</t>
        </is>
      </c>
      <c r="G3" t="inlineStr">
        <is>
          <t>x</t>
        </is>
      </c>
      <c r="H3" t="inlineStr">
        <is>
          <t>x</t>
        </is>
      </c>
    </row>
    <row r="4" ht="15" customHeight="1">
      <c r="A4" t="inlineStr">
        <is>
          <t>6A5</t>
        </is>
      </c>
      <c r="B4" t="inlineStr">
        <is>
          <t>S</t>
        </is>
      </c>
      <c r="C4" t="n">
        <v>3</v>
      </c>
      <c r="D4" t="inlineStr">
        <is>
          <t>x</t>
        </is>
      </c>
      <c r="E4" t="inlineStr">
        <is>
          <t>x</t>
        </is>
      </c>
      <c r="F4" t="inlineStr">
        <is>
          <t>x</t>
        </is>
      </c>
      <c r="G4" t="inlineStr">
        <is>
          <t>x</t>
        </is>
      </c>
      <c r="H4" t="inlineStr">
        <is>
          <t>x</t>
        </is>
      </c>
    </row>
    <row r="5" ht="15" customHeight="1">
      <c r="A5" t="inlineStr">
        <is>
          <t>6A5</t>
        </is>
      </c>
      <c r="B5" t="inlineStr">
        <is>
          <t>S</t>
        </is>
      </c>
      <c r="C5" t="n">
        <v>4</v>
      </c>
      <c r="D5" t="inlineStr">
        <is>
          <t>x</t>
        </is>
      </c>
      <c r="E5" t="inlineStr">
        <is>
          <t>x</t>
        </is>
      </c>
      <c r="F5" t="inlineStr">
        <is>
          <t>x</t>
        </is>
      </c>
      <c r="G5" t="inlineStr">
        <is>
          <t>x</t>
        </is>
      </c>
      <c r="H5" t="inlineStr">
        <is>
          <t>x</t>
        </is>
      </c>
    </row>
    <row r="6" ht="15" customHeight="1">
      <c r="A6" t="inlineStr">
        <is>
          <t>6A5</t>
        </is>
      </c>
      <c r="B6" t="inlineStr">
        <is>
          <t>C</t>
        </is>
      </c>
      <c r="C6" t="n">
        <v>1</v>
      </c>
      <c r="D6" t="inlineStr">
        <is>
          <t>x</t>
        </is>
      </c>
      <c r="E6" t="inlineStr">
        <is>
          <t>x</t>
        </is>
      </c>
      <c r="F6" t="inlineStr">
        <is>
          <t>x</t>
        </is>
      </c>
    </row>
    <row r="7" ht="15" customHeight="1">
      <c r="A7" t="inlineStr">
        <is>
          <t>6A5</t>
        </is>
      </c>
      <c r="B7" t="inlineStr">
        <is>
          <t>C</t>
        </is>
      </c>
      <c r="C7" t="n">
        <v>2</v>
      </c>
      <c r="D7" t="inlineStr">
        <is>
          <t>x</t>
        </is>
      </c>
      <c r="E7" t="inlineStr">
        <is>
          <t>x</t>
        </is>
      </c>
      <c r="F7" t="inlineStr">
        <is>
          <t>x</t>
        </is>
      </c>
    </row>
    <row r="8" ht="15" customHeight="1">
      <c r="A8" t="inlineStr">
        <is>
          <t>6A5</t>
        </is>
      </c>
      <c r="B8" t="inlineStr">
        <is>
          <t>C</t>
        </is>
      </c>
      <c r="C8" t="n">
        <v>3</v>
      </c>
      <c r="D8" t="inlineStr">
        <is>
          <t>x</t>
        </is>
      </c>
      <c r="E8" t="inlineStr">
        <is>
          <t>x</t>
        </is>
      </c>
      <c r="F8" t="inlineStr">
        <is>
          <t>x</t>
        </is>
      </c>
    </row>
    <row r="9" ht="15" customHeight="1">
      <c r="A9" t="inlineStr">
        <is>
          <t>6A6</t>
        </is>
      </c>
      <c r="B9" t="inlineStr">
        <is>
          <t>S</t>
        </is>
      </c>
      <c r="C9" t="n">
        <v>1</v>
      </c>
      <c r="D9" t="inlineStr">
        <is>
          <t>x</t>
        </is>
      </c>
      <c r="E9" t="inlineStr">
        <is>
          <t>x</t>
        </is>
      </c>
      <c r="F9" t="inlineStr">
        <is>
          <t>x</t>
        </is>
      </c>
      <c r="G9" t="inlineStr">
        <is>
          <t>x</t>
        </is>
      </c>
      <c r="H9" t="inlineStr">
        <is>
          <t>x</t>
        </is>
      </c>
    </row>
    <row r="10" ht="15" customHeight="1">
      <c r="A10" t="inlineStr">
        <is>
          <t>6A6</t>
        </is>
      </c>
      <c r="B10" t="inlineStr">
        <is>
          <t>S</t>
        </is>
      </c>
      <c r="C10" t="n">
        <v>2</v>
      </c>
      <c r="D10" t="inlineStr">
        <is>
          <t>x</t>
        </is>
      </c>
      <c r="E10" t="inlineStr">
        <is>
          <t>x</t>
        </is>
      </c>
      <c r="F10" t="inlineStr">
        <is>
          <t>x</t>
        </is>
      </c>
      <c r="G10" t="inlineStr">
        <is>
          <t>x</t>
        </is>
      </c>
      <c r="H10" t="inlineStr">
        <is>
          <t>x</t>
        </is>
      </c>
    </row>
    <row r="11" ht="15" customHeight="1">
      <c r="A11" t="inlineStr">
        <is>
          <t>6A6</t>
        </is>
      </c>
      <c r="B11" t="inlineStr">
        <is>
          <t>S</t>
        </is>
      </c>
      <c r="C11" t="n">
        <v>3</v>
      </c>
      <c r="D11" t="inlineStr">
        <is>
          <t>x</t>
        </is>
      </c>
      <c r="E11" t="inlineStr">
        <is>
          <t>x</t>
        </is>
      </c>
      <c r="F11" t="inlineStr">
        <is>
          <t>x</t>
        </is>
      </c>
      <c r="G11" t="inlineStr">
        <is>
          <t>x</t>
        </is>
      </c>
      <c r="H11" t="inlineStr">
        <is>
          <t>x</t>
        </is>
      </c>
    </row>
    <row r="12" ht="15" customHeight="1">
      <c r="A12" t="inlineStr">
        <is>
          <t>6A6</t>
        </is>
      </c>
      <c r="B12" t="inlineStr">
        <is>
          <t>S</t>
        </is>
      </c>
      <c r="C12" t="n">
        <v>4</v>
      </c>
      <c r="D12" t="inlineStr">
        <is>
          <t>x</t>
        </is>
      </c>
      <c r="E12" t="inlineStr">
        <is>
          <t>x</t>
        </is>
      </c>
      <c r="F12" t="inlineStr">
        <is>
          <t>x</t>
        </is>
      </c>
      <c r="G12" t="inlineStr">
        <is>
          <t>x</t>
        </is>
      </c>
      <c r="H12" t="inlineStr">
        <is>
          <t>x</t>
        </is>
      </c>
    </row>
    <row r="13" ht="15" customHeight="1">
      <c r="A13" t="inlineStr">
        <is>
          <t>6A6</t>
        </is>
      </c>
      <c r="B13" t="inlineStr">
        <is>
          <t>C</t>
        </is>
      </c>
      <c r="C13" t="n">
        <v>1</v>
      </c>
      <c r="D13" t="inlineStr">
        <is>
          <t>x</t>
        </is>
      </c>
      <c r="E13" t="inlineStr">
        <is>
          <t>x</t>
        </is>
      </c>
      <c r="F13" t="inlineStr">
        <is>
          <t>x</t>
        </is>
      </c>
    </row>
    <row r="14" ht="15" customHeight="1">
      <c r="A14" t="inlineStr">
        <is>
          <t>6A6</t>
        </is>
      </c>
      <c r="B14" t="inlineStr">
        <is>
          <t>C</t>
        </is>
      </c>
      <c r="C14" t="n">
        <v>2</v>
      </c>
      <c r="D14" t="inlineStr">
        <is>
          <t>x</t>
        </is>
      </c>
      <c r="E14" t="inlineStr">
        <is>
          <t>x</t>
        </is>
      </c>
      <c r="F14" t="inlineStr">
        <is>
          <t>x</t>
        </is>
      </c>
    </row>
    <row r="15" ht="15" customHeight="1">
      <c r="A15" t="inlineStr">
        <is>
          <t>6A6</t>
        </is>
      </c>
      <c r="B15" t="inlineStr">
        <is>
          <t>C</t>
        </is>
      </c>
      <c r="C15" t="n">
        <v>3</v>
      </c>
      <c r="D15" t="inlineStr">
        <is>
          <t>x</t>
        </is>
      </c>
      <c r="E15" t="inlineStr">
        <is>
          <t>x</t>
        </is>
      </c>
      <c r="F15" t="inlineStr">
        <is>
          <t>x</t>
        </is>
      </c>
    </row>
    <row r="16" ht="15" customHeight="1">
      <c r="A16" t="inlineStr">
        <is>
          <t>7A4</t>
        </is>
      </c>
      <c r="B16" t="inlineStr">
        <is>
          <t>S</t>
        </is>
      </c>
      <c r="C16" t="n">
        <v>1</v>
      </c>
      <c r="D16" t="inlineStr">
        <is>
          <t>x</t>
        </is>
      </c>
      <c r="E16" t="inlineStr">
        <is>
          <t>x</t>
        </is>
      </c>
      <c r="F16" t="inlineStr">
        <is>
          <t>x</t>
        </is>
      </c>
      <c r="G16" t="inlineStr">
        <is>
          <t>x</t>
        </is>
      </c>
      <c r="H16" t="inlineStr">
        <is>
          <t>x</t>
        </is>
      </c>
    </row>
    <row r="17" ht="15" customHeight="1">
      <c r="A17" t="inlineStr">
        <is>
          <t>7A4</t>
        </is>
      </c>
      <c r="B17" t="inlineStr">
        <is>
          <t>S</t>
        </is>
      </c>
      <c r="C17" t="n">
        <v>2</v>
      </c>
      <c r="D17" t="inlineStr">
        <is>
          <t>x</t>
        </is>
      </c>
      <c r="E17" t="inlineStr">
        <is>
          <t>x</t>
        </is>
      </c>
      <c r="F17" t="inlineStr">
        <is>
          <t>x</t>
        </is>
      </c>
      <c r="G17" t="inlineStr">
        <is>
          <t>x</t>
        </is>
      </c>
      <c r="H17" t="inlineStr">
        <is>
          <t>x</t>
        </is>
      </c>
    </row>
    <row r="18" ht="15" customHeight="1">
      <c r="A18" t="inlineStr">
        <is>
          <t>7A4</t>
        </is>
      </c>
      <c r="B18" t="inlineStr">
        <is>
          <t>S</t>
        </is>
      </c>
      <c r="C18" t="n">
        <v>3</v>
      </c>
      <c r="D18" t="inlineStr">
        <is>
          <t>x</t>
        </is>
      </c>
      <c r="E18" t="inlineStr">
        <is>
          <t>x</t>
        </is>
      </c>
      <c r="F18" t="inlineStr">
        <is>
          <t>x</t>
        </is>
      </c>
      <c r="G18" t="inlineStr">
        <is>
          <t>x</t>
        </is>
      </c>
      <c r="H18" t="inlineStr">
        <is>
          <t>x</t>
        </is>
      </c>
    </row>
    <row r="19" ht="15" customHeight="1">
      <c r="A19" t="inlineStr">
        <is>
          <t>7A4</t>
        </is>
      </c>
      <c r="B19" t="inlineStr">
        <is>
          <t>S</t>
        </is>
      </c>
      <c r="C19" t="n">
        <v>4</v>
      </c>
      <c r="D19" t="inlineStr">
        <is>
          <t>x</t>
        </is>
      </c>
      <c r="E19" t="inlineStr">
        <is>
          <t>x</t>
        </is>
      </c>
      <c r="F19" t="inlineStr">
        <is>
          <t>x</t>
        </is>
      </c>
      <c r="G19" t="inlineStr">
        <is>
          <t>x</t>
        </is>
      </c>
      <c r="H19" t="inlineStr">
        <is>
          <t>x</t>
        </is>
      </c>
    </row>
    <row r="20" ht="15" customHeight="1">
      <c r="A20" t="inlineStr">
        <is>
          <t>7A4</t>
        </is>
      </c>
      <c r="B20" t="inlineStr">
        <is>
          <t>C</t>
        </is>
      </c>
      <c r="C20" t="n">
        <v>1</v>
      </c>
      <c r="D20" t="inlineStr">
        <is>
          <t>x</t>
        </is>
      </c>
      <c r="E20" t="inlineStr">
        <is>
          <t>x</t>
        </is>
      </c>
      <c r="F20" t="inlineStr">
        <is>
          <t>x</t>
        </is>
      </c>
    </row>
    <row r="21" ht="15" customHeight="1">
      <c r="A21" t="inlineStr">
        <is>
          <t>7A4</t>
        </is>
      </c>
      <c r="B21" t="inlineStr">
        <is>
          <t>C</t>
        </is>
      </c>
      <c r="C21" t="n">
        <v>2</v>
      </c>
      <c r="D21" t="inlineStr">
        <is>
          <t>x</t>
        </is>
      </c>
      <c r="E21" t="inlineStr">
        <is>
          <t>x</t>
        </is>
      </c>
      <c r="F21" t="inlineStr">
        <is>
          <t>x</t>
        </is>
      </c>
    </row>
    <row r="22" ht="15" customHeight="1">
      <c r="A22" t="inlineStr">
        <is>
          <t>7A4</t>
        </is>
      </c>
      <c r="B22" t="inlineStr">
        <is>
          <t>C</t>
        </is>
      </c>
      <c r="C22" t="n">
        <v>3</v>
      </c>
      <c r="D22" t="inlineStr">
        <is>
          <t>x</t>
        </is>
      </c>
      <c r="E22" t="inlineStr">
        <is>
          <t>x</t>
        </is>
      </c>
      <c r="F22" t="inlineStr">
        <is>
          <t>x</t>
        </is>
      </c>
    </row>
    <row r="23" ht="15" customHeight="1">
      <c r="A23" t="inlineStr">
        <is>
          <t>7A5</t>
        </is>
      </c>
      <c r="B23" t="inlineStr">
        <is>
          <t>S</t>
        </is>
      </c>
      <c r="C23" t="n">
        <v>1</v>
      </c>
      <c r="D23" t="inlineStr">
        <is>
          <t>x</t>
        </is>
      </c>
      <c r="E23" t="inlineStr">
        <is>
          <t>x</t>
        </is>
      </c>
      <c r="F23" t="inlineStr">
        <is>
          <t>x</t>
        </is>
      </c>
      <c r="G23" t="inlineStr">
        <is>
          <t>x</t>
        </is>
      </c>
      <c r="H23" t="inlineStr">
        <is>
          <t>x</t>
        </is>
      </c>
    </row>
    <row r="24" ht="15" customHeight="1">
      <c r="A24" t="inlineStr">
        <is>
          <t>7A5</t>
        </is>
      </c>
      <c r="B24" t="inlineStr">
        <is>
          <t>S</t>
        </is>
      </c>
      <c r="C24" t="n">
        <v>2</v>
      </c>
      <c r="D24" t="inlineStr">
        <is>
          <t>x</t>
        </is>
      </c>
      <c r="E24" t="inlineStr">
        <is>
          <t>x</t>
        </is>
      </c>
      <c r="F24" t="inlineStr">
        <is>
          <t>x</t>
        </is>
      </c>
      <c r="G24" t="inlineStr">
        <is>
          <t>x</t>
        </is>
      </c>
      <c r="H24" t="inlineStr">
        <is>
          <t>x</t>
        </is>
      </c>
    </row>
    <row r="25" ht="15" customHeight="1">
      <c r="A25" t="inlineStr">
        <is>
          <t>7A5</t>
        </is>
      </c>
      <c r="B25" t="inlineStr">
        <is>
          <t>S</t>
        </is>
      </c>
      <c r="C25" t="n">
        <v>3</v>
      </c>
      <c r="D25" t="inlineStr">
        <is>
          <t>x</t>
        </is>
      </c>
      <c r="E25" t="inlineStr">
        <is>
          <t>x</t>
        </is>
      </c>
      <c r="F25" t="inlineStr">
        <is>
          <t>x</t>
        </is>
      </c>
      <c r="G25" t="inlineStr">
        <is>
          <t>x</t>
        </is>
      </c>
      <c r="H25" t="inlineStr">
        <is>
          <t>x</t>
        </is>
      </c>
    </row>
    <row r="26" ht="15" customHeight="1">
      <c r="A26" t="inlineStr">
        <is>
          <t>7A5</t>
        </is>
      </c>
      <c r="B26" t="inlineStr">
        <is>
          <t>S</t>
        </is>
      </c>
      <c r="C26" t="n">
        <v>4</v>
      </c>
      <c r="D26" t="inlineStr">
        <is>
          <t>x</t>
        </is>
      </c>
      <c r="E26" t="inlineStr">
        <is>
          <t>x</t>
        </is>
      </c>
      <c r="F26" t="inlineStr">
        <is>
          <t>x</t>
        </is>
      </c>
      <c r="G26" t="inlineStr">
        <is>
          <t>x</t>
        </is>
      </c>
      <c r="H26" t="inlineStr">
        <is>
          <t>x</t>
        </is>
      </c>
    </row>
    <row r="27" ht="15" customHeight="1">
      <c r="A27" t="inlineStr">
        <is>
          <t>7A5</t>
        </is>
      </c>
      <c r="B27" t="inlineStr">
        <is>
          <t>C</t>
        </is>
      </c>
      <c r="C27" t="n">
        <v>1</v>
      </c>
      <c r="D27" t="inlineStr">
        <is>
          <t>x</t>
        </is>
      </c>
      <c r="E27" t="inlineStr">
        <is>
          <t>x</t>
        </is>
      </c>
      <c r="F27" t="inlineStr">
        <is>
          <t>x</t>
        </is>
      </c>
    </row>
    <row r="28" ht="15" customHeight="1">
      <c r="A28" t="inlineStr">
        <is>
          <t>7A5</t>
        </is>
      </c>
      <c r="B28" t="inlineStr">
        <is>
          <t>C</t>
        </is>
      </c>
      <c r="C28" t="n">
        <v>2</v>
      </c>
      <c r="D28" t="inlineStr">
        <is>
          <t>x</t>
        </is>
      </c>
      <c r="E28" t="inlineStr">
        <is>
          <t>x</t>
        </is>
      </c>
      <c r="F28" t="inlineStr">
        <is>
          <t>x</t>
        </is>
      </c>
    </row>
    <row r="29" ht="15" customHeight="1">
      <c r="A29" t="inlineStr">
        <is>
          <t>7A5</t>
        </is>
      </c>
      <c r="B29" t="inlineStr">
        <is>
          <t>C</t>
        </is>
      </c>
      <c r="C29" t="n">
        <v>3</v>
      </c>
      <c r="D29" t="inlineStr">
        <is>
          <t>x</t>
        </is>
      </c>
      <c r="E29" t="inlineStr">
        <is>
          <t>x</t>
        </is>
      </c>
      <c r="F29" t="inlineStr">
        <is>
          <t>x</t>
        </is>
      </c>
    </row>
    <row r="30" ht="15" customHeight="1">
      <c r="A30" t="inlineStr">
        <is>
          <t>8A5</t>
        </is>
      </c>
      <c r="B30" t="inlineStr">
        <is>
          <t>S</t>
        </is>
      </c>
      <c r="C30" t="n">
        <v>1</v>
      </c>
      <c r="D30" t="inlineStr">
        <is>
          <t>x</t>
        </is>
      </c>
      <c r="E30" t="inlineStr">
        <is>
          <t>x</t>
        </is>
      </c>
      <c r="F30" t="inlineStr">
        <is>
          <t>x</t>
        </is>
      </c>
      <c r="G30" t="inlineStr">
        <is>
          <t>x</t>
        </is>
      </c>
      <c r="H30" t="inlineStr">
        <is>
          <t>x</t>
        </is>
      </c>
    </row>
    <row r="31" ht="15" customHeight="1">
      <c r="A31" t="inlineStr">
        <is>
          <t>8A5</t>
        </is>
      </c>
      <c r="B31" t="inlineStr">
        <is>
          <t>S</t>
        </is>
      </c>
      <c r="C31" t="n">
        <v>2</v>
      </c>
      <c r="D31" t="inlineStr">
        <is>
          <t>x</t>
        </is>
      </c>
      <c r="E31" t="inlineStr">
        <is>
          <t>x</t>
        </is>
      </c>
      <c r="F31" t="inlineStr">
        <is>
          <t>x</t>
        </is>
      </c>
      <c r="G31" t="inlineStr">
        <is>
          <t>x</t>
        </is>
      </c>
      <c r="H31" t="inlineStr">
        <is>
          <t>x</t>
        </is>
      </c>
    </row>
    <row r="32" ht="15" customHeight="1">
      <c r="A32" t="inlineStr">
        <is>
          <t>8A5</t>
        </is>
      </c>
      <c r="B32" t="inlineStr">
        <is>
          <t>S</t>
        </is>
      </c>
      <c r="C32" t="n">
        <v>3</v>
      </c>
      <c r="D32" t="inlineStr">
        <is>
          <t>x</t>
        </is>
      </c>
      <c r="E32" t="inlineStr">
        <is>
          <t>x</t>
        </is>
      </c>
      <c r="F32" t="inlineStr">
        <is>
          <t>x</t>
        </is>
      </c>
      <c r="G32" t="inlineStr">
        <is>
          <t>x</t>
        </is>
      </c>
      <c r="H32" t="inlineStr">
        <is>
          <t>x</t>
        </is>
      </c>
    </row>
    <row r="33" ht="15" customHeight="1">
      <c r="A33" t="inlineStr">
        <is>
          <t>8A5</t>
        </is>
      </c>
      <c r="B33" t="inlineStr">
        <is>
          <t>S</t>
        </is>
      </c>
      <c r="C33" t="n">
        <v>4</v>
      </c>
      <c r="D33" t="inlineStr">
        <is>
          <t>x</t>
        </is>
      </c>
      <c r="E33" t="inlineStr">
        <is>
          <t>x</t>
        </is>
      </c>
      <c r="F33" t="inlineStr">
        <is>
          <t>x</t>
        </is>
      </c>
      <c r="G33" t="inlineStr">
        <is>
          <t>x</t>
        </is>
      </c>
      <c r="H33" t="inlineStr">
        <is>
          <t>x</t>
        </is>
      </c>
    </row>
    <row r="34" ht="15" customHeight="1">
      <c r="A34" t="inlineStr">
        <is>
          <t>8A5</t>
        </is>
      </c>
      <c r="B34" t="inlineStr">
        <is>
          <t>C</t>
        </is>
      </c>
      <c r="C34" t="n">
        <v>1</v>
      </c>
      <c r="D34" t="inlineStr">
        <is>
          <t>x</t>
        </is>
      </c>
      <c r="E34" t="inlineStr">
        <is>
          <t>x</t>
        </is>
      </c>
      <c r="F34" t="inlineStr">
        <is>
          <t>x</t>
        </is>
      </c>
    </row>
    <row r="35" ht="15" customHeight="1">
      <c r="A35" t="inlineStr">
        <is>
          <t>8A5</t>
        </is>
      </c>
      <c r="B35" t="inlineStr">
        <is>
          <t>C</t>
        </is>
      </c>
      <c r="C35" t="n">
        <v>2</v>
      </c>
      <c r="D35" t="inlineStr">
        <is>
          <t>x</t>
        </is>
      </c>
      <c r="E35" t="inlineStr">
        <is>
          <t>x</t>
        </is>
      </c>
      <c r="F35" t="inlineStr">
        <is>
          <t>x</t>
        </is>
      </c>
    </row>
    <row r="36" ht="15" customHeight="1">
      <c r="A36" t="inlineStr">
        <is>
          <t>8A5</t>
        </is>
      </c>
      <c r="B36" t="inlineStr">
        <is>
          <t>C</t>
        </is>
      </c>
      <c r="C36" t="n">
        <v>3</v>
      </c>
      <c r="D36" t="inlineStr">
        <is>
          <t>x</t>
        </is>
      </c>
      <c r="E36" t="inlineStr">
        <is>
          <t>x</t>
        </is>
      </c>
      <c r="F36" t="inlineStr">
        <is>
          <t>x</t>
        </is>
      </c>
    </row>
    <row r="37" ht="15" customHeight="1">
      <c r="A37" t="inlineStr">
        <is>
          <t>8A6</t>
        </is>
      </c>
      <c r="B37" t="inlineStr">
        <is>
          <t>S</t>
        </is>
      </c>
      <c r="C37" t="n">
        <v>1</v>
      </c>
      <c r="D37" t="inlineStr">
        <is>
          <t>x</t>
        </is>
      </c>
      <c r="E37" t="inlineStr">
        <is>
          <t>x</t>
        </is>
      </c>
      <c r="F37" t="inlineStr">
        <is>
          <t>x</t>
        </is>
      </c>
      <c r="G37" t="inlineStr">
        <is>
          <t>x</t>
        </is>
      </c>
      <c r="H37" t="inlineStr">
        <is>
          <t>x</t>
        </is>
      </c>
    </row>
    <row r="38" ht="15" customHeight="1">
      <c r="A38" t="inlineStr">
        <is>
          <t>8A6</t>
        </is>
      </c>
      <c r="B38" t="inlineStr">
        <is>
          <t>S</t>
        </is>
      </c>
      <c r="C38" t="n">
        <v>2</v>
      </c>
      <c r="D38" t="inlineStr">
        <is>
          <t>x</t>
        </is>
      </c>
      <c r="E38" t="inlineStr">
        <is>
          <t>x</t>
        </is>
      </c>
      <c r="F38" t="inlineStr">
        <is>
          <t>x</t>
        </is>
      </c>
      <c r="G38" t="inlineStr">
        <is>
          <t>x</t>
        </is>
      </c>
      <c r="H38" t="inlineStr">
        <is>
          <t>x</t>
        </is>
      </c>
    </row>
    <row r="39" ht="15" customHeight="1">
      <c r="A39" t="inlineStr">
        <is>
          <t>8A6</t>
        </is>
      </c>
      <c r="B39" t="inlineStr">
        <is>
          <t>S</t>
        </is>
      </c>
      <c r="C39" t="n">
        <v>3</v>
      </c>
      <c r="D39" t="inlineStr">
        <is>
          <t>x</t>
        </is>
      </c>
      <c r="E39" t="inlineStr">
        <is>
          <t>x</t>
        </is>
      </c>
      <c r="F39" t="inlineStr">
        <is>
          <t>x</t>
        </is>
      </c>
      <c r="G39" t="inlineStr">
        <is>
          <t>x</t>
        </is>
      </c>
      <c r="H39" t="inlineStr">
        <is>
          <t>x</t>
        </is>
      </c>
    </row>
    <row r="40" ht="15" customHeight="1">
      <c r="A40" t="inlineStr">
        <is>
          <t>8A6</t>
        </is>
      </c>
      <c r="B40" t="inlineStr">
        <is>
          <t>S</t>
        </is>
      </c>
      <c r="C40" t="n">
        <v>4</v>
      </c>
      <c r="D40" t="inlineStr">
        <is>
          <t>x</t>
        </is>
      </c>
      <c r="E40" t="inlineStr">
        <is>
          <t>x</t>
        </is>
      </c>
      <c r="F40" t="inlineStr">
        <is>
          <t>x</t>
        </is>
      </c>
      <c r="G40" t="inlineStr">
        <is>
          <t>x</t>
        </is>
      </c>
      <c r="H40" t="inlineStr">
        <is>
          <t>x</t>
        </is>
      </c>
    </row>
    <row r="41" ht="15" customHeight="1">
      <c r="A41" t="inlineStr">
        <is>
          <t>8A6</t>
        </is>
      </c>
      <c r="B41" t="inlineStr">
        <is>
          <t>C</t>
        </is>
      </c>
      <c r="C41" t="n">
        <v>1</v>
      </c>
      <c r="D41" t="inlineStr">
        <is>
          <t>x</t>
        </is>
      </c>
      <c r="E41" t="inlineStr">
        <is>
          <t>x</t>
        </is>
      </c>
      <c r="F41" t="inlineStr">
        <is>
          <t>x</t>
        </is>
      </c>
    </row>
    <row r="42" ht="15" customHeight="1">
      <c r="A42" t="inlineStr">
        <is>
          <t>8A6</t>
        </is>
      </c>
      <c r="B42" t="inlineStr">
        <is>
          <t>C</t>
        </is>
      </c>
      <c r="C42" t="n">
        <v>2</v>
      </c>
      <c r="D42" t="inlineStr">
        <is>
          <t>x</t>
        </is>
      </c>
      <c r="E42" t="inlineStr">
        <is>
          <t>x</t>
        </is>
      </c>
      <c r="F42" t="inlineStr">
        <is>
          <t>x</t>
        </is>
      </c>
    </row>
    <row r="43" ht="15" customHeight="1">
      <c r="A43" t="inlineStr">
        <is>
          <t>8A6</t>
        </is>
      </c>
      <c r="B43" t="inlineStr">
        <is>
          <t>C</t>
        </is>
      </c>
      <c r="C43" t="n">
        <v>3</v>
      </c>
      <c r="D43" t="inlineStr">
        <is>
          <t>x</t>
        </is>
      </c>
      <c r="E43" t="inlineStr">
        <is>
          <t>x</t>
        </is>
      </c>
      <c r="F43" t="inlineStr">
        <is>
          <t>x</t>
        </is>
      </c>
    </row>
    <row r="44" ht="15" customHeight="1">
      <c r="A44" t="inlineStr">
        <is>
          <t>9A5</t>
        </is>
      </c>
      <c r="B44" t="inlineStr">
        <is>
          <t>S</t>
        </is>
      </c>
      <c r="C44" t="n">
        <v>1</v>
      </c>
      <c r="D44" t="inlineStr">
        <is>
          <t>x</t>
        </is>
      </c>
      <c r="E44" t="inlineStr">
        <is>
          <t>x</t>
        </is>
      </c>
      <c r="F44" t="inlineStr">
        <is>
          <t>x</t>
        </is>
      </c>
      <c r="G44" t="inlineStr">
        <is>
          <t>x</t>
        </is>
      </c>
      <c r="H44" t="inlineStr">
        <is>
          <t>x</t>
        </is>
      </c>
    </row>
    <row r="45" ht="15" customHeight="1">
      <c r="A45" t="inlineStr">
        <is>
          <t>9A5</t>
        </is>
      </c>
      <c r="B45" t="inlineStr">
        <is>
          <t>S</t>
        </is>
      </c>
      <c r="C45" t="n">
        <v>2</v>
      </c>
      <c r="D45" t="inlineStr">
        <is>
          <t>x</t>
        </is>
      </c>
      <c r="E45" t="inlineStr">
        <is>
          <t>x</t>
        </is>
      </c>
      <c r="F45" t="inlineStr">
        <is>
          <t>x</t>
        </is>
      </c>
      <c r="G45" t="inlineStr">
        <is>
          <t>x</t>
        </is>
      </c>
      <c r="H45" t="inlineStr">
        <is>
          <t>x</t>
        </is>
      </c>
    </row>
    <row r="46" ht="15" customHeight="1">
      <c r="A46" t="inlineStr">
        <is>
          <t>9A5</t>
        </is>
      </c>
      <c r="B46" t="inlineStr">
        <is>
          <t>S</t>
        </is>
      </c>
      <c r="C46" t="n">
        <v>3</v>
      </c>
      <c r="D46" t="inlineStr">
        <is>
          <t>x</t>
        </is>
      </c>
      <c r="E46" t="inlineStr">
        <is>
          <t>x</t>
        </is>
      </c>
      <c r="F46" t="inlineStr">
        <is>
          <t>x</t>
        </is>
      </c>
      <c r="G46" t="inlineStr">
        <is>
          <t>x</t>
        </is>
      </c>
      <c r="H46" t="inlineStr">
        <is>
          <t>x</t>
        </is>
      </c>
    </row>
    <row r="47" ht="15" customHeight="1">
      <c r="A47" t="inlineStr">
        <is>
          <t>9A5</t>
        </is>
      </c>
      <c r="B47" t="inlineStr">
        <is>
          <t>S</t>
        </is>
      </c>
      <c r="C47" t="n">
        <v>4</v>
      </c>
      <c r="D47" t="inlineStr">
        <is>
          <t>x</t>
        </is>
      </c>
      <c r="E47" t="inlineStr">
        <is>
          <t>x</t>
        </is>
      </c>
      <c r="F47" t="inlineStr">
        <is>
          <t>x</t>
        </is>
      </c>
      <c r="G47" t="inlineStr">
        <is>
          <t>x</t>
        </is>
      </c>
      <c r="H47" t="inlineStr">
        <is>
          <t>x</t>
        </is>
      </c>
    </row>
    <row r="48" ht="15" customHeight="1">
      <c r="A48" t="inlineStr">
        <is>
          <t>9A5</t>
        </is>
      </c>
      <c r="B48" t="inlineStr">
        <is>
          <t>C</t>
        </is>
      </c>
      <c r="C48" t="n">
        <v>1</v>
      </c>
      <c r="D48" t="inlineStr">
        <is>
          <t>x</t>
        </is>
      </c>
      <c r="E48" t="inlineStr">
        <is>
          <t>x</t>
        </is>
      </c>
      <c r="F48" t="inlineStr">
        <is>
          <t>x</t>
        </is>
      </c>
    </row>
    <row r="49" ht="15" customHeight="1">
      <c r="A49" t="inlineStr">
        <is>
          <t>9A5</t>
        </is>
      </c>
      <c r="B49" t="inlineStr">
        <is>
          <t>C</t>
        </is>
      </c>
      <c r="C49" t="n">
        <v>2</v>
      </c>
      <c r="D49" t="inlineStr">
        <is>
          <t>x</t>
        </is>
      </c>
      <c r="E49" t="inlineStr">
        <is>
          <t>x</t>
        </is>
      </c>
      <c r="F49" t="inlineStr">
        <is>
          <t>x</t>
        </is>
      </c>
    </row>
    <row r="50" ht="15" customHeight="1">
      <c r="A50" t="inlineStr">
        <is>
          <t>9A5</t>
        </is>
      </c>
      <c r="B50" t="inlineStr">
        <is>
          <t>C</t>
        </is>
      </c>
      <c r="C50" t="n">
        <v>3</v>
      </c>
      <c r="D50" t="inlineStr">
        <is>
          <t>x</t>
        </is>
      </c>
      <c r="E50" t="inlineStr">
        <is>
          <t>x</t>
        </is>
      </c>
      <c r="F50" t="inlineStr">
        <is>
          <t>x</t>
        </is>
      </c>
    </row>
    <row r="51" ht="15" customHeight="1">
      <c r="A51" t="inlineStr">
        <is>
          <t>9A6</t>
        </is>
      </c>
      <c r="B51" t="inlineStr">
        <is>
          <t>S</t>
        </is>
      </c>
      <c r="C51" t="n">
        <v>1</v>
      </c>
      <c r="D51" t="inlineStr">
        <is>
          <t>x</t>
        </is>
      </c>
      <c r="E51" t="inlineStr">
        <is>
          <t>x</t>
        </is>
      </c>
      <c r="F51" t="inlineStr">
        <is>
          <t>x</t>
        </is>
      </c>
      <c r="G51" t="inlineStr">
        <is>
          <t>x</t>
        </is>
      </c>
      <c r="H51" t="inlineStr">
        <is>
          <t>x</t>
        </is>
      </c>
    </row>
    <row r="52" ht="15" customHeight="1">
      <c r="A52" t="inlineStr">
        <is>
          <t>9A6</t>
        </is>
      </c>
      <c r="B52" t="inlineStr">
        <is>
          <t>S</t>
        </is>
      </c>
      <c r="C52" t="n">
        <v>2</v>
      </c>
      <c r="D52" t="inlineStr">
        <is>
          <t>x</t>
        </is>
      </c>
      <c r="E52" t="inlineStr">
        <is>
          <t>x</t>
        </is>
      </c>
      <c r="F52" t="inlineStr">
        <is>
          <t>x</t>
        </is>
      </c>
      <c r="G52" t="inlineStr">
        <is>
          <t>x</t>
        </is>
      </c>
      <c r="H52" t="inlineStr">
        <is>
          <t>x</t>
        </is>
      </c>
    </row>
    <row r="53" ht="15" customHeight="1">
      <c r="A53" t="inlineStr">
        <is>
          <t>9A6</t>
        </is>
      </c>
      <c r="B53" t="inlineStr">
        <is>
          <t>S</t>
        </is>
      </c>
      <c r="C53" t="n">
        <v>3</v>
      </c>
      <c r="D53" t="inlineStr">
        <is>
          <t>x</t>
        </is>
      </c>
      <c r="E53" t="inlineStr">
        <is>
          <t>x</t>
        </is>
      </c>
      <c r="F53" t="inlineStr">
        <is>
          <t>x</t>
        </is>
      </c>
      <c r="G53" t="inlineStr">
        <is>
          <t>x</t>
        </is>
      </c>
      <c r="H53" t="inlineStr">
        <is>
          <t>x</t>
        </is>
      </c>
    </row>
    <row r="54" ht="15" customHeight="1">
      <c r="A54" t="inlineStr">
        <is>
          <t>9A6</t>
        </is>
      </c>
      <c r="B54" t="inlineStr">
        <is>
          <t>S</t>
        </is>
      </c>
      <c r="C54" t="n">
        <v>4</v>
      </c>
      <c r="D54" t="inlineStr">
        <is>
          <t>x</t>
        </is>
      </c>
      <c r="E54" t="inlineStr">
        <is>
          <t>x</t>
        </is>
      </c>
      <c r="F54" t="inlineStr">
        <is>
          <t>x</t>
        </is>
      </c>
      <c r="G54" t="inlineStr">
        <is>
          <t>x</t>
        </is>
      </c>
      <c r="H54" t="inlineStr">
        <is>
          <t>x</t>
        </is>
      </c>
    </row>
    <row r="55" ht="15" customHeight="1">
      <c r="A55" t="inlineStr">
        <is>
          <t>9A6</t>
        </is>
      </c>
      <c r="B55" t="inlineStr">
        <is>
          <t>C</t>
        </is>
      </c>
      <c r="C55" t="n">
        <v>1</v>
      </c>
      <c r="D55" t="inlineStr">
        <is>
          <t>x</t>
        </is>
      </c>
      <c r="E55" t="inlineStr">
        <is>
          <t>x</t>
        </is>
      </c>
      <c r="F55" t="inlineStr">
        <is>
          <t>x</t>
        </is>
      </c>
    </row>
    <row r="56" ht="15" customHeight="1">
      <c r="A56" t="inlineStr">
        <is>
          <t>9A6</t>
        </is>
      </c>
      <c r="B56" t="inlineStr">
        <is>
          <t>C</t>
        </is>
      </c>
      <c r="C56" t="n">
        <v>2</v>
      </c>
      <c r="D56" t="inlineStr">
        <is>
          <t>x</t>
        </is>
      </c>
      <c r="E56" t="inlineStr">
        <is>
          <t>x</t>
        </is>
      </c>
      <c r="F56" t="inlineStr">
        <is>
          <t>x</t>
        </is>
      </c>
    </row>
    <row r="57" ht="15" customHeight="1">
      <c r="A57" t="inlineStr">
        <is>
          <t>9A6</t>
        </is>
      </c>
      <c r="B57" t="inlineStr">
        <is>
          <t>C</t>
        </is>
      </c>
      <c r="C57" t="n">
        <v>3</v>
      </c>
      <c r="D57" t="inlineStr">
        <is>
          <t>x</t>
        </is>
      </c>
      <c r="E57" t="inlineStr">
        <is>
          <t>x</t>
        </is>
      </c>
      <c r="F57" t="inlineStr">
        <is>
          <t>x</t>
        </is>
      </c>
    </row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C5"/>
  <sheetViews>
    <sheetView zoomScaleNormal="100" workbookViewId="0">
      <selection activeCell="A1" sqref="A1"/>
    </sheetView>
  </sheetViews>
  <sheetFormatPr baseColWidth="8" defaultColWidth="8.7109375" defaultRowHeight="15"/>
  <cols>
    <col width="16" customWidth="1" min="1" max="3"/>
  </cols>
  <sheetData>
    <row r="1" ht="15" customHeight="1">
      <c r="A1" s="42" t="inlineStr">
        <is>
          <t>SEED HIEN TAI -&gt;</t>
        </is>
      </c>
      <c r="B1" s="42" t="n">
        <v>2026</v>
      </c>
    </row>
    <row r="2" ht="15" customHeight="1">
      <c r="A2" s="5" t="inlineStr">
        <is>
          <t>TUAN HIEN TAI (C=chan/L=le) -&gt;</t>
        </is>
      </c>
      <c r="B2" s="43" t="inlineStr">
        <is>
          <t>C</t>
        </is>
      </c>
    </row>
    <row r="3" ht="15" customHeight="1">
      <c r="A3" s="42" t="inlineStr">
        <is>
          <t>Tuan</t>
        </is>
      </c>
      <c r="B3" s="42" t="inlineStr">
        <is>
          <t>Seed</t>
        </is>
      </c>
      <c r="C3" s="42" t="inlineStr">
        <is>
          <t>Ngay tao</t>
        </is>
      </c>
    </row>
    <row r="4">
      <c r="A4" t="n">
        <v>1</v>
      </c>
      <c r="B4" t="n">
        <v>2026</v>
      </c>
      <c r="C4" t="inlineStr">
        <is>
          <t>27/08/2026 22:00 [C]</t>
        </is>
      </c>
    </row>
    <row r="5">
      <c r="A5" t="n">
        <v>2</v>
      </c>
      <c r="B5" t="n">
        <v>2026</v>
      </c>
      <c r="C5" t="inlineStr">
        <is>
          <t>27/08/2026 22:00 [L]</t>
        </is>
      </c>
    </row>
  </sheetData>
  <dataValidations count="1">
    <dataValidation sqref="B2" showDropDown="0" showInputMessage="0" showErrorMessage="0" allowBlank="0" type="list">
      <formula1>"C,L"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2026-07-05T16:53:43Z</dcterms:created>
  <dcterms:modified xmlns:dcterms="http://purl.org/dc/terms/" xmlns:xsi="http://www.w3.org/2001/XMLSchema-instance" xsi:type="dcterms:W3CDTF">2026-08-27T15:33:19Z</dcterms:modified>
  <cp:lastModifiedBy>Nguyen Trung Kien</cp:lastModifiedBy>
  <cp:revision>0</cp:revision>
</cp:coreProperties>
</file>