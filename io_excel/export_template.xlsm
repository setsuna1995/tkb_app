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name="HuongDan" sheetId="1" state="visible" r:id="rId1"/>
    <sheet name="HuongDan_ChiTiet" sheetId="2" state="visible" r:id="rId2"/>
    <sheet name="PhanCong" sheetId="3" state="visible" r:id="rId3"/>
    <sheet name="SoTiet" sheetId="4" state="visible" r:id="rId4"/>
    <sheet name="GV_Ban" sheetId="5" state="visible" r:id="rId5"/>
    <sheet name="DinhMuc_GV" sheetId="6" state="visible" r:id="rId6"/>
    <sheet name="TKB_Nhap" sheetId="7" state="visible" r:id="rId7"/>
    <sheet name="TKB" sheetId="8" state="visible" r:id="rId8"/>
    <sheet name="TKB_GV" sheetId="9" state="visible" r:id="rId9"/>
    <sheet name="KiemTra" sheetId="10" state="visible" r:id="rId10"/>
    <sheet name="Khung" sheetId="11" state="hidden" r:id="rId11"/>
    <sheet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9 lớp (3 lớp 6), nguồn Sheet2. Cột MÃ=vai trò, cột CV=chức vụ</t>
        </is>
      </c>
    </row>
    <row r="2" ht="15" customHeight="1">
      <c r="A2" s="11" t="inlineStr">
        <is>
          <t>Môn \ Lớp</t>
        </is>
      </c>
      <c r="B2" s="11" t="inlineStr">
        <is>
          <t>6A</t>
        </is>
      </c>
      <c r="C2" s="11" t="inlineStr">
        <is>
          <t>6B</t>
        </is>
      </c>
      <c r="D2" s="11" t="inlineStr">
        <is>
          <t>6C</t>
        </is>
      </c>
      <c r="E2" s="11" t="inlineStr">
        <is>
          <t>7A</t>
        </is>
      </c>
      <c r="F2" s="11" t="inlineStr">
        <is>
          <t>7B</t>
        </is>
      </c>
      <c r="G2" s="11" t="inlineStr">
        <is>
          <t>8A</t>
        </is>
      </c>
      <c r="H2" s="11" t="inlineStr">
        <is>
          <t>8B</t>
        </is>
      </c>
      <c r="I2" s="11" t="inlineStr">
        <is>
          <t>9A</t>
        </is>
      </c>
      <c r="J2" s="11" t="inlineStr">
        <is>
          <t>9B</t>
        </is>
      </c>
      <c r="K2" s="12" t="n"/>
      <c r="L2" s="13" t="inlineStr">
        <is>
          <t>MA</t>
        </is>
      </c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Lệ</t>
        </is>
      </c>
      <c r="C3" s="16" t="inlineStr">
        <is>
          <t>Lệ</t>
        </is>
      </c>
      <c r="D3" s="16" t="inlineStr">
        <is>
          <t>Lệ</t>
        </is>
      </c>
      <c r="E3" s="16" t="inlineStr">
        <is>
          <t>Minh Anh</t>
        </is>
      </c>
      <c r="F3" s="16" t="inlineStr">
        <is>
          <t>Minh Anh</t>
        </is>
      </c>
      <c r="G3" s="16" t="inlineStr">
        <is>
          <t>Huyền Ly</t>
        </is>
      </c>
      <c r="H3" s="16" t="inlineStr">
        <is>
          <t>Huyền Ly</t>
        </is>
      </c>
      <c r="I3" s="16" t="inlineStr">
        <is>
          <t>Nguyễn Ly</t>
        </is>
      </c>
      <c r="J3" s="16" t="inlineStr">
        <is>
          <t>Nguyễn Ly</t>
        </is>
      </c>
      <c r="K3" s="17" t="n"/>
      <c r="L3" s="18" t="n">
        <v>1</v>
      </c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Uyên</t>
        </is>
      </c>
      <c r="C4" s="16" t="inlineStr">
        <is>
          <t>Uyên</t>
        </is>
      </c>
      <c r="D4" s="16" t="inlineStr">
        <is>
          <t>Uyên</t>
        </is>
      </c>
      <c r="E4" s="16" t="inlineStr">
        <is>
          <t>BC</t>
        </is>
      </c>
      <c r="F4" s="16" t="inlineStr">
        <is>
          <t>BC</t>
        </is>
      </c>
      <c r="G4" s="16" t="inlineStr">
        <is>
          <t>Lan</t>
        </is>
      </c>
      <c r="H4" s="16" t="inlineStr">
        <is>
          <t>Lan</t>
        </is>
      </c>
      <c r="I4" s="16" t="inlineStr">
        <is>
          <t>Hoa</t>
        </is>
      </c>
      <c r="J4" s="16" t="inlineStr">
        <is>
          <t>Hoa</t>
        </is>
      </c>
      <c r="K4" s="17" t="n"/>
      <c r="L4" s="18" t="n">
        <v>3</v>
      </c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Trung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Giang</t>
        </is>
      </c>
      <c r="F5" s="16" t="inlineStr">
        <is>
          <t>Giang</t>
        </is>
      </c>
      <c r="G5" s="16" t="inlineStr">
        <is>
          <t>Trung</t>
        </is>
      </c>
      <c r="H5" s="16" t="inlineStr">
        <is>
          <t>Trung</t>
        </is>
      </c>
      <c r="I5" s="16" t="inlineStr">
        <is>
          <t>Giang</t>
        </is>
      </c>
      <c r="J5" s="16" t="inlineStr">
        <is>
          <t>Giang</t>
        </is>
      </c>
      <c r="K5" s="17" t="n"/>
      <c r="L5" s="18" t="n">
        <v>0</v>
      </c>
      <c r="M5" s="19" t="n"/>
      <c r="N5" s="19" t="n"/>
      <c r="O5" s="20" t="n"/>
    </row>
    <row r="6" ht="15" customHeight="1">
      <c r="A6" s="15" t="inlineStr">
        <is>
          <t>Khoa học tự nhiên (Vật lý)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Sơn</t>
        </is>
      </c>
      <c r="E6" s="16" t="inlineStr">
        <is>
          <t>Huyền Ly</t>
        </is>
      </c>
      <c r="F6" s="16" t="inlineStr">
        <is>
          <t>Huyền Ly</t>
        </is>
      </c>
      <c r="G6" s="16" t="inlineStr">
        <is>
          <t>Huyền Ly</t>
        </is>
      </c>
      <c r="H6" s="16" t="inlineStr">
        <is>
          <t>Huyền Ly</t>
        </is>
      </c>
      <c r="I6" s="16" t="inlineStr">
        <is>
          <t>Nguyễn Ly</t>
        </is>
      </c>
      <c r="J6" s="16" t="inlineStr">
        <is>
          <t>Nguyễn Ly</t>
        </is>
      </c>
      <c r="K6" s="17" t="n"/>
      <c r="L6" s="18" t="n">
        <v>1</v>
      </c>
      <c r="M6" s="19" t="n"/>
      <c r="N6" s="19" t="n"/>
      <c r="O6" s="20" t="n"/>
    </row>
    <row r="7" ht="15" customHeight="1">
      <c r="A7" s="15" t="inlineStr">
        <is>
          <t>Khoa học tự nhiên (Hoá học)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Sơn</t>
        </is>
      </c>
      <c r="E7" s="16" t="inlineStr">
        <is>
          <t>Hoà</t>
        </is>
      </c>
      <c r="F7" s="16" t="inlineStr">
        <is>
          <t>Hoà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inlineStr">
        <is>
          <t>Khu</t>
        </is>
      </c>
      <c r="K7" s="17" t="n"/>
      <c r="L7" s="18" t="n">
        <v>1</v>
      </c>
      <c r="M7" s="19" t="n"/>
      <c r="N7" s="19" t="n"/>
      <c r="O7" s="20" t="n"/>
    </row>
    <row r="8" ht="15" customHeight="1">
      <c r="A8" s="15" t="inlineStr">
        <is>
          <t>Khoa học tự nhiên (Sinh học)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Sơn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Hoà</t>
        </is>
      </c>
      <c r="I8" s="16" t="inlineStr">
        <is>
          <t>Sơn</t>
        </is>
      </c>
      <c r="J8" s="16" t="inlineStr">
        <is>
          <t>Sơn</t>
        </is>
      </c>
      <c r="K8" s="17" t="n"/>
      <c r="L8" s="18" t="n">
        <v>0</v>
      </c>
      <c r="M8" s="19" t="n"/>
      <c r="N8" s="19" t="n"/>
      <c r="O8" s="20" t="n"/>
    </row>
    <row r="9" ht="15" customHeight="1">
      <c r="A9" s="15" t="inlineStr">
        <is>
          <t>Lịch sử và địa lý (Lịch sử)</t>
        </is>
      </c>
      <c r="B9" s="16" t="inlineStr">
        <is>
          <t>Nhung</t>
        </is>
      </c>
      <c r="C9" s="16" t="inlineStr">
        <is>
          <t>Nhung</t>
        </is>
      </c>
      <c r="D9" s="16" t="inlineStr">
        <is>
          <t>Nhung</t>
        </is>
      </c>
      <c r="E9" s="16" t="inlineStr">
        <is>
          <t>GVHĐ 1</t>
        </is>
      </c>
      <c r="F9" s="16" t="inlineStr">
        <is>
          <t>GVHĐ 1</t>
        </is>
      </c>
      <c r="G9" s="16" t="inlineStr">
        <is>
          <t>Huyền</t>
        </is>
      </c>
      <c r="H9" s="16" t="inlineStr">
        <is>
          <t>Huyền</t>
        </is>
      </c>
      <c r="I9" s="16" t="inlineStr">
        <is>
          <t>Huyền</t>
        </is>
      </c>
      <c r="J9" s="16" t="inlineStr">
        <is>
          <t>Huyền</t>
        </is>
      </c>
      <c r="K9" s="17" t="n"/>
      <c r="L9" s="18" t="n">
        <v>0</v>
      </c>
    </row>
    <row r="10" ht="15" customHeight="1">
      <c r="A10" s="15" t="inlineStr">
        <is>
          <t>Lịch sử và địa lý (Địa lý)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GVHĐ 1</t>
        </is>
      </c>
      <c r="F10" s="16" t="inlineStr">
        <is>
          <t>GVHĐ 1</t>
        </is>
      </c>
      <c r="G10" s="16" t="inlineStr">
        <is>
          <t>Huyền</t>
        </is>
      </c>
      <c r="H10" s="16" t="inlineStr">
        <is>
          <t>Huyền</t>
        </is>
      </c>
      <c r="I10" s="16" t="inlineStr">
        <is>
          <t>Huyền</t>
        </is>
      </c>
      <c r="J10" s="16" t="inlineStr">
        <is>
          <t>Huyền</t>
        </is>
      </c>
      <c r="K10" s="17" t="n"/>
      <c r="L10" s="18" t="n">
        <v>0</v>
      </c>
    </row>
    <row r="11" ht="15" customHeight="1">
      <c r="A11" s="15" t="inlineStr">
        <is>
          <t>Giáo dục công dân</t>
        </is>
      </c>
      <c r="B11" s="16" t="inlineStr">
        <is>
          <t>Hoà</t>
        </is>
      </c>
      <c r="C11" s="16" t="inlineStr">
        <is>
          <t>Hoà</t>
        </is>
      </c>
      <c r="D11" s="16" t="inlineStr">
        <is>
          <t>Hoà</t>
        </is>
      </c>
      <c r="E11" s="16" t="inlineStr">
        <is>
          <t>Hoa</t>
        </is>
      </c>
      <c r="F11" s="16" t="inlineStr">
        <is>
          <t>Hoa</t>
        </is>
      </c>
      <c r="G11" s="16" t="inlineStr">
        <is>
          <t>BC</t>
        </is>
      </c>
      <c r="H11" s="16" t="inlineStr">
        <is>
          <t>BC</t>
        </is>
      </c>
      <c r="I11" s="16" t="inlineStr">
        <is>
          <t>Lan</t>
        </is>
      </c>
      <c r="J11" s="16" t="inlineStr">
        <is>
          <t>Lan</t>
        </is>
      </c>
      <c r="K11" s="17" t="n"/>
      <c r="L11" s="18" t="n">
        <v>0</v>
      </c>
    </row>
    <row r="12" ht="15" customHeight="1">
      <c r="A12" s="15" t="inlineStr">
        <is>
          <t>Công nghệ</t>
        </is>
      </c>
      <c r="B12" s="16" t="inlineStr">
        <is>
          <t>GVHĐ 1</t>
        </is>
      </c>
      <c r="C12" s="16" t="inlineStr">
        <is>
          <t>GVHĐ 1</t>
        </is>
      </c>
      <c r="D12" s="16" t="inlineStr">
        <is>
          <t>GVHĐ 1</t>
        </is>
      </c>
      <c r="E12" s="16" t="inlineStr">
        <is>
          <t>Hoà</t>
        </is>
      </c>
      <c r="F12" s="16" t="inlineStr">
        <is>
          <t>Hoà</t>
        </is>
      </c>
      <c r="G12" s="16" t="inlineStr">
        <is>
          <t>Sơn</t>
        </is>
      </c>
      <c r="H12" s="16" t="inlineStr">
        <is>
          <t>Sơn</t>
        </is>
      </c>
      <c r="I12" s="16" t="inlineStr">
        <is>
          <t>GVHĐ 1</t>
        </is>
      </c>
      <c r="J12" s="16" t="inlineStr">
        <is>
          <t>GVHĐ 1</t>
        </is>
      </c>
      <c r="K12" s="17" t="n"/>
      <c r="L12" s="18" t="n">
        <v>0</v>
      </c>
    </row>
    <row r="13" ht="15" customHeight="1">
      <c r="A13" s="15" t="inlineStr">
        <is>
          <t>Tin</t>
        </is>
      </c>
      <c r="B13" s="16" t="inlineStr">
        <is>
          <t>Khu</t>
        </is>
      </c>
      <c r="C13" s="16" t="inlineStr">
        <is>
          <t>Khu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Khu</t>
        </is>
      </c>
      <c r="G13" s="16" t="inlineStr">
        <is>
          <t>Minh Anh</t>
        </is>
      </c>
      <c r="H13" s="16" t="inlineStr">
        <is>
          <t>Minh Anh</t>
        </is>
      </c>
      <c r="I13" s="16" t="inlineStr">
        <is>
          <t>Minh Anh</t>
        </is>
      </c>
      <c r="J13" s="16" t="inlineStr">
        <is>
          <t>Minh Anh</t>
        </is>
      </c>
      <c r="K13" s="17" t="n"/>
      <c r="L13" s="18" t="n">
        <v>0</v>
      </c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inlineStr">
        <is>
          <t>Hồng</t>
        </is>
      </c>
      <c r="K14" s="17" t="n"/>
      <c r="L14" s="18" t="n">
        <v>4</v>
      </c>
    </row>
    <row r="15" ht="15" customHeight="1">
      <c r="A15" s="15" t="inlineStr">
        <is>
          <t>Nội dung giáo dục của địa phương</t>
        </is>
      </c>
      <c r="B15" s="16" t="inlineStr">
        <is>
          <t>GVHĐ 1</t>
        </is>
      </c>
      <c r="C15" s="16" t="inlineStr">
        <is>
          <t>GVHĐ 1</t>
        </is>
      </c>
      <c r="D15" s="16" t="inlineStr">
        <is>
          <t>GVHĐ 1</t>
        </is>
      </c>
      <c r="E15" s="16" t="inlineStr">
        <is>
          <t>Nhung</t>
        </is>
      </c>
      <c r="F15" s="16" t="inlineStr">
        <is>
          <t>Nhung</t>
        </is>
      </c>
      <c r="G15" s="16" t="inlineStr">
        <is>
          <t>Vân</t>
        </is>
      </c>
      <c r="H15" s="16" t="inlineStr">
        <is>
          <t>Vân</t>
        </is>
      </c>
      <c r="I15" s="16" t="inlineStr">
        <is>
          <t>Vân</t>
        </is>
      </c>
      <c r="J15" s="16" t="inlineStr">
        <is>
          <t>Vân</t>
        </is>
      </c>
      <c r="K15" s="17" t="n"/>
      <c r="L15" s="18" t="n">
        <v>0</v>
      </c>
    </row>
    <row r="16" ht="15" customHeight="1">
      <c r="A16" s="15" t="inlineStr">
        <is>
          <t>Hoạt động trải nghiệm, hướng nghiệp</t>
        </is>
      </c>
      <c r="B16" s="16" t="inlineStr">
        <is>
          <t>Lệ</t>
        </is>
      </c>
      <c r="C16" s="16" t="inlineStr">
        <is>
          <t>Nhung</t>
        </is>
      </c>
      <c r="D16" s="16" t="inlineStr">
        <is>
          <t>Uyên</t>
        </is>
      </c>
      <c r="E16" s="16" t="inlineStr">
        <is>
          <t>Minh Anh</t>
        </is>
      </c>
      <c r="F16" s="16" t="inlineStr">
        <is>
          <t>BC</t>
        </is>
      </c>
      <c r="G16" s="16" t="inlineStr">
        <is>
          <t>Huyền</t>
        </is>
      </c>
      <c r="H16" s="16" t="inlineStr">
        <is>
          <t>Khu</t>
        </is>
      </c>
      <c r="I16" s="16" t="inlineStr">
        <is>
          <t>Hoa</t>
        </is>
      </c>
      <c r="J16" s="16" t="inlineStr">
        <is>
          <t>Nguyễn Ly</t>
        </is>
      </c>
      <c r="K16" s="17" t="n"/>
      <c r="L16" s="18" t="n">
        <v>5</v>
      </c>
    </row>
    <row r="17" ht="15" customHeight="1">
      <c r="A17" s="15" t="inlineStr">
        <is>
          <t>Nghệ thuật (Nhạc)</t>
        </is>
      </c>
      <c r="B17" s="16" t="inlineStr">
        <is>
          <t>Lan</t>
        </is>
      </c>
      <c r="C17" s="16" t="inlineStr">
        <is>
          <t>Lan</t>
        </is>
      </c>
      <c r="D17" s="16" t="inlineStr">
        <is>
          <t>Lan</t>
        </is>
      </c>
      <c r="E17" s="16" t="inlineStr">
        <is>
          <t>Nhung</t>
        </is>
      </c>
      <c r="F17" s="16" t="inlineStr">
        <is>
          <t>Nhung</t>
        </is>
      </c>
      <c r="G17" s="16" t="inlineStr">
        <is>
          <t>BC</t>
        </is>
      </c>
      <c r="H17" s="16" t="inlineStr">
        <is>
          <t>BC</t>
        </is>
      </c>
      <c r="I17" s="16" t="inlineStr">
        <is>
          <t>Hà</t>
        </is>
      </c>
      <c r="J17" s="16" t="inlineStr">
        <is>
          <t>Hà</t>
        </is>
      </c>
      <c r="K17" s="17" t="n"/>
      <c r="L17" s="18" t="n">
        <v>0</v>
      </c>
    </row>
    <row r="18" ht="15" customHeight="1">
      <c r="A18" s="15" t="inlineStr">
        <is>
          <t>Nghệ thuật (Mỹ thuật)</t>
        </is>
      </c>
      <c r="B18" s="16" t="inlineStr">
        <is>
          <t>GVHĐ 1</t>
        </is>
      </c>
      <c r="C18" s="16" t="inlineStr">
        <is>
          <t>GVHĐ 1</t>
        </is>
      </c>
      <c r="D18" s="16" t="inlineStr">
        <is>
          <t>GVHĐ 1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inlineStr">
        <is>
          <t>Lan Ly</t>
        </is>
      </c>
      <c r="K18" s="17" t="n"/>
      <c r="L18" s="18" t="n">
        <v>0</v>
      </c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 C</t>
        </is>
      </c>
      <c r="C2" s="24" t="inlineStr">
        <is>
          <t>6B C</t>
        </is>
      </c>
      <c r="D2" s="24" t="inlineStr">
        <is>
          <t>6C C</t>
        </is>
      </c>
      <c r="E2" s="24" t="inlineStr">
        <is>
          <t>7A C</t>
        </is>
      </c>
      <c r="F2" s="24" t="inlineStr">
        <is>
          <t>7B C</t>
        </is>
      </c>
      <c r="G2" s="24" t="inlineStr">
        <is>
          <t>8A C</t>
        </is>
      </c>
      <c r="H2" s="24" t="inlineStr">
        <is>
          <t>8B C</t>
        </is>
      </c>
      <c r="I2" s="24" t="inlineStr">
        <is>
          <t>9A C</t>
        </is>
      </c>
      <c r="J2" s="24" t="inlineStr">
        <is>
          <t>9B C</t>
        </is>
      </c>
      <c r="K2" s="12" t="n"/>
      <c r="L2" s="25" t="inlineStr">
        <is>
          <t>6A L</t>
        </is>
      </c>
      <c r="M2" s="25" t="inlineStr">
        <is>
          <t>6B L</t>
        </is>
      </c>
      <c r="N2" s="25" t="inlineStr">
        <is>
          <t>6C L</t>
        </is>
      </c>
      <c r="O2" s="25" t="inlineStr">
        <is>
          <t>7A L</t>
        </is>
      </c>
      <c r="P2" s="25" t="inlineStr">
        <is>
          <t>7B L</t>
        </is>
      </c>
      <c r="Q2" s="25" t="inlineStr">
        <is>
          <t>8A L</t>
        </is>
      </c>
      <c r="R2" s="25" t="inlineStr">
        <is>
          <t>8B L</t>
        </is>
      </c>
      <c r="S2" s="25" t="inlineStr">
        <is>
          <t>9A L</t>
        </is>
      </c>
      <c r="T2" s="25" t="inlineStr">
        <is>
          <t>9B L</t>
        </is>
      </c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>
        <v>4</v>
      </c>
      <c r="K3" s="22" t="n"/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>
        <v>4</v>
      </c>
      <c r="T3" s="16" t="n">
        <v>4</v>
      </c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>
        <v>4</v>
      </c>
      <c r="K4" s="22" t="n"/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>
        <v>4</v>
      </c>
      <c r="T4" s="16" t="n">
        <v>4</v>
      </c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>
        <v>3</v>
      </c>
      <c r="K5" s="22" t="n"/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>
        <v>3</v>
      </c>
      <c r="T5" s="16" t="n">
        <v>3</v>
      </c>
    </row>
    <row r="6" ht="15" customHeight="1">
      <c r="A6" s="26" t="inlineStr">
        <is>
          <t>Khoa học tự nhiên (Vật lý)</t>
        </is>
      </c>
      <c r="B6" s="16" t="n">
        <v>1</v>
      </c>
      <c r="C6" s="16" t="n">
        <v>1</v>
      </c>
      <c r="D6" s="16" t="n">
        <v>1</v>
      </c>
      <c r="E6" s="16" t="n">
        <v>1</v>
      </c>
      <c r="F6" s="16" t="n">
        <v>1</v>
      </c>
      <c r="G6" s="16" t="n">
        <v>2</v>
      </c>
      <c r="H6" s="16" t="n">
        <v>2</v>
      </c>
      <c r="I6" s="16" t="n">
        <v>2</v>
      </c>
      <c r="J6" s="16" t="n">
        <v>2</v>
      </c>
      <c r="K6" s="22" t="n"/>
      <c r="L6" s="16" t="n">
        <v>1</v>
      </c>
      <c r="M6" s="16" t="n">
        <v>1</v>
      </c>
      <c r="N6" s="16" t="n">
        <v>1</v>
      </c>
      <c r="O6" s="16" t="n">
        <v>1</v>
      </c>
      <c r="P6" s="16" t="n">
        <v>1</v>
      </c>
      <c r="Q6" s="16" t="n">
        <v>1</v>
      </c>
      <c r="R6" s="16" t="n">
        <v>1</v>
      </c>
      <c r="S6" s="16" t="n">
        <v>1</v>
      </c>
      <c r="T6" s="16" t="n">
        <v>1</v>
      </c>
    </row>
    <row r="7" ht="15" customHeight="1">
      <c r="A7" s="26" t="inlineStr">
        <is>
          <t>Khoa học tự nhiên (Hoá học)</t>
        </is>
      </c>
      <c r="B7" s="16" t="n">
        <v>1</v>
      </c>
      <c r="C7" s="16" t="n">
        <v>1</v>
      </c>
      <c r="D7" s="16" t="n">
        <v>1</v>
      </c>
      <c r="E7" s="16" t="n">
        <v>1</v>
      </c>
      <c r="F7" s="16" t="n">
        <v>1</v>
      </c>
      <c r="G7" s="16" t="n">
        <v>1</v>
      </c>
      <c r="H7" s="16" t="n">
        <v>1</v>
      </c>
      <c r="I7" s="16" t="n">
        <v>1</v>
      </c>
      <c r="J7" s="16" t="n">
        <v>1</v>
      </c>
      <c r="K7" s="22" t="n"/>
      <c r="L7" s="16" t="n">
        <v>1</v>
      </c>
      <c r="M7" s="16" t="n">
        <v>1</v>
      </c>
      <c r="N7" s="16" t="n">
        <v>1</v>
      </c>
      <c r="O7" s="16" t="n">
        <v>1</v>
      </c>
      <c r="P7" s="16" t="n">
        <v>1</v>
      </c>
      <c r="Q7" s="16" t="n">
        <v>1</v>
      </c>
      <c r="R7" s="16" t="n">
        <v>1</v>
      </c>
      <c r="S7" s="16" t="n">
        <v>2</v>
      </c>
      <c r="T7" s="16" t="n">
        <v>2</v>
      </c>
    </row>
    <row r="8" ht="15" customHeight="1">
      <c r="A8" s="26" t="inlineStr">
        <is>
          <t>Khoa học tự nhiên (Sinh học)</t>
        </is>
      </c>
      <c r="B8" s="16" t="n">
        <v>2</v>
      </c>
      <c r="C8" s="16" t="n">
        <v>2</v>
      </c>
      <c r="D8" s="16" t="n">
        <v>2</v>
      </c>
      <c r="E8" s="16" t="n">
        <v>2</v>
      </c>
      <c r="F8" s="16" t="n">
        <v>2</v>
      </c>
      <c r="G8" s="16" t="n">
        <v>2</v>
      </c>
      <c r="H8" s="16" t="n">
        <v>2</v>
      </c>
      <c r="I8" s="16" t="n">
        <v>1</v>
      </c>
      <c r="J8" s="16" t="n">
        <v>1</v>
      </c>
      <c r="K8" s="22" t="n"/>
      <c r="L8" s="16" t="n">
        <v>2</v>
      </c>
      <c r="M8" s="16" t="n">
        <v>2</v>
      </c>
      <c r="N8" s="16" t="n">
        <v>2</v>
      </c>
      <c r="O8" s="16" t="n">
        <v>2</v>
      </c>
      <c r="P8" s="16" t="n">
        <v>2</v>
      </c>
      <c r="Q8" s="16" t="n">
        <v>1</v>
      </c>
      <c r="R8" s="16" t="n">
        <v>1</v>
      </c>
      <c r="S8" s="16" t="n">
        <v>1</v>
      </c>
      <c r="T8" s="16" t="n">
        <v>1</v>
      </c>
    </row>
    <row r="9" ht="15" customHeight="1">
      <c r="A9" s="26" t="inlineStr">
        <is>
          <t>Lịch sử và địa lý (Lịch sử)</t>
        </is>
      </c>
      <c r="B9" s="16" t="n">
        <v>2</v>
      </c>
      <c r="C9" s="16" t="n">
        <v>2</v>
      </c>
      <c r="D9" s="16" t="n">
        <v>2</v>
      </c>
      <c r="E9" s="16" t="n">
        <v>2</v>
      </c>
      <c r="F9" s="16" t="n">
        <v>2</v>
      </c>
      <c r="G9" s="16" t="n">
        <v>2</v>
      </c>
      <c r="H9" s="16" t="n">
        <v>2</v>
      </c>
      <c r="I9" s="16" t="n">
        <v>2</v>
      </c>
      <c r="J9" s="16" t="n">
        <v>2</v>
      </c>
      <c r="K9" s="22" t="n"/>
      <c r="L9" s="16" t="n">
        <v>1</v>
      </c>
      <c r="M9" s="16" t="n">
        <v>1</v>
      </c>
      <c r="N9" s="16" t="n">
        <v>1</v>
      </c>
      <c r="O9" s="16" t="n">
        <v>1</v>
      </c>
      <c r="P9" s="16" t="n">
        <v>1</v>
      </c>
      <c r="Q9" s="16" t="n">
        <v>1</v>
      </c>
      <c r="R9" s="16" t="n">
        <v>1</v>
      </c>
      <c r="S9" s="16" t="n">
        <v>1</v>
      </c>
      <c r="T9" s="16" t="n">
        <v>1</v>
      </c>
    </row>
    <row r="10" ht="15" customHeight="1">
      <c r="A10" s="26" t="inlineStr">
        <is>
          <t>Lịch sử và địa lý (Địa lý)</t>
        </is>
      </c>
      <c r="B10" s="16" t="n">
        <v>1</v>
      </c>
      <c r="C10" s="16" t="n">
        <v>1</v>
      </c>
      <c r="D10" s="16" t="n">
        <v>1</v>
      </c>
      <c r="E10" s="16" t="n">
        <v>1</v>
      </c>
      <c r="F10" s="16" t="n">
        <v>1</v>
      </c>
      <c r="G10" s="16" t="n">
        <v>1</v>
      </c>
      <c r="H10" s="16" t="n">
        <v>1</v>
      </c>
      <c r="I10" s="16" t="n">
        <v>1</v>
      </c>
      <c r="J10" s="16" t="n">
        <v>1</v>
      </c>
      <c r="K10" s="22" t="n"/>
      <c r="L10" s="16" t="n">
        <v>2</v>
      </c>
      <c r="M10" s="16" t="n">
        <v>2</v>
      </c>
      <c r="N10" s="16" t="n">
        <v>2</v>
      </c>
      <c r="O10" s="16" t="n">
        <v>2</v>
      </c>
      <c r="P10" s="16" t="n">
        <v>2</v>
      </c>
      <c r="Q10" s="16" t="n">
        <v>2</v>
      </c>
      <c r="R10" s="16" t="n">
        <v>2</v>
      </c>
      <c r="S10" s="16" t="n">
        <v>2</v>
      </c>
      <c r="T10" s="16" t="n">
        <v>2</v>
      </c>
    </row>
    <row r="11" ht="15" customHeight="1">
      <c r="A11" s="26" t="inlineStr">
        <is>
          <t>Giáo dục công dân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>
        <v>1</v>
      </c>
      <c r="K11" s="22" t="n"/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>
        <v>1</v>
      </c>
      <c r="T11" s="16" t="n">
        <v>1</v>
      </c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>
        <v>1</v>
      </c>
      <c r="K12" s="22" t="n"/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>
        <v>1</v>
      </c>
      <c r="T12" s="16" t="n">
        <v>1</v>
      </c>
    </row>
    <row r="13" ht="15" customHeight="1">
      <c r="A13" s="26" t="inlineStr">
        <is>
          <t>Tin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>
        <v>1</v>
      </c>
      <c r="K13" s="22" t="n"/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>
        <v>1</v>
      </c>
      <c r="T13" s="16" t="n">
        <v>1</v>
      </c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>
        <v>2</v>
      </c>
      <c r="K14" s="22" t="n"/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>
        <v>2</v>
      </c>
      <c r="T14" s="16" t="n">
        <v>2</v>
      </c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>
        <v>1</v>
      </c>
      <c r="K15" s="22" t="n"/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>
        <v>1</v>
      </c>
      <c r="T15" s="16" t="n">
        <v>1</v>
      </c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>
        <v>3</v>
      </c>
      <c r="K16" s="22" t="n"/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>
        <v>3</v>
      </c>
      <c r="T16" s="16" t="n">
        <v>3</v>
      </c>
    </row>
    <row r="17" ht="15" customHeight="1">
      <c r="A17" s="26" t="inlineStr">
        <is>
          <t>Nghệ thuật (Nhạc)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>
        <v>1</v>
      </c>
      <c r="K17" s="22" t="n"/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>
        <v>1</v>
      </c>
      <c r="T17" s="16" t="n">
        <v>1</v>
      </c>
    </row>
    <row r="18" ht="15" customHeight="1">
      <c r="A18" s="26" t="inlineStr">
        <is>
          <t>Nghệ thuật (Mỹ thuật)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>
        <v>1</v>
      </c>
      <c r="K18" s="22" t="n"/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>
        <v>1</v>
      </c>
      <c r="T18" s="16" t="n">
        <v>1</v>
      </c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>
        <f>SUM(J3:J18)</f>
        <v/>
      </c>
      <c r="K19" s="12" t="n"/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>
        <f>SUM(S3:S18)</f>
        <v/>
      </c>
      <c r="T19" s="11">
        <f>SUM(T3:T18)</f>
        <v/>
      </c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15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n"/>
      <c r="B3" s="27" t="n"/>
      <c r="C3" s="27" t="n"/>
      <c r="D3" s="27" t="n"/>
    </row>
    <row r="4" ht="15" customHeight="1">
      <c r="A4" s="27" t="n"/>
      <c r="B4" s="27" t="n"/>
      <c r="C4" s="27" t="n"/>
      <c r="D4" s="27" t="n"/>
    </row>
    <row r="5" ht="15" customHeight="1">
      <c r="A5" s="27" t="n"/>
      <c r="B5" s="27" t="n"/>
      <c r="C5" s="27" t="n"/>
      <c r="D5" s="27" t="n"/>
    </row>
    <row r="6" ht="15" customHeight="1">
      <c r="A6" s="27" t="n"/>
      <c r="B6" s="27" t="n"/>
      <c r="C6" s="27" t="n"/>
      <c r="D6" s="27" t="n"/>
    </row>
    <row r="7" ht="15" customHeight="1">
      <c r="A7" s="27" t="n"/>
      <c r="B7" s="27" t="n"/>
      <c r="C7" s="27" t="n"/>
      <c r="D7" s="27" t="n"/>
    </row>
    <row r="8" ht="15" customHeight="1">
      <c r="A8" s="27" t="n"/>
      <c r="B8" s="27" t="n"/>
      <c r="C8" s="27" t="n"/>
      <c r="D8" s="27" t="n"/>
    </row>
    <row r="9" ht="15" customHeight="1">
      <c r="A9" s="27" t="n"/>
      <c r="B9" s="27" t="n"/>
      <c r="C9" s="27" t="n"/>
      <c r="D9" s="27" t="n"/>
    </row>
    <row r="10" ht="15" customHeight="1">
      <c r="A10" s="27" t="n"/>
      <c r="B10" s="27" t="n"/>
      <c r="C10" s="27" t="n"/>
      <c r="D10" s="27" t="n"/>
    </row>
    <row r="11" ht="15" customHeight="1">
      <c r="A11" s="27" t="n"/>
      <c r="B11" s="27" t="n"/>
      <c r="C11" s="27" t="n"/>
      <c r="D11" s="27" t="n"/>
    </row>
    <row r="12" ht="15" customHeight="1">
      <c r="A12" s="27" t="n"/>
      <c r="B12" s="27" t="n"/>
      <c r="C12" s="27" t="n"/>
      <c r="D12" s="27" t="n"/>
    </row>
    <row r="14" ht="15" customHeight="1">
      <c r="A14" s="23" t="inlineStr">
        <is>
          <t>Ví dụ:  Giang | 5 | * | *  → nghỉ cả Thứ 5.   Hồng | 3 | S | *  → bận sáng Thứ 3.</t>
        </is>
      </c>
    </row>
    <row r="15" ht="15" customHeight="1">
      <c r="A15" s="23" t="inlineStr">
        <is>
          <t>Tên GV phải khớp sheet PhanCong. Xoá dòng khi GV dạy lại rồi chạy lại macro.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GVHĐ 1</t>
        </is>
      </c>
      <c r="B3" s="16" t="n"/>
      <c r="C3" s="30">
        <f>IFERROR(VLOOKUP(B3,$K$2:$L$5,2,0),0)</f>
        <v/>
      </c>
      <c r="D3" s="31">
        <f>$I$1-C3</f>
        <v/>
      </c>
      <c r="E3" s="30">
        <f>SUMPRODUCT((PhanCong!$B$3:$J$18=A3)*SoTiet!$B$3:$J$18)</f>
        <v/>
      </c>
      <c r="F3" s="30">
        <f>SUMPRODUCT((PhanCong!$B$3:$J$18=A3)*SoTiet!$L$3:$T$18)</f>
        <v/>
      </c>
      <c r="G3" s="31">
        <f>E3-D3</f>
        <v/>
      </c>
      <c r="H3" s="16" t="n">
        <v>0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Giang</t>
        </is>
      </c>
      <c r="B4" s="16" t="inlineStr">
        <is>
          <t>GVCN</t>
        </is>
      </c>
      <c r="C4" s="30">
        <f>IFERROR(VLOOKUP(B4,$K$2:$L$5,2,0),0)</f>
        <v/>
      </c>
      <c r="D4" s="31">
        <f>$I$1-C4</f>
        <v/>
      </c>
      <c r="E4" s="30">
        <f>SUMPRODUCT((PhanCong!$B$3:$J$18=A4)*SoTiet!$B$3:$J$18)</f>
        <v/>
      </c>
      <c r="F4" s="30">
        <f>SUMPRODUCT((PhanCong!$B$3:$J$18=A4)*SoTiet!$L$3:$T$18)</f>
        <v/>
      </c>
      <c r="G4" s="31">
        <f>E4-D4</f>
        <v/>
      </c>
      <c r="H4" s="16" t="n">
        <v>1</v>
      </c>
      <c r="I4" s="16" t="n">
        <v>1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Hoa</t>
        </is>
      </c>
      <c r="B5" s="16" t="inlineStr">
        <is>
          <t>GVCN</t>
        </is>
      </c>
      <c r="C5" s="30">
        <f>IFERROR(VLOOKUP(B5,$K$2:$L$5,2,0),0)</f>
        <v/>
      </c>
      <c r="D5" s="31">
        <f>$I$1-C5</f>
        <v/>
      </c>
      <c r="E5" s="30">
        <f>SUMPRODUCT((PhanCong!$B$3:$J$18=A5)*SoTiet!$B$3:$J$18)</f>
        <v/>
      </c>
      <c r="F5" s="30">
        <f>SUMPRODUCT((PhanCong!$B$3:$J$18=A5)*SoTiet!$L$3:$T$18)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Hoà</t>
        </is>
      </c>
      <c r="B6" s="16" t="inlineStr">
        <is>
          <t>GVCN</t>
        </is>
      </c>
      <c r="C6" s="30">
        <f>IFERROR(VLOOKUP(B6,$K$2:$L$5,2,0),0)</f>
        <v/>
      </c>
      <c r="D6" s="31">
        <f>$I$1-C6</f>
        <v/>
      </c>
      <c r="E6" s="30">
        <f>SUMPRODUCT((PhanCong!$B$3:$J$18=A6)*SoTiet!$B$3:$J$18)</f>
        <v/>
      </c>
      <c r="F6" s="30">
        <f>SUMPRODUCT((PhanCong!$B$3:$J$18=A6)*SoTiet!$L$3:$T$18)</f>
        <v/>
      </c>
      <c r="G6" s="31">
        <f>E6-D6</f>
        <v/>
      </c>
      <c r="H6" s="16" t="n">
        <v>1</v>
      </c>
      <c r="I6" s="16" t="n">
        <v>1</v>
      </c>
    </row>
    <row r="7" ht="15" customHeight="1">
      <c r="A7" s="29" t="inlineStr">
        <is>
          <t>Huyền</t>
        </is>
      </c>
      <c r="B7" s="16" t="n"/>
      <c r="C7" s="30">
        <f>IFERROR(VLOOKUP(B7,$K$2:$L$5,2,0),0)</f>
        <v/>
      </c>
      <c r="D7" s="31">
        <f>$I$1-C7</f>
        <v/>
      </c>
      <c r="E7" s="30">
        <f>SUMPRODUCT((PhanCong!$B$3:$J$18=A7)*SoTiet!$B$3:$J$18)</f>
        <v/>
      </c>
      <c r="F7" s="30">
        <f>SUMPRODUCT((PhanCong!$B$3:$J$18=A7)*SoTiet!$L$3:$T$18)</f>
        <v/>
      </c>
      <c r="G7" s="31">
        <f>E7-D7</f>
        <v/>
      </c>
      <c r="H7" s="16" t="n">
        <v>0</v>
      </c>
      <c r="I7" s="16" t="n">
        <v>0</v>
      </c>
    </row>
    <row r="8" ht="15" customHeight="1">
      <c r="A8" s="29" t="inlineStr">
        <is>
          <t>Huyền Ly</t>
        </is>
      </c>
      <c r="B8" s="16" t="inlineStr">
        <is>
          <t>Tổ trưởng</t>
        </is>
      </c>
      <c r="C8" s="30">
        <f>IFERROR(VLOOKUP(B8,$K$2:$L$5,2,0),0)</f>
        <v/>
      </c>
      <c r="D8" s="31">
        <f>$I$1-C8</f>
        <v/>
      </c>
      <c r="E8" s="30">
        <f>SUMPRODUCT((PhanCong!$B$3:$J$18=A8)*SoTiet!$B$3:$J$18)</f>
        <v/>
      </c>
      <c r="F8" s="30">
        <f>SUMPRODUCT((PhanCong!$B$3:$J$18=A8)*SoTiet!$L$3:$T$18)</f>
        <v/>
      </c>
      <c r="G8" s="31">
        <f>E8-D8</f>
        <v/>
      </c>
      <c r="H8" s="16" t="n">
        <v>1</v>
      </c>
      <c r="I8" s="16" t="n">
        <v>0</v>
      </c>
    </row>
    <row r="9" ht="15" customHeight="1">
      <c r="A9" s="29" t="inlineStr">
        <is>
          <t>Hà</t>
        </is>
      </c>
      <c r="B9" s="16" t="n"/>
      <c r="C9" s="30">
        <f>IFERROR(VLOOKUP(B9,$K$2:$L$5,2,0),0)</f>
        <v/>
      </c>
      <c r="D9" s="31">
        <f>$I$1-C9</f>
        <v/>
      </c>
      <c r="E9" s="30">
        <f>SUMPRODUCT((PhanCong!$B$3:$J$18=A9)*SoTiet!$B$3:$J$18)</f>
        <v/>
      </c>
      <c r="F9" s="30">
        <f>SUMPRODUCT((PhanCong!$B$3:$J$18=A9)*SoTiet!$L$3:$T$18)</f>
        <v/>
      </c>
      <c r="G9" s="31">
        <f>E9-D9</f>
        <v/>
      </c>
      <c r="H9" s="16" t="n">
        <v>1</v>
      </c>
      <c r="I9" s="16" t="n">
        <v>0</v>
      </c>
    </row>
    <row r="10" ht="15" customHeight="1">
      <c r="A10" s="29" t="inlineStr">
        <is>
          <t>Hồng</t>
        </is>
      </c>
      <c r="B10" s="16" t="n"/>
      <c r="C10" s="30">
        <f>IFERROR(VLOOKUP(B10,$K$2:$L$5,2,0),0)</f>
        <v/>
      </c>
      <c r="D10" s="31">
        <f>$I$1-C10</f>
        <v/>
      </c>
      <c r="E10" s="30">
        <f>SUMPRODUCT((PhanCong!$B$3:$J$18=A10)*SoTiet!$B$3:$J$18)</f>
        <v/>
      </c>
      <c r="F10" s="30">
        <f>SUMPRODUCT((PhanCong!$B$3:$J$18=A10)*SoTiet!$L$3:$T$18)</f>
        <v/>
      </c>
      <c r="G10" s="31">
        <f>E10-D10</f>
        <v/>
      </c>
      <c r="H10" s="16" t="n">
        <v>0</v>
      </c>
      <c r="I10" s="16" t="n">
        <v>0</v>
      </c>
    </row>
    <row r="11" ht="15" customHeight="1">
      <c r="A11" s="29" t="inlineStr">
        <is>
          <t>Khu</t>
        </is>
      </c>
      <c r="B11" s="16" t="inlineStr">
        <is>
          <t>GVCN</t>
        </is>
      </c>
      <c r="C11" s="30">
        <f>IFERROR(VLOOKUP(B11,$K$2:$L$5,2,0),0)</f>
        <v/>
      </c>
      <c r="D11" s="31">
        <f>$I$1-C11</f>
        <v/>
      </c>
      <c r="E11" s="30">
        <f>SUMPRODUCT((PhanCong!$B$3:$J$18=A11)*SoTiet!$B$3:$J$18)</f>
        <v/>
      </c>
      <c r="F11" s="30">
        <f>SUMPRODUCT((PhanCong!$B$3:$J$18=A11)*SoTiet!$L$3:$T$18)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Lan</t>
        </is>
      </c>
      <c r="B12" s="16" t="inlineStr">
        <is>
          <t>Tổ trưởng</t>
        </is>
      </c>
      <c r="C12" s="30">
        <f>IFERROR(VLOOKUP(B12,$K$2:$L$5,2,0),0)</f>
        <v/>
      </c>
      <c r="D12" s="31">
        <f>$I$1-C12</f>
        <v/>
      </c>
      <c r="E12" s="30">
        <f>SUMPRODUCT((PhanCong!$B$3:$J$18=A12)*SoTiet!$B$3:$J$18)</f>
        <v/>
      </c>
      <c r="F12" s="30">
        <f>SUMPRODUCT((PhanCong!$B$3:$J$18=A12)*SoTiet!$L$3:$T$18)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 Ly</t>
        </is>
      </c>
      <c r="B13" s="16" t="inlineStr">
        <is>
          <t>Tổng phụ trách</t>
        </is>
      </c>
      <c r="C13" s="30">
        <f>IFERROR(VLOOKUP(B13,$K$2:$L$5,2,0),0)</f>
        <v/>
      </c>
      <c r="D13" s="31">
        <f>$I$1-C13</f>
        <v/>
      </c>
      <c r="E13" s="30">
        <f>SUMPRODUCT((PhanCong!$B$3:$J$18=A13)*SoTiet!$B$3:$J$18)</f>
        <v/>
      </c>
      <c r="F13" s="30">
        <f>SUMPRODUCT((PhanCong!$B$3:$J$18=A13)*SoTiet!$L$3:$T$18)</f>
        <v/>
      </c>
      <c r="G13" s="31">
        <f>E13-D13</f>
        <v/>
      </c>
      <c r="H13" s="16" t="n">
        <v>1</v>
      </c>
      <c r="I13" s="16" t="n">
        <v>0</v>
      </c>
    </row>
    <row r="14" ht="15" customHeight="1">
      <c r="A14" s="29" t="inlineStr">
        <is>
          <t>Lệ</t>
        </is>
      </c>
      <c r="B14" s="16" t="inlineStr">
        <is>
          <t>GVCN</t>
        </is>
      </c>
      <c r="C14" s="30">
        <f>IFERROR(VLOOKUP(B14,$K$2:$L$5,2,0),0)</f>
        <v/>
      </c>
      <c r="D14" s="31">
        <f>$I$1-C14</f>
        <v/>
      </c>
      <c r="E14" s="30">
        <f>SUMPRODUCT((PhanCong!$B$3:$J$18=A14)*SoTiet!$B$3:$J$18)</f>
        <v/>
      </c>
      <c r="F14" s="30">
        <f>SUMPRODUCT((PhanCong!$B$3:$J$18=A14)*SoTiet!$L$3:$T$18)</f>
        <v/>
      </c>
      <c r="G14" s="31">
        <f>E14-D14</f>
        <v/>
      </c>
      <c r="H14" s="16" t="n">
        <v>1</v>
      </c>
      <c r="I14" s="16" t="n">
        <v>1</v>
      </c>
    </row>
    <row r="15" ht="15" customHeight="1">
      <c r="A15" s="29" t="inlineStr">
        <is>
          <t>Minh Anh</t>
        </is>
      </c>
      <c r="B15" s="16" t="inlineStr">
        <is>
          <t>GVCN</t>
        </is>
      </c>
      <c r="C15" s="30">
        <f>IFERROR(VLOOKUP(B15,$K$2:$L$5,2,0),0)</f>
        <v/>
      </c>
      <c r="D15" s="31">
        <f>$I$1-C15</f>
        <v/>
      </c>
      <c r="E15" s="30">
        <f>SUMPRODUCT((PhanCong!$B$3:$J$18=A15)*SoTiet!$B$3:$J$18)</f>
        <v/>
      </c>
      <c r="F15" s="30">
        <f>SUMPRODUCT((PhanCong!$B$3:$J$18=A15)*SoTiet!$L$3:$T$18)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Nguyễn Ly</t>
        </is>
      </c>
      <c r="B16" s="16" t="inlineStr">
        <is>
          <t>GVCN</t>
        </is>
      </c>
      <c r="C16" s="30">
        <f>IFERROR(VLOOKUP(B16,$K$2:$L$5,2,0),0)</f>
        <v/>
      </c>
      <c r="D16" s="31">
        <f>$I$1-C16</f>
        <v/>
      </c>
      <c r="E16" s="30">
        <f>SUMPRODUCT((PhanCong!$B$3:$J$18=A16)*SoTiet!$B$3:$J$18)</f>
        <v/>
      </c>
      <c r="F16" s="30">
        <f>SUMPRODUCT((PhanCong!$B$3:$J$18=A16)*SoTiet!$L$3:$T$18)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Nhung</t>
        </is>
      </c>
      <c r="B17" s="16" t="inlineStr">
        <is>
          <t>GVCN</t>
        </is>
      </c>
      <c r="C17" s="30">
        <f>IFERROR(VLOOKUP(B17,$K$2:$L$5,2,0),0)</f>
        <v/>
      </c>
      <c r="D17" s="31">
        <f>$I$1-C17</f>
        <v/>
      </c>
      <c r="E17" s="30">
        <f>SUMPRODUCT((PhanCong!$B$3:$J$18=A17)*SoTiet!$B$3:$J$18)</f>
        <v/>
      </c>
      <c r="F17" s="30">
        <f>SUMPRODUCT((PhanCong!$B$3:$J$18=A17)*SoTiet!$L$3:$T$18)</f>
        <v/>
      </c>
      <c r="G17" s="31">
        <f>E17-D17</f>
        <v/>
      </c>
      <c r="H17" s="16" t="n">
        <v>1</v>
      </c>
      <c r="I17" s="16" t="n">
        <v>1</v>
      </c>
    </row>
    <row r="18" ht="15" customHeight="1">
      <c r="A18" s="29" t="inlineStr">
        <is>
          <t>Sơn</t>
        </is>
      </c>
      <c r="B18" s="16" t="inlineStr">
        <is>
          <t>Tổ phó</t>
        </is>
      </c>
      <c r="C18" s="30">
        <f>IFERROR(VLOOKUP(B18,$K$2:$L$5,2,0),0)</f>
        <v/>
      </c>
      <c r="D18" s="31">
        <f>$I$1-C18</f>
        <v/>
      </c>
      <c r="E18" s="30">
        <f>SUMPRODUCT((PhanCong!$B$3:$J$18=A18)*SoTiet!$B$3:$J$18)</f>
        <v/>
      </c>
      <c r="F18" s="30">
        <f>SUMPRODUCT((PhanCong!$B$3:$J$18=A18)*SoTiet!$L$3:$T$18)</f>
        <v/>
      </c>
      <c r="G18" s="31">
        <f>E18-D18</f>
        <v/>
      </c>
      <c r="H18" s="16" t="n">
        <v>1</v>
      </c>
      <c r="I18" s="16" t="n">
        <v>0</v>
      </c>
    </row>
    <row r="19" ht="15" customHeight="1">
      <c r="A19" s="29" t="inlineStr">
        <is>
          <t>Trung</t>
        </is>
      </c>
      <c r="B19" s="16" t="inlineStr">
        <is>
          <t>Tổ phó</t>
        </is>
      </c>
      <c r="C19" s="30">
        <f>IFERROR(VLOOKUP(B19,$K$2:$L$5,2,0),0)</f>
        <v/>
      </c>
      <c r="D19" s="31">
        <f>$I$1-C19</f>
        <v/>
      </c>
      <c r="E19" s="30">
        <f>SUMPRODUCT((PhanCong!$B$3:$J$18=A19)*SoTiet!$B$3:$J$18)</f>
        <v/>
      </c>
      <c r="F19" s="30">
        <f>SUMPRODUCT((PhanCong!$B$3:$J$18=A19)*SoTiet!$L$3:$T$18)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inlineStr">
        <is>
          <t>Uyên</t>
        </is>
      </c>
      <c r="B20" s="16" t="inlineStr">
        <is>
          <t>GVCN</t>
        </is>
      </c>
      <c r="C20" s="30">
        <f>IFERROR(VLOOKUP(B20,$K$2:$L$5,2,0),0)</f>
        <v/>
      </c>
      <c r="D20" s="31">
        <f>$I$1-C20</f>
        <v/>
      </c>
      <c r="E20" s="30">
        <f>SUMPRODUCT((PhanCong!$B$3:$J$18=A20)*SoTiet!$B$3:$J$18)</f>
        <v/>
      </c>
      <c r="F20" s="30">
        <f>SUMPRODUCT((PhanCong!$B$3:$J$18=A20)*SoTiet!$L$3:$T$18)</f>
        <v/>
      </c>
      <c r="G20" s="31">
        <f>E20-D20</f>
        <v/>
      </c>
      <c r="H20" s="16" t="n">
        <v>1</v>
      </c>
      <c r="I20" s="16" t="n">
        <v>1</v>
      </c>
    </row>
    <row r="21" ht="15" customHeight="1">
      <c r="A21" s="29" t="inlineStr">
        <is>
          <t>Vân</t>
        </is>
      </c>
      <c r="B21" s="16" t="n"/>
      <c r="C21" s="30">
        <f>IFERROR(VLOOKUP(B21,$K$2:$L$5,2,0),0)</f>
        <v/>
      </c>
      <c r="D21" s="31">
        <f>$I$1-C21</f>
        <v/>
      </c>
      <c r="E21" s="30">
        <f>SUMPRODUCT((PhanCong!$B$3:$J$18=A21)*SoTiet!$B$3:$J$18)</f>
        <v/>
      </c>
      <c r="F21" s="30">
        <f>SUMPRODUCT((PhanCong!$B$3:$J$18=A21)*SoTiet!$L$3:$T$18)</f>
        <v/>
      </c>
      <c r="G21" s="31">
        <f>E21-D21</f>
        <v/>
      </c>
      <c r="H21" s="16" t="n">
        <v>1</v>
      </c>
      <c r="I21" s="16" t="n">
        <v>0</v>
      </c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inlineStr">
        <is>
          <t>1=phải đi T2</t>
        </is>
      </c>
    </row>
    <row r="24" ht="15" customHeight="1">
      <c r="A24" s="23" t="n"/>
      <c r="D24" s="5" t="n"/>
      <c r="E24" s="5" t="n"/>
      <c r="H24" s="33" t="inlineStr">
        <is>
          <t>GVCN=phải đi T2+T7</t>
        </is>
      </c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</t>
        </is>
      </c>
      <c r="B2" s="30" t="inlineStr">
        <is>
          <t>S</t>
        </is>
      </c>
      <c r="C2" s="30" t="inlineStr">
        <is>
          <t>1</t>
        </is>
      </c>
      <c r="D2" s="35" t="inlineStr">
        <is>
          <t>Hoạt động trải nghiệm, hướng nghiệp</t>
        </is>
      </c>
      <c r="E2" s="35" t="inlineStr">
        <is>
          <t>Toán học</t>
        </is>
      </c>
      <c r="F2" s="35" t="inlineStr">
        <is>
          <t>Khoa học tự nhiên (Sinh học)</t>
        </is>
      </c>
      <c r="G2" s="35" t="inlineStr">
        <is>
          <t>Nội dung giáo dục của địa phương</t>
        </is>
      </c>
      <c r="H2" s="35" t="inlineStr">
        <is>
          <t>Giáo dục công dân</t>
        </is>
      </c>
      <c r="I2" s="35" t="inlineStr">
        <is>
          <t>Ngoại ngữ</t>
        </is>
      </c>
      <c r="J2" s="35" t="n"/>
    </row>
    <row r="3" ht="15" customHeight="1">
      <c r="A3" s="30" t="inlineStr">
        <is>
          <t>6A</t>
        </is>
      </c>
      <c r="B3" s="30" t="inlineStr">
        <is>
          <t>S</t>
        </is>
      </c>
      <c r="C3" s="30" t="inlineStr">
        <is>
          <t>2</t>
        </is>
      </c>
      <c r="D3" s="35" t="inlineStr">
        <is>
          <t>Ngoại ngữ</t>
        </is>
      </c>
      <c r="E3" s="35" t="inlineStr">
        <is>
          <t>Hoạt động trải nghiệm, hướng nghiệp</t>
        </is>
      </c>
      <c r="F3" s="35" t="inlineStr">
        <is>
          <t>Toán học</t>
        </is>
      </c>
      <c r="G3" s="35" t="inlineStr">
        <is>
          <t>Nghệ thuật (Nhạc)</t>
        </is>
      </c>
      <c r="H3" s="35" t="inlineStr">
        <is>
          <t>Nghệ thuật (Mỹ thuật)</t>
        </is>
      </c>
      <c r="I3" s="35" t="inlineStr">
        <is>
          <t>Lịch sử và địa lý (Lịch sử)</t>
        </is>
      </c>
      <c r="J3" s="35" t="n"/>
    </row>
    <row r="4" ht="24.75" customHeight="1">
      <c r="A4" s="30" t="inlineStr">
        <is>
          <t>6A</t>
        </is>
      </c>
      <c r="B4" s="30" t="inlineStr">
        <is>
          <t>S</t>
        </is>
      </c>
      <c r="C4" s="30" t="inlineStr">
        <is>
          <t>3</t>
        </is>
      </c>
      <c r="D4" s="35" t="inlineStr">
        <is>
          <t>Giáo dục thể chất</t>
        </is>
      </c>
      <c r="E4" s="35" t="inlineStr">
        <is>
          <t>Ngữ văn</t>
        </is>
      </c>
      <c r="F4" s="35" t="inlineStr">
        <is>
          <t>Ngữ văn</t>
        </is>
      </c>
      <c r="G4" s="35" t="inlineStr">
        <is>
          <t>Công nghệ</t>
        </is>
      </c>
      <c r="H4" s="35" t="inlineStr">
        <is>
          <t>Giáo dục thể chất</t>
        </is>
      </c>
      <c r="I4" s="35" t="inlineStr">
        <is>
          <t>Hoạt động trải nghiệm, hướng nghiệp</t>
        </is>
      </c>
      <c r="J4" s="35" t="n"/>
    </row>
    <row r="5" ht="15" customHeight="1">
      <c r="A5" s="30" t="inlineStr">
        <is>
          <t>6A</t>
        </is>
      </c>
      <c r="B5" s="30" t="inlineStr">
        <is>
          <t>S</t>
        </is>
      </c>
      <c r="C5" s="30" t="inlineStr">
        <is>
          <t>4</t>
        </is>
      </c>
      <c r="D5" s="35" t="inlineStr">
        <is>
          <t>Toán học</t>
        </is>
      </c>
      <c r="E5" s="35" t="inlineStr">
        <is>
          <t>Lịch sử và địa lý (Lịch sử)</t>
        </is>
      </c>
      <c r="F5" s="35" t="inlineStr">
        <is>
          <t>Ngữ văn</t>
        </is>
      </c>
      <c r="G5" s="35" t="inlineStr">
        <is>
          <t>Khoa học tự nhiên (Vật lý)</t>
        </is>
      </c>
      <c r="H5" s="35" t="inlineStr">
        <is>
          <t>Khoa học tự nhiên (Sinh học)</t>
        </is>
      </c>
      <c r="I5" s="35" t="inlineStr">
        <is>
          <t>Tin</t>
        </is>
      </c>
      <c r="J5" s="35" t="n"/>
    </row>
    <row r="6" ht="24.75" customHeight="1">
      <c r="A6" s="30" t="inlineStr">
        <is>
          <t>6A</t>
        </is>
      </c>
      <c r="B6" s="30" t="inlineStr">
        <is>
          <t>S</t>
        </is>
      </c>
      <c r="C6" s="30" t="inlineStr">
        <is>
          <t>5</t>
        </is>
      </c>
      <c r="D6" s="35" t="inlineStr">
        <is>
          <t>Khoa học tự nhiên (Hoá học)</t>
        </is>
      </c>
      <c r="E6" s="35" t="n"/>
      <c r="F6" s="35" t="inlineStr">
        <is>
          <t>Lịch sử và địa lý (Địa lý)</t>
        </is>
      </c>
      <c r="G6" s="35" t="inlineStr">
        <is>
          <t>Ngoại ngữ</t>
        </is>
      </c>
      <c r="H6" s="35" t="inlineStr">
        <is>
          <t>Ngữ văn</t>
        </is>
      </c>
      <c r="I6" s="35" t="inlineStr">
        <is>
          <t>Toán học</t>
        </is>
      </c>
      <c r="J6" s="35" t="n"/>
    </row>
    <row r="7" ht="24.75" customHeight="1">
      <c r="A7" s="30" t="inlineStr">
        <is>
          <t>6A</t>
        </is>
      </c>
      <c r="B7" s="30" t="inlineStr">
        <is>
          <t>C</t>
        </is>
      </c>
      <c r="C7" s="30" t="inlineStr">
        <is>
          <t>1</t>
        </is>
      </c>
      <c r="D7" s="35" t="n"/>
      <c r="E7" s="35" t="n"/>
      <c r="F7" s="35" t="n"/>
      <c r="G7" s="35" t="n"/>
      <c r="H7" s="35" t="n"/>
      <c r="I7" s="35" t="n"/>
      <c r="J7" s="35" t="n"/>
    </row>
    <row r="8" ht="15" customHeight="1">
      <c r="A8" s="30" t="inlineStr">
        <is>
          <t>6A</t>
        </is>
      </c>
      <c r="B8" s="30" t="inlineStr">
        <is>
          <t>C</t>
        </is>
      </c>
      <c r="C8" s="30" t="inlineStr">
        <is>
          <t>2</t>
        </is>
      </c>
      <c r="D8" s="35" t="n"/>
      <c r="E8" s="35" t="n"/>
      <c r="F8" s="35" t="n"/>
      <c r="G8" s="35" t="n"/>
      <c r="H8" s="35" t="n"/>
      <c r="I8" s="35" t="n"/>
      <c r="J8" s="35" t="n"/>
    </row>
    <row r="9" ht="15" customHeight="1">
      <c r="A9" s="30" t="inlineStr">
        <is>
          <t>6A</t>
        </is>
      </c>
      <c r="B9" s="30" t="inlineStr">
        <is>
          <t>C</t>
        </is>
      </c>
      <c r="C9" s="30" t="inlineStr">
        <is>
          <t>3</t>
        </is>
      </c>
      <c r="D9" s="35" t="n"/>
      <c r="E9" s="35" t="n"/>
      <c r="F9" s="35" t="n"/>
      <c r="G9" s="35" t="n"/>
      <c r="H9" s="35" t="n"/>
      <c r="I9" s="35" t="n"/>
      <c r="J9" s="35" t="n"/>
    </row>
    <row r="10" ht="24.75" customHeight="1">
      <c r="A10" s="36" t="inlineStr">
        <is>
          <t>6B</t>
        </is>
      </c>
      <c r="B10" s="36" t="inlineStr">
        <is>
          <t>S</t>
        </is>
      </c>
      <c r="C10" s="36" t="inlineStr">
        <is>
          <t>1</t>
        </is>
      </c>
      <c r="D10" s="37" t="inlineStr">
        <is>
          <t>Hoạt động trải nghiệm, hướng nghiệp</t>
        </is>
      </c>
      <c r="E10" s="37" t="inlineStr">
        <is>
          <t>Ngữ văn</t>
        </is>
      </c>
      <c r="F10" s="37" t="inlineStr">
        <is>
          <t>Toán học</t>
        </is>
      </c>
      <c r="G10" s="37" t="inlineStr">
        <is>
          <t>Giáo dục công dân</t>
        </is>
      </c>
      <c r="H10" s="37" t="inlineStr">
        <is>
          <t>Hoạt động trải nghiệm, hướng nghiệp</t>
        </is>
      </c>
      <c r="I10" s="37" t="inlineStr">
        <is>
          <t>Tin</t>
        </is>
      </c>
      <c r="J10" s="37" t="n"/>
    </row>
    <row r="11" ht="15" customHeight="1">
      <c r="A11" s="36" t="inlineStr">
        <is>
          <t>6B</t>
        </is>
      </c>
      <c r="B11" s="36" t="inlineStr">
        <is>
          <t>S</t>
        </is>
      </c>
      <c r="C11" s="36" t="inlineStr">
        <is>
          <t>2</t>
        </is>
      </c>
      <c r="D11" s="37" t="inlineStr">
        <is>
          <t>Lịch sử và địa lý (Lịch sử)</t>
        </is>
      </c>
      <c r="E11" s="37" t="inlineStr">
        <is>
          <t>Ngữ văn</t>
        </is>
      </c>
      <c r="F11" s="37" t="inlineStr">
        <is>
          <t>Ngữ văn</t>
        </is>
      </c>
      <c r="G11" s="37" t="inlineStr">
        <is>
          <t>Khoa học tự nhiên (Sinh học)</t>
        </is>
      </c>
      <c r="H11" s="37" t="inlineStr">
        <is>
          <t>Lịch sử và địa lý (Địa lý)</t>
        </is>
      </c>
      <c r="I11" s="37" t="inlineStr">
        <is>
          <t>Công nghệ</t>
        </is>
      </c>
      <c r="J11" s="37" t="n"/>
    </row>
    <row r="12" ht="15" customHeight="1">
      <c r="A12" s="36" t="inlineStr">
        <is>
          <t>6B</t>
        </is>
      </c>
      <c r="B12" s="36" t="inlineStr">
        <is>
          <t>S</t>
        </is>
      </c>
      <c r="C12" s="36" t="inlineStr">
        <is>
          <t>3</t>
        </is>
      </c>
      <c r="D12" s="37" t="inlineStr">
        <is>
          <t>Toán học</t>
        </is>
      </c>
      <c r="E12" s="37" t="inlineStr">
        <is>
          <t>Toán học</t>
        </is>
      </c>
      <c r="F12" s="37" t="inlineStr">
        <is>
          <t>Giáo dục thể chất</t>
        </is>
      </c>
      <c r="G12" s="37" t="inlineStr">
        <is>
          <t>Ngoại ngữ</t>
        </is>
      </c>
      <c r="H12" s="37" t="inlineStr">
        <is>
          <t>Ngữ văn</t>
        </is>
      </c>
      <c r="I12" s="37" t="inlineStr">
        <is>
          <t>Ngoại ngữ</t>
        </is>
      </c>
      <c r="J12" s="37" t="n"/>
    </row>
    <row r="13" ht="15" customHeight="1">
      <c r="A13" s="36" t="inlineStr">
        <is>
          <t>6B</t>
        </is>
      </c>
      <c r="B13" s="36" t="inlineStr">
        <is>
          <t>S</t>
        </is>
      </c>
      <c r="C13" s="36" t="inlineStr">
        <is>
          <t>4</t>
        </is>
      </c>
      <c r="D13" s="37" t="inlineStr">
        <is>
          <t>Ngoại ngữ</t>
        </is>
      </c>
      <c r="E13" s="37" t="inlineStr">
        <is>
          <t>Nghệ thuật (Mỹ thuật)</t>
        </is>
      </c>
      <c r="F13" s="37" t="inlineStr">
        <is>
          <t>Khoa học tự nhiên (Vật lý)</t>
        </is>
      </c>
      <c r="G13" s="37" t="inlineStr">
        <is>
          <t>Giáo dục thể chất</t>
        </is>
      </c>
      <c r="H13" s="37" t="inlineStr">
        <is>
          <t>Toán học</t>
        </is>
      </c>
      <c r="I13" s="37" t="inlineStr">
        <is>
          <t>Lịch sử và địa lý (Lịch sử)</t>
        </is>
      </c>
      <c r="J13" s="37" t="n"/>
    </row>
    <row r="14" ht="24.75" customHeight="1">
      <c r="A14" s="36" t="inlineStr">
        <is>
          <t>6B</t>
        </is>
      </c>
      <c r="B14" s="36" t="inlineStr">
        <is>
          <t>S</t>
        </is>
      </c>
      <c r="C14" s="36" t="inlineStr">
        <is>
          <t>5</t>
        </is>
      </c>
      <c r="D14" s="37" t="inlineStr">
        <is>
          <t>Khoa học tự nhiên (Sinh học)</t>
        </is>
      </c>
      <c r="E14" s="37" t="n"/>
      <c r="F14" s="37" t="inlineStr">
        <is>
          <t>Nội dung giáo dục của địa phương</t>
        </is>
      </c>
      <c r="G14" s="37" t="inlineStr">
        <is>
          <t>Nghệ thuật (Nhạc)</t>
        </is>
      </c>
      <c r="H14" s="37" t="inlineStr">
        <is>
          <t>Khoa học tự nhiên (Hoá học)</t>
        </is>
      </c>
      <c r="I14" s="37" t="inlineStr">
        <is>
          <t>Hoạt động trải nghiệm, hướng nghiệp</t>
        </is>
      </c>
      <c r="J14" s="37" t="n"/>
    </row>
    <row r="15" ht="24.75" customHeight="1">
      <c r="A15" s="36" t="inlineStr">
        <is>
          <t>6B</t>
        </is>
      </c>
      <c r="B15" s="36" t="inlineStr">
        <is>
          <t>C</t>
        </is>
      </c>
      <c r="C15" s="36" t="inlineStr">
        <is>
          <t>1</t>
        </is>
      </c>
      <c r="D15" s="37" t="n"/>
      <c r="E15" s="37" t="n"/>
      <c r="F15" s="37" t="n"/>
      <c r="G15" s="37" t="n"/>
      <c r="H15" s="37" t="n"/>
      <c r="I15" s="37" t="n"/>
      <c r="J15" s="37" t="n"/>
    </row>
    <row r="16" ht="15" customHeight="1">
      <c r="A16" s="36" t="inlineStr">
        <is>
          <t>6B</t>
        </is>
      </c>
      <c r="B16" s="36" t="inlineStr">
        <is>
          <t>C</t>
        </is>
      </c>
      <c r="C16" s="36" t="inlineStr">
        <is>
          <t>2</t>
        </is>
      </c>
      <c r="D16" s="37" t="n"/>
      <c r="E16" s="37" t="n"/>
      <c r="F16" s="37" t="n"/>
      <c r="G16" s="37" t="n"/>
      <c r="H16" s="37" t="n"/>
      <c r="I16" s="37" t="n"/>
      <c r="J16" s="37" t="n"/>
    </row>
    <row r="17" ht="24.75" customHeight="1">
      <c r="A17" s="36" t="inlineStr">
        <is>
          <t>6B</t>
        </is>
      </c>
      <c r="B17" s="36" t="inlineStr">
        <is>
          <t>C</t>
        </is>
      </c>
      <c r="C17" s="36" t="inlineStr">
        <is>
          <t>3</t>
        </is>
      </c>
      <c r="D17" s="37" t="n"/>
      <c r="E17" s="37" t="n"/>
      <c r="F17" s="37" t="n"/>
      <c r="G17" s="37" t="n"/>
      <c r="H17" s="37" t="n"/>
      <c r="I17" s="37" t="n"/>
      <c r="J17" s="37" t="n"/>
    </row>
    <row r="18" ht="15" customHeight="1">
      <c r="A18" s="30" t="inlineStr">
        <is>
          <t>6C</t>
        </is>
      </c>
      <c r="B18" s="30" t="inlineStr">
        <is>
          <t>S</t>
        </is>
      </c>
      <c r="C18" s="30" t="inlineStr">
        <is>
          <t>1</t>
        </is>
      </c>
      <c r="D18" s="35" t="inlineStr">
        <is>
          <t>Hoạt động trải nghiệm, hướng nghiệp</t>
        </is>
      </c>
      <c r="E18" s="35" t="inlineStr">
        <is>
          <t>Lịch sử và địa lý (Lịch sử)</t>
        </is>
      </c>
      <c r="F18" s="35" t="inlineStr">
        <is>
          <t>Ngữ văn</t>
        </is>
      </c>
      <c r="G18" s="35" t="inlineStr">
        <is>
          <t>Hoạt động trải nghiệm, hướng nghiệp</t>
        </is>
      </c>
      <c r="H18" s="35" t="inlineStr">
        <is>
          <t>Ngoại ngữ</t>
        </is>
      </c>
      <c r="I18" s="35" t="inlineStr">
        <is>
          <t>Khoa học tự nhiên (Sinh học)</t>
        </is>
      </c>
      <c r="J18" s="35" t="n"/>
    </row>
    <row r="19" ht="15" customHeight="1">
      <c r="A19" s="30" t="inlineStr">
        <is>
          <t>6C</t>
        </is>
      </c>
      <c r="B19" s="30" t="inlineStr">
        <is>
          <t>S</t>
        </is>
      </c>
      <c r="C19" s="30" t="inlineStr">
        <is>
          <t>2</t>
        </is>
      </c>
      <c r="D19" s="35" t="inlineStr">
        <is>
          <t>Toán học</t>
        </is>
      </c>
      <c r="E19" s="35" t="inlineStr">
        <is>
          <t>Nghệ thuật (Mỹ thuật)</t>
        </is>
      </c>
      <c r="F19" s="35" t="inlineStr">
        <is>
          <t>Giáo dục thể chất</t>
        </is>
      </c>
      <c r="G19" s="35" t="inlineStr">
        <is>
          <t>Ngữ văn</t>
        </is>
      </c>
      <c r="H19" s="35" t="inlineStr">
        <is>
          <t>Khoa học tự nhiên (Vật lý)</t>
        </is>
      </c>
      <c r="I19" s="35" t="inlineStr">
        <is>
          <t>Ngữ văn</t>
        </is>
      </c>
      <c r="J19" s="35" t="n"/>
    </row>
    <row r="20" ht="15" customHeight="1">
      <c r="A20" s="30" t="inlineStr">
        <is>
          <t>6C</t>
        </is>
      </c>
      <c r="B20" s="30" t="inlineStr">
        <is>
          <t>S</t>
        </is>
      </c>
      <c r="C20" s="30" t="inlineStr">
        <is>
          <t>3</t>
        </is>
      </c>
      <c r="D20" s="35" t="inlineStr">
        <is>
          <t>Ngoại ngữ</t>
        </is>
      </c>
      <c r="E20" s="35" t="inlineStr">
        <is>
          <t>Nghệ thuật (Nhạc)</t>
        </is>
      </c>
      <c r="F20" s="35" t="inlineStr">
        <is>
          <t>Toán học</t>
        </is>
      </c>
      <c r="G20" s="35" t="inlineStr">
        <is>
          <t>Giáo dục công dân</t>
        </is>
      </c>
      <c r="H20" s="35" t="inlineStr">
        <is>
          <t>Lịch sử và địa lý (Địa lý)</t>
        </is>
      </c>
      <c r="I20" s="35" t="inlineStr">
        <is>
          <t>Khoa học tự nhiên (Hoá học)</t>
        </is>
      </c>
      <c r="J20" s="35" t="n"/>
    </row>
    <row r="21" ht="15" customHeight="1">
      <c r="A21" s="30" t="inlineStr">
        <is>
          <t>6C</t>
        </is>
      </c>
      <c r="B21" s="30" t="inlineStr">
        <is>
          <t>S</t>
        </is>
      </c>
      <c r="C21" s="30" t="inlineStr">
        <is>
          <t>4</t>
        </is>
      </c>
      <c r="D21" s="35" t="inlineStr">
        <is>
          <t>Khoa học tự nhiên (Sinh học)</t>
        </is>
      </c>
      <c r="E21" s="35" t="inlineStr">
        <is>
          <t>Toán học</t>
        </is>
      </c>
      <c r="F21" s="35" t="inlineStr">
        <is>
          <t>Nội dung giáo dục của địa phương</t>
        </is>
      </c>
      <c r="G21" s="35" t="inlineStr">
        <is>
          <t>Tin</t>
        </is>
      </c>
      <c r="H21" s="35" t="inlineStr">
        <is>
          <t>Giáo dục thể chất</t>
        </is>
      </c>
      <c r="I21" s="35" t="inlineStr">
        <is>
          <t>Hoạt động trải nghiệm, hướng nghiệp</t>
        </is>
      </c>
      <c r="J21" s="35" t="n"/>
    </row>
    <row r="22" ht="15" customHeight="1">
      <c r="A22" s="30" t="inlineStr">
        <is>
          <t>6C</t>
        </is>
      </c>
      <c r="B22" s="30" t="inlineStr">
        <is>
          <t>S</t>
        </is>
      </c>
      <c r="C22" s="30" t="inlineStr">
        <is>
          <t>5</t>
        </is>
      </c>
      <c r="D22" s="35" t="inlineStr">
        <is>
          <t>Lịch sử và địa lý (Lịch sử)</t>
        </is>
      </c>
      <c r="E22" s="35" t="inlineStr">
        <is>
          <t>Ngữ văn</t>
        </is>
      </c>
      <c r="F22" s="35" t="inlineStr">
        <is>
          <t>Ngoại ngữ</t>
        </is>
      </c>
      <c r="G22" s="35" t="n"/>
      <c r="H22" s="35" t="inlineStr">
        <is>
          <t>Toán học</t>
        </is>
      </c>
      <c r="I22" s="35" t="inlineStr">
        <is>
          <t>Công nghệ</t>
        </is>
      </c>
      <c r="J22" s="35" t="n"/>
    </row>
    <row r="23" ht="15" customHeight="1">
      <c r="A23" s="30" t="inlineStr">
        <is>
          <t>6C</t>
        </is>
      </c>
      <c r="B23" s="30" t="inlineStr">
        <is>
          <t>C</t>
        </is>
      </c>
      <c r="C23" s="30" t="inlineStr">
        <is>
          <t>1</t>
        </is>
      </c>
      <c r="D23" s="35" t="n"/>
      <c r="E23" s="35" t="n"/>
      <c r="F23" s="35" t="n"/>
      <c r="G23" s="35" t="n"/>
      <c r="H23" s="35" t="n"/>
      <c r="I23" s="35" t="n"/>
      <c r="J23" s="35" t="n"/>
    </row>
    <row r="24" ht="15" customHeight="1">
      <c r="A24" s="30" t="inlineStr">
        <is>
          <t>6C</t>
        </is>
      </c>
      <c r="B24" s="30" t="inlineStr">
        <is>
          <t>C</t>
        </is>
      </c>
      <c r="C24" s="30" t="inlineStr">
        <is>
          <t>2</t>
        </is>
      </c>
      <c r="D24" s="35" t="n"/>
      <c r="E24" s="35" t="n"/>
      <c r="F24" s="35" t="n"/>
      <c r="G24" s="35" t="n"/>
      <c r="H24" s="35" t="n"/>
      <c r="I24" s="35" t="n"/>
      <c r="J24" s="35" t="n"/>
    </row>
    <row r="25" ht="15" customHeight="1">
      <c r="A25" s="30" t="inlineStr">
        <is>
          <t>6C</t>
        </is>
      </c>
      <c r="B25" s="30" t="inlineStr">
        <is>
          <t>C</t>
        </is>
      </c>
      <c r="C25" s="30" t="inlineStr">
        <is>
          <t>3</t>
        </is>
      </c>
      <c r="D25" s="35" t="n"/>
      <c r="E25" s="35" t="n"/>
      <c r="F25" s="35" t="n"/>
      <c r="G25" s="35" t="n"/>
      <c r="H25" s="35" t="n"/>
      <c r="I25" s="35" t="n"/>
      <c r="J25" s="35" t="n"/>
    </row>
    <row r="26" ht="24.75" customHeight="1">
      <c r="A26" s="36" t="inlineStr">
        <is>
          <t>7A</t>
        </is>
      </c>
      <c r="B26" s="36" t="inlineStr">
        <is>
          <t>S</t>
        </is>
      </c>
      <c r="C26" s="36" t="inlineStr">
        <is>
          <t>1</t>
        </is>
      </c>
      <c r="D26" s="37" t="inlineStr">
        <is>
          <t>Hoạt động trải nghiệm, hướng nghiệp</t>
        </is>
      </c>
      <c r="E26" s="37" t="inlineStr">
        <is>
          <t>Toán học</t>
        </is>
      </c>
      <c r="F26" s="37" t="inlineStr">
        <is>
          <t>Khoa học tự nhiên (Sinh học)</t>
        </is>
      </c>
      <c r="G26" s="37" t="inlineStr">
        <is>
          <t>Công nghệ</t>
        </is>
      </c>
      <c r="H26" s="37" t="inlineStr">
        <is>
          <t>Ngoại ngữ</t>
        </is>
      </c>
      <c r="I26" s="37" t="inlineStr">
        <is>
          <t>Hoạt động trải nghiệm, hướng nghiệp</t>
        </is>
      </c>
      <c r="J26" s="37" t="n"/>
    </row>
    <row r="27" ht="15" customHeight="1">
      <c r="A27" s="36" t="inlineStr">
        <is>
          <t>7A</t>
        </is>
      </c>
      <c r="B27" s="36" t="inlineStr">
        <is>
          <t>S</t>
        </is>
      </c>
      <c r="C27" s="36" t="inlineStr">
        <is>
          <t>2</t>
        </is>
      </c>
      <c r="D27" s="37" t="inlineStr">
        <is>
          <t>Toán học</t>
        </is>
      </c>
      <c r="E27" s="37" t="inlineStr">
        <is>
          <t>Nội dung giáo dục của địa phương</t>
        </is>
      </c>
      <c r="F27" s="37" t="inlineStr">
        <is>
          <t>Ngữ văn</t>
        </is>
      </c>
      <c r="G27" s="37" t="inlineStr">
        <is>
          <t>Khoa học tự nhiên (Hoá học)</t>
        </is>
      </c>
      <c r="H27" s="37" t="inlineStr">
        <is>
          <t>Lịch sử và địa lý (Lịch sử)</t>
        </is>
      </c>
      <c r="I27" s="37" t="inlineStr">
        <is>
          <t>Tin</t>
        </is>
      </c>
      <c r="J27" s="37" t="n"/>
    </row>
    <row r="28" ht="15" customHeight="1">
      <c r="A28" s="36" t="inlineStr">
        <is>
          <t>7A</t>
        </is>
      </c>
      <c r="B28" s="36" t="inlineStr">
        <is>
          <t>S</t>
        </is>
      </c>
      <c r="C28" s="36" t="inlineStr">
        <is>
          <t>3</t>
        </is>
      </c>
      <c r="D28" s="37" t="inlineStr">
        <is>
          <t>Ngữ văn</t>
        </is>
      </c>
      <c r="E28" s="37" t="inlineStr">
        <is>
          <t>Khoa học tự nhiên (Sinh học)</t>
        </is>
      </c>
      <c r="F28" s="37" t="inlineStr">
        <is>
          <t>Ngữ văn</t>
        </is>
      </c>
      <c r="G28" s="37" t="inlineStr">
        <is>
          <t>Giáo dục công dân</t>
        </is>
      </c>
      <c r="H28" s="37" t="inlineStr">
        <is>
          <t>Nghệ thuật (Mỹ thuật)</t>
        </is>
      </c>
      <c r="I28" s="37" t="inlineStr">
        <is>
          <t>Nghệ thuật (Nhạc)</t>
        </is>
      </c>
      <c r="J28" s="37" t="n"/>
    </row>
    <row r="29" ht="24.75" customHeight="1">
      <c r="A29" s="36" t="inlineStr">
        <is>
          <t>7A</t>
        </is>
      </c>
      <c r="B29" s="36" t="inlineStr">
        <is>
          <t>S</t>
        </is>
      </c>
      <c r="C29" s="36" t="inlineStr">
        <is>
          <t>4</t>
        </is>
      </c>
      <c r="D29" s="37" t="inlineStr">
        <is>
          <t>Ngoại ngữ</t>
        </is>
      </c>
      <c r="E29" s="37" t="inlineStr">
        <is>
          <t>Giáo dục thể chất</t>
        </is>
      </c>
      <c r="F29" s="37" t="inlineStr">
        <is>
          <t>Giáo dục thể chất</t>
        </is>
      </c>
      <c r="G29" s="37" t="inlineStr">
        <is>
          <t>Khoa học tự nhiên (Vật lý)</t>
        </is>
      </c>
      <c r="H29" s="37" t="inlineStr">
        <is>
          <t>Ngữ văn</t>
        </is>
      </c>
      <c r="I29" s="37" t="inlineStr">
        <is>
          <t>Lịch sử và địa lý (Địa lý)</t>
        </is>
      </c>
      <c r="J29" s="37" t="n"/>
    </row>
    <row r="30" ht="24.75" customHeight="1">
      <c r="A30" s="36" t="inlineStr">
        <is>
          <t>7A</t>
        </is>
      </c>
      <c r="B30" s="36" t="inlineStr">
        <is>
          <t>S</t>
        </is>
      </c>
      <c r="C30" s="36" t="inlineStr">
        <is>
          <t>5</t>
        </is>
      </c>
      <c r="D30" s="37" t="inlineStr">
        <is>
          <t>Lịch sử và địa lý (Lịch sử)</t>
        </is>
      </c>
      <c r="E30" s="37" t="inlineStr">
        <is>
          <t>Hoạt động trải nghiệm, hướng nghiệp</t>
        </is>
      </c>
      <c r="F30" s="37" t="inlineStr">
        <is>
          <t>Ngoại ngữ</t>
        </is>
      </c>
      <c r="G30" s="37" t="inlineStr">
        <is>
          <t>Toán học</t>
        </is>
      </c>
      <c r="H30" s="37" t="n"/>
      <c r="I30" s="37" t="inlineStr">
        <is>
          <t>Toán học</t>
        </is>
      </c>
      <c r="J30" s="37" t="n"/>
    </row>
    <row r="31" ht="24.75" customHeight="1">
      <c r="A31" s="36" t="inlineStr">
        <is>
          <t>7A</t>
        </is>
      </c>
      <c r="B31" s="36" t="inlineStr">
        <is>
          <t>C</t>
        </is>
      </c>
      <c r="C31" s="36" t="inlineStr">
        <is>
          <t>1</t>
        </is>
      </c>
      <c r="D31" s="37" t="n"/>
      <c r="E31" s="37" t="n"/>
      <c r="F31" s="37" t="n"/>
      <c r="G31" s="37" t="n"/>
      <c r="H31" s="37" t="n"/>
      <c r="I31" s="37" t="n"/>
      <c r="J31" s="37" t="n"/>
    </row>
    <row r="32" ht="15" customHeight="1">
      <c r="A32" s="36" t="inlineStr">
        <is>
          <t>7A</t>
        </is>
      </c>
      <c r="B32" s="36" t="inlineStr">
        <is>
          <t>C</t>
        </is>
      </c>
      <c r="C32" s="36" t="inlineStr">
        <is>
          <t>2</t>
        </is>
      </c>
      <c r="D32" s="37" t="n"/>
      <c r="E32" s="37" t="n"/>
      <c r="F32" s="37" t="n"/>
      <c r="G32" s="37" t="n"/>
      <c r="H32" s="37" t="n"/>
      <c r="I32" s="37" t="n"/>
      <c r="J32" s="37" t="n"/>
    </row>
    <row r="33" ht="15" customHeight="1">
      <c r="A33" s="36" t="inlineStr">
        <is>
          <t>7A</t>
        </is>
      </c>
      <c r="B33" s="36" t="inlineStr">
        <is>
          <t>C</t>
        </is>
      </c>
      <c r="C33" s="36" t="inlineStr">
        <is>
          <t>3</t>
        </is>
      </c>
      <c r="D33" s="37" t="n"/>
      <c r="E33" s="37" t="n"/>
      <c r="F33" s="37" t="n"/>
      <c r="G33" s="37" t="n"/>
      <c r="H33" s="37" t="n"/>
      <c r="I33" s="37" t="n"/>
      <c r="J33" s="37" t="n"/>
    </row>
    <row r="34" ht="24.75" customHeight="1">
      <c r="A34" s="30" t="inlineStr">
        <is>
          <t>7B</t>
        </is>
      </c>
      <c r="B34" s="30" t="inlineStr">
        <is>
          <t>S</t>
        </is>
      </c>
      <c r="C34" s="30" t="inlineStr">
        <is>
          <t>1</t>
        </is>
      </c>
      <c r="D34" s="35" t="inlineStr">
        <is>
          <t>Hoạt động trải nghiệm, hướng nghiệp</t>
        </is>
      </c>
      <c r="E34" s="35" t="inlineStr">
        <is>
          <t>Hoạt động trải nghiệm, hướng nghiệp</t>
        </is>
      </c>
      <c r="F34" s="35" t="inlineStr">
        <is>
          <t>Toán học</t>
        </is>
      </c>
      <c r="G34" s="35" t="inlineStr">
        <is>
          <t>Tin</t>
        </is>
      </c>
      <c r="H34" s="35" t="inlineStr">
        <is>
          <t>Hoạt động trải nghiệm, hướng nghiệp</t>
        </is>
      </c>
      <c r="I34" s="35" t="inlineStr">
        <is>
          <t>Ngữ văn</t>
        </is>
      </c>
      <c r="J34" s="35" t="n"/>
    </row>
    <row r="35" ht="24.75" customHeight="1">
      <c r="A35" s="30" t="inlineStr">
        <is>
          <t>7B</t>
        </is>
      </c>
      <c r="B35" s="30" t="inlineStr">
        <is>
          <t>S</t>
        </is>
      </c>
      <c r="C35" s="30" t="inlineStr">
        <is>
          <t>2</t>
        </is>
      </c>
      <c r="D35" s="35" t="inlineStr">
        <is>
          <t>Ngữ văn</t>
        </is>
      </c>
      <c r="E35" s="35" t="inlineStr">
        <is>
          <t>Toán học</t>
        </is>
      </c>
      <c r="F35" s="35" t="inlineStr">
        <is>
          <t>Công nghệ</t>
        </is>
      </c>
      <c r="G35" s="35" t="inlineStr">
        <is>
          <t>Ngữ văn</t>
        </is>
      </c>
      <c r="H35" s="35" t="inlineStr">
        <is>
          <t>Ngoại ngữ</t>
        </is>
      </c>
      <c r="I35" s="35" t="inlineStr">
        <is>
          <t>Ngoại ngữ</t>
        </is>
      </c>
      <c r="J35" s="35" t="n"/>
    </row>
    <row r="36" ht="24.75" customHeight="1">
      <c r="A36" s="30" t="inlineStr">
        <is>
          <t>7B</t>
        </is>
      </c>
      <c r="B36" s="30" t="inlineStr">
        <is>
          <t>S</t>
        </is>
      </c>
      <c r="C36" s="30" t="inlineStr">
        <is>
          <t>3</t>
        </is>
      </c>
      <c r="D36" s="35" t="inlineStr">
        <is>
          <t>Toán học</t>
        </is>
      </c>
      <c r="E36" s="35" t="inlineStr">
        <is>
          <t>Giáo dục thể chất</t>
        </is>
      </c>
      <c r="F36" s="35" t="inlineStr">
        <is>
          <t>Lịch sử và địa lý (Lịch sử)</t>
        </is>
      </c>
      <c r="G36" s="35" t="inlineStr">
        <is>
          <t>Giáo dục thể chất</t>
        </is>
      </c>
      <c r="H36" s="35" t="inlineStr">
        <is>
          <t>Khoa học tự nhiên (Vật lý)</t>
        </is>
      </c>
      <c r="I36" s="35" t="inlineStr">
        <is>
          <t>Lịch sử và địa lý (Lịch sử)</t>
        </is>
      </c>
      <c r="J36" s="35" t="n"/>
    </row>
    <row r="37" ht="15" customHeight="1">
      <c r="A37" s="30" t="inlineStr">
        <is>
          <t>7B</t>
        </is>
      </c>
      <c r="B37" s="30" t="inlineStr">
        <is>
          <t>S</t>
        </is>
      </c>
      <c r="C37" s="30" t="inlineStr">
        <is>
          <t>4</t>
        </is>
      </c>
      <c r="D37" s="35" t="inlineStr">
        <is>
          <t>Khoa học tự nhiên (Sinh học)</t>
        </is>
      </c>
      <c r="E37" s="35" t="inlineStr">
        <is>
          <t>Khoa học tự nhiên (Hoá học)</t>
        </is>
      </c>
      <c r="F37" s="35" t="inlineStr">
        <is>
          <t>Khoa học tự nhiên (Sinh học)</t>
        </is>
      </c>
      <c r="G37" s="35" t="inlineStr">
        <is>
          <t>Giáo dục công dân</t>
        </is>
      </c>
      <c r="H37" s="35" t="inlineStr">
        <is>
          <t>Nội dung giáo dục của địa phương</t>
        </is>
      </c>
      <c r="I37" s="35" t="inlineStr">
        <is>
          <t>Toán học</t>
        </is>
      </c>
      <c r="J37" s="35" t="n"/>
    </row>
    <row r="38" ht="24.75" customHeight="1">
      <c r="A38" s="30" t="inlineStr">
        <is>
          <t>7B</t>
        </is>
      </c>
      <c r="B38" s="30" t="inlineStr">
        <is>
          <t>S</t>
        </is>
      </c>
      <c r="C38" s="30" t="inlineStr">
        <is>
          <t>5</t>
        </is>
      </c>
      <c r="D38" s="35" t="inlineStr">
        <is>
          <t>Nghệ thuật (Mỹ thuật)</t>
        </is>
      </c>
      <c r="E38" s="35" t="inlineStr">
        <is>
          <t>Nghệ thuật (Nhạc)</t>
        </is>
      </c>
      <c r="F38" s="35" t="inlineStr">
        <is>
          <t>Ngữ văn</t>
        </is>
      </c>
      <c r="G38" s="35" t="inlineStr">
        <is>
          <t>Ngoại ngữ</t>
        </is>
      </c>
      <c r="H38" s="35" t="n"/>
      <c r="I38" s="35" t="inlineStr">
        <is>
          <t>Lịch sử và địa lý (Địa lý)</t>
        </is>
      </c>
      <c r="J38" s="35" t="n"/>
    </row>
    <row r="39" ht="15" customHeight="1">
      <c r="A39" s="30" t="inlineStr">
        <is>
          <t>7B</t>
        </is>
      </c>
      <c r="B39" s="30" t="inlineStr">
        <is>
          <t>C</t>
        </is>
      </c>
      <c r="C39" s="30" t="inlineStr">
        <is>
          <t>1</t>
        </is>
      </c>
      <c r="D39" s="35" t="n"/>
      <c r="E39" s="35" t="n"/>
      <c r="F39" s="35" t="n"/>
      <c r="G39" s="35" t="n"/>
      <c r="H39" s="35" t="n"/>
      <c r="I39" s="35" t="n"/>
      <c r="J39" s="35" t="n"/>
    </row>
    <row r="40" ht="24.75" customHeight="1">
      <c r="A40" s="30" t="inlineStr">
        <is>
          <t>7B</t>
        </is>
      </c>
      <c r="B40" s="30" t="inlineStr">
        <is>
          <t>C</t>
        </is>
      </c>
      <c r="C40" s="30" t="inlineStr">
        <is>
          <t>2</t>
        </is>
      </c>
      <c r="D40" s="35" t="n"/>
      <c r="E40" s="35" t="n"/>
      <c r="F40" s="35" t="n"/>
      <c r="G40" s="35" t="n"/>
      <c r="H40" s="35" t="n"/>
      <c r="I40" s="35" t="n"/>
      <c r="J40" s="35" t="n"/>
    </row>
    <row r="41" ht="24.75" customHeight="1">
      <c r="A41" s="30" t="inlineStr">
        <is>
          <t>7B</t>
        </is>
      </c>
      <c r="B41" s="30" t="inlineStr">
        <is>
          <t>C</t>
        </is>
      </c>
      <c r="C41" s="30" t="inlineStr">
        <is>
          <t>3</t>
        </is>
      </c>
      <c r="D41" s="35" t="n"/>
      <c r="E41" s="35" t="n"/>
      <c r="F41" s="35" t="n"/>
      <c r="G41" s="35" t="n"/>
      <c r="H41" s="35" t="n"/>
      <c r="I41" s="35" t="n"/>
      <c r="J41" s="35" t="n"/>
    </row>
    <row r="42" ht="24.75" customHeight="1">
      <c r="A42" s="36" t="inlineStr">
        <is>
          <t>8A</t>
        </is>
      </c>
      <c r="B42" s="36" t="inlineStr">
        <is>
          <t>S</t>
        </is>
      </c>
      <c r="C42" s="36" t="inlineStr">
        <is>
          <t>1</t>
        </is>
      </c>
      <c r="D42" s="37" t="inlineStr">
        <is>
          <t>Hoạt động trải nghiệm, hướng nghiệp</t>
        </is>
      </c>
      <c r="E42" s="37" t="inlineStr">
        <is>
          <t>Giáo dục thể chất</t>
        </is>
      </c>
      <c r="F42" s="37" t="inlineStr">
        <is>
          <t>Lịch sử và địa lý (Lịch sử)</t>
        </is>
      </c>
      <c r="G42" s="37" t="inlineStr">
        <is>
          <t>Toán học</t>
        </is>
      </c>
      <c r="H42" s="37" t="inlineStr">
        <is>
          <t>Khoa học tự nhiên (Vật lý)</t>
        </is>
      </c>
      <c r="I42" s="37" t="inlineStr">
        <is>
          <t>Khoa học tự nhiên (Hoá học)</t>
        </is>
      </c>
      <c r="J42" s="37" t="n"/>
    </row>
    <row r="43" ht="24.75" customHeight="1">
      <c r="A43" s="36" t="inlineStr">
        <is>
          <t>8A</t>
        </is>
      </c>
      <c r="B43" s="36" t="inlineStr">
        <is>
          <t>S</t>
        </is>
      </c>
      <c r="C43" s="36" t="inlineStr">
        <is>
          <t>2</t>
        </is>
      </c>
      <c r="D43" s="37" t="inlineStr">
        <is>
          <t>Toán học</t>
        </is>
      </c>
      <c r="E43" s="37" t="inlineStr">
        <is>
          <t>Khoa học tự nhiên (Sinh học)</t>
        </is>
      </c>
      <c r="F43" s="37" t="inlineStr">
        <is>
          <t>Nội dung giáo dục của địa phương</t>
        </is>
      </c>
      <c r="G43" s="37" t="inlineStr">
        <is>
          <t>Ngoại ngữ</t>
        </is>
      </c>
      <c r="H43" s="37" t="inlineStr">
        <is>
          <t>Giáo dục thể chất</t>
        </is>
      </c>
      <c r="I43" s="37" t="inlineStr">
        <is>
          <t>Ngoại ngữ</t>
        </is>
      </c>
      <c r="J43" s="37" t="n"/>
    </row>
    <row r="44" ht="24.75" customHeight="1">
      <c r="A44" s="36" t="inlineStr">
        <is>
          <t>8A</t>
        </is>
      </c>
      <c r="B44" s="36" t="inlineStr">
        <is>
          <t>S</t>
        </is>
      </c>
      <c r="C44" s="36" t="inlineStr">
        <is>
          <t>3</t>
        </is>
      </c>
      <c r="D44" s="37" t="inlineStr">
        <is>
          <t>Ngữ văn</t>
        </is>
      </c>
      <c r="E44" s="37" t="inlineStr">
        <is>
          <t>Khoa học tự nhiên (Vật lý)</t>
        </is>
      </c>
      <c r="F44" s="37" t="inlineStr">
        <is>
          <t>Khoa học tự nhiên (Sinh học)</t>
        </is>
      </c>
      <c r="G44" s="37" t="inlineStr">
        <is>
          <t>Hoạt động trải nghiệm, hướng nghiệp</t>
        </is>
      </c>
      <c r="H44" s="37" t="inlineStr">
        <is>
          <t>Lịch sử và địa lý (Lịch sử)</t>
        </is>
      </c>
      <c r="I44" s="37" t="inlineStr">
        <is>
          <t>Nghệ thuật (Nhạc)</t>
        </is>
      </c>
      <c r="J44" s="37" t="n"/>
    </row>
    <row r="45" ht="24.75" customHeight="1">
      <c r="A45" s="36" t="inlineStr">
        <is>
          <t>8A</t>
        </is>
      </c>
      <c r="B45" s="36" t="inlineStr">
        <is>
          <t>S</t>
        </is>
      </c>
      <c r="C45" s="36" t="inlineStr">
        <is>
          <t>4</t>
        </is>
      </c>
      <c r="D45" s="37" t="inlineStr">
        <is>
          <t>Ngữ văn</t>
        </is>
      </c>
      <c r="E45" s="37" t="inlineStr">
        <is>
          <t>Ngữ văn</t>
        </is>
      </c>
      <c r="F45" s="37" t="inlineStr">
        <is>
          <t>Tin</t>
        </is>
      </c>
      <c r="G45" s="37" t="inlineStr">
        <is>
          <t>Ngữ văn</t>
        </is>
      </c>
      <c r="H45" s="37" t="inlineStr">
        <is>
          <t>Lịch sử và địa lý (Địa lý)</t>
        </is>
      </c>
      <c r="I45" s="37" t="inlineStr">
        <is>
          <t>Toán học</t>
        </is>
      </c>
      <c r="J45" s="37" t="n"/>
    </row>
    <row r="46" ht="24.75" customHeight="1">
      <c r="A46" s="36" t="inlineStr">
        <is>
          <t>8A</t>
        </is>
      </c>
      <c r="B46" s="36" t="inlineStr">
        <is>
          <t>S</t>
        </is>
      </c>
      <c r="C46" s="36" t="inlineStr">
        <is>
          <t>5</t>
        </is>
      </c>
      <c r="D46" s="37" t="inlineStr">
        <is>
          <t>Ngoại ngữ</t>
        </is>
      </c>
      <c r="E46" s="37" t="inlineStr">
        <is>
          <t>Nghệ thuật (Mỹ thuật)</t>
        </is>
      </c>
      <c r="F46" s="37" t="inlineStr">
        <is>
          <t>Toán học</t>
        </is>
      </c>
      <c r="G46" s="37" t="inlineStr">
        <is>
          <t>Giáo dục công dân</t>
        </is>
      </c>
      <c r="H46" s="37" t="inlineStr">
        <is>
          <t>Công nghệ</t>
        </is>
      </c>
      <c r="I46" s="37" t="inlineStr">
        <is>
          <t>Hoạt động trải nghiệm, hướng nghiệp</t>
        </is>
      </c>
      <c r="J46" s="37" t="n"/>
    </row>
    <row r="47" ht="15" customHeight="1">
      <c r="A47" s="36" t="inlineStr">
        <is>
          <t>8A</t>
        </is>
      </c>
      <c r="B47" s="36" t="inlineStr">
        <is>
          <t>C</t>
        </is>
      </c>
      <c r="C47" s="36" t="inlineStr">
        <is>
          <t>1</t>
        </is>
      </c>
      <c r="D47" s="37" t="n"/>
      <c r="E47" s="37" t="n"/>
      <c r="F47" s="37" t="n"/>
      <c r="G47" s="37" t="n"/>
      <c r="H47" s="37" t="n"/>
      <c r="I47" s="37" t="n"/>
      <c r="J47" s="37" t="n"/>
    </row>
    <row r="48" ht="15" customHeight="1">
      <c r="A48" s="36" t="inlineStr">
        <is>
          <t>8A</t>
        </is>
      </c>
      <c r="B48" s="36" t="inlineStr">
        <is>
          <t>C</t>
        </is>
      </c>
      <c r="C48" s="36" t="inlineStr">
        <is>
          <t>2</t>
        </is>
      </c>
      <c r="D48" s="37" t="n"/>
      <c r="E48" s="37" t="n"/>
      <c r="F48" s="37" t="n"/>
      <c r="G48" s="37" t="n"/>
      <c r="H48" s="37" t="n"/>
      <c r="I48" s="37" t="n"/>
      <c r="J48" s="37" t="n"/>
    </row>
    <row r="49" ht="24.75" customHeight="1">
      <c r="A49" s="36" t="inlineStr">
        <is>
          <t>8A</t>
        </is>
      </c>
      <c r="B49" s="36" t="inlineStr">
        <is>
          <t>C</t>
        </is>
      </c>
      <c r="C49" s="36" t="inlineStr">
        <is>
          <t>3</t>
        </is>
      </c>
      <c r="D49" s="37" t="n"/>
      <c r="E49" s="37" t="n"/>
      <c r="F49" s="37" t="n"/>
      <c r="G49" s="37" t="n"/>
      <c r="H49" s="37" t="n"/>
      <c r="I49" s="37" t="n"/>
      <c r="J49" s="37" t="n"/>
    </row>
    <row r="50" ht="24.75" customHeight="1">
      <c r="A50" s="30" t="inlineStr">
        <is>
          <t>8B</t>
        </is>
      </c>
      <c r="B50" s="30" t="inlineStr">
        <is>
          <t>S</t>
        </is>
      </c>
      <c r="C50" s="30" t="inlineStr">
        <is>
          <t>1</t>
        </is>
      </c>
      <c r="D50" s="35" t="inlineStr">
        <is>
          <t>Hoạt động trải nghiệm, hướng nghiệp</t>
        </is>
      </c>
      <c r="E50" s="35" t="inlineStr">
        <is>
          <t>Ngữ văn</t>
        </is>
      </c>
      <c r="F50" s="35" t="inlineStr">
        <is>
          <t>Ngữ văn</t>
        </is>
      </c>
      <c r="G50" s="35" t="inlineStr">
        <is>
          <t>Lịch sử và địa lý (Địa lý)</t>
        </is>
      </c>
      <c r="H50" s="35" t="inlineStr">
        <is>
          <t>Giáo dục thể chất</t>
        </is>
      </c>
      <c r="I50" s="35" t="inlineStr">
        <is>
          <t>Toán học</t>
        </is>
      </c>
      <c r="J50" s="35" t="n"/>
    </row>
    <row r="51" ht="24.75" customHeight="1">
      <c r="A51" s="30" t="inlineStr">
        <is>
          <t>8B</t>
        </is>
      </c>
      <c r="B51" s="30" t="inlineStr">
        <is>
          <t>S</t>
        </is>
      </c>
      <c r="C51" s="30" t="inlineStr">
        <is>
          <t>2</t>
        </is>
      </c>
      <c r="D51" s="35" t="inlineStr">
        <is>
          <t>Ngữ văn</t>
        </is>
      </c>
      <c r="E51" s="35" t="inlineStr">
        <is>
          <t>Ngữ văn</t>
        </is>
      </c>
      <c r="F51" s="35" t="inlineStr">
        <is>
          <t>Khoa học tự nhiên (Sinh học)</t>
        </is>
      </c>
      <c r="G51" s="35" t="inlineStr">
        <is>
          <t>Toán học</t>
        </is>
      </c>
      <c r="H51" s="35" t="inlineStr">
        <is>
          <t>Toán học</t>
        </is>
      </c>
      <c r="I51" s="35" t="inlineStr">
        <is>
          <t>Khoa học tự nhiên (Hoá học)</t>
        </is>
      </c>
      <c r="J51" s="35" t="n"/>
    </row>
    <row r="52" ht="24.75" customHeight="1">
      <c r="A52" s="30" t="inlineStr">
        <is>
          <t>8B</t>
        </is>
      </c>
      <c r="B52" s="30" t="inlineStr">
        <is>
          <t>S</t>
        </is>
      </c>
      <c r="C52" s="30" t="inlineStr">
        <is>
          <t>3</t>
        </is>
      </c>
      <c r="D52" s="35" t="inlineStr">
        <is>
          <t>Toán học</t>
        </is>
      </c>
      <c r="E52" s="35" t="inlineStr">
        <is>
          <t>Hoạt động trải nghiệm, hướng nghiệp</t>
        </is>
      </c>
      <c r="F52" s="35" t="inlineStr">
        <is>
          <t>Ngoại ngữ</t>
        </is>
      </c>
      <c r="G52" s="35" t="inlineStr">
        <is>
          <t>Tin</t>
        </is>
      </c>
      <c r="H52" s="35" t="inlineStr">
        <is>
          <t>Giáo dục công dân</t>
        </is>
      </c>
      <c r="I52" s="35" t="inlineStr">
        <is>
          <t>Công nghệ</t>
        </is>
      </c>
      <c r="J52" s="35" t="n"/>
    </row>
    <row r="53" ht="24.75" customHeight="1">
      <c r="A53" s="30" t="inlineStr">
        <is>
          <t>8B</t>
        </is>
      </c>
      <c r="B53" s="30" t="inlineStr">
        <is>
          <t>S</t>
        </is>
      </c>
      <c r="C53" s="30" t="inlineStr">
        <is>
          <t>4</t>
        </is>
      </c>
      <c r="D53" s="35" t="inlineStr">
        <is>
          <t>Giáo dục thể chất</t>
        </is>
      </c>
      <c r="E53" s="35" t="inlineStr">
        <is>
          <t>Khoa học tự nhiên (Sinh học)</t>
        </is>
      </c>
      <c r="F53" s="35" t="inlineStr">
        <is>
          <t>Lịch sử và địa lý (Lịch sử)</t>
        </is>
      </c>
      <c r="G53" s="35" t="inlineStr">
        <is>
          <t>Lịch sử và địa lý (Lịch sử)</t>
        </is>
      </c>
      <c r="H53" s="35" t="inlineStr">
        <is>
          <t>Nghệ thuật (Nhạc)</t>
        </is>
      </c>
      <c r="I53" s="35" t="inlineStr">
        <is>
          <t>Khoa học tự nhiên (Vật lý)</t>
        </is>
      </c>
      <c r="J53" s="35" t="n"/>
    </row>
    <row r="54" ht="24.75" customHeight="1">
      <c r="A54" s="30" t="inlineStr">
        <is>
          <t>8B</t>
        </is>
      </c>
      <c r="B54" s="30" t="inlineStr">
        <is>
          <t>S</t>
        </is>
      </c>
      <c r="C54" s="30" t="inlineStr">
        <is>
          <t>5</t>
        </is>
      </c>
      <c r="D54" s="35" t="inlineStr">
        <is>
          <t>Khoa học tự nhiên (Vật lý)</t>
        </is>
      </c>
      <c r="E54" s="35" t="inlineStr">
        <is>
          <t>Nội dung giáo dục của địa phương</t>
        </is>
      </c>
      <c r="F54" s="35" t="inlineStr">
        <is>
          <t>Nghệ thuật (Mỹ thuật)</t>
        </is>
      </c>
      <c r="G54" s="35" t="inlineStr">
        <is>
          <t>Hoạt động trải nghiệm, hướng nghiệp</t>
        </is>
      </c>
      <c r="H54" s="35" t="inlineStr">
        <is>
          <t>Ngoại ngữ</t>
        </is>
      </c>
      <c r="I54" s="35" t="inlineStr">
        <is>
          <t>Ngoại ngữ</t>
        </is>
      </c>
      <c r="J54" s="35" t="n"/>
    </row>
    <row r="55" ht="15" customHeight="1">
      <c r="A55" s="30" t="inlineStr">
        <is>
          <t>8B</t>
        </is>
      </c>
      <c r="B55" s="30" t="inlineStr">
        <is>
          <t>C</t>
        </is>
      </c>
      <c r="C55" s="30" t="inlineStr">
        <is>
          <t>1</t>
        </is>
      </c>
      <c r="D55" s="35" t="n"/>
      <c r="E55" s="35" t="n"/>
      <c r="F55" s="35" t="n"/>
      <c r="G55" s="35" t="n"/>
      <c r="H55" s="35" t="n"/>
      <c r="I55" s="35" t="n"/>
      <c r="J55" s="35" t="n"/>
    </row>
    <row r="56" ht="24.75" customHeight="1">
      <c r="A56" s="30" t="inlineStr">
        <is>
          <t>8B</t>
        </is>
      </c>
      <c r="B56" s="30" t="inlineStr">
        <is>
          <t>C</t>
        </is>
      </c>
      <c r="C56" s="30" t="inlineStr">
        <is>
          <t>2</t>
        </is>
      </c>
      <c r="D56" s="35" t="n"/>
      <c r="E56" s="35" t="n"/>
      <c r="F56" s="35" t="n"/>
      <c r="G56" s="35" t="n"/>
      <c r="H56" s="35" t="n"/>
      <c r="I56" s="35" t="n"/>
      <c r="J56" s="35" t="n"/>
    </row>
    <row r="57" ht="15" customHeight="1">
      <c r="A57" s="30" t="inlineStr">
        <is>
          <t>8B</t>
        </is>
      </c>
      <c r="B57" s="30" t="inlineStr">
        <is>
          <t>C</t>
        </is>
      </c>
      <c r="C57" s="30" t="inlineStr">
        <is>
          <t>3</t>
        </is>
      </c>
      <c r="D57" s="35" t="n"/>
      <c r="E57" s="35" t="n"/>
      <c r="F57" s="35" t="n"/>
      <c r="G57" s="35" t="n"/>
      <c r="H57" s="35" t="n"/>
      <c r="I57" s="35" t="n"/>
      <c r="J57" s="35" t="n"/>
    </row>
    <row r="58" ht="24.75" customHeight="1">
      <c r="A58" s="36" t="inlineStr">
        <is>
          <t>9A</t>
        </is>
      </c>
      <c r="B58" s="36" t="inlineStr">
        <is>
          <t>S</t>
        </is>
      </c>
      <c r="C58" s="36" t="inlineStr">
        <is>
          <t>1</t>
        </is>
      </c>
      <c r="D58" s="37" t="inlineStr">
        <is>
          <t>Hoạt động trải nghiệm, hướng nghiệp</t>
        </is>
      </c>
      <c r="E58" s="37" t="inlineStr">
        <is>
          <t>Ngữ văn</t>
        </is>
      </c>
      <c r="F58" s="37" t="inlineStr">
        <is>
          <t>Giáo dục thể chất</t>
        </is>
      </c>
      <c r="G58" s="37" t="inlineStr">
        <is>
          <t>Giáo dục thể chất</t>
        </is>
      </c>
      <c r="H58" s="37" t="inlineStr">
        <is>
          <t>Lịch sử và địa lý (Địa lý)</t>
        </is>
      </c>
      <c r="I58" s="37" t="inlineStr">
        <is>
          <t>Toán học</t>
        </is>
      </c>
      <c r="J58" s="37" t="n"/>
    </row>
    <row r="59" ht="24.75" customHeight="1">
      <c r="A59" s="36" t="inlineStr">
        <is>
          <t>9A</t>
        </is>
      </c>
      <c r="B59" s="36" t="inlineStr">
        <is>
          <t>S</t>
        </is>
      </c>
      <c r="C59" s="36" t="inlineStr">
        <is>
          <t>2</t>
        </is>
      </c>
      <c r="D59" s="37" t="inlineStr">
        <is>
          <t>Ngữ văn</t>
        </is>
      </c>
      <c r="E59" s="37" t="inlineStr">
        <is>
          <t>Ngữ văn</t>
        </is>
      </c>
      <c r="F59" s="37" t="inlineStr">
        <is>
          <t>Ngoại ngữ</t>
        </is>
      </c>
      <c r="G59" s="37" t="inlineStr">
        <is>
          <t>Toán học</t>
        </is>
      </c>
      <c r="H59" s="37" t="inlineStr">
        <is>
          <t>Tin</t>
        </is>
      </c>
      <c r="I59" s="37" t="inlineStr">
        <is>
          <t>Hoạt động trải nghiệm, hướng nghiệp</t>
        </is>
      </c>
      <c r="J59" s="37" t="n"/>
    </row>
    <row r="60" ht="15" customHeight="1">
      <c r="A60" s="36" t="inlineStr">
        <is>
          <t>9A</t>
        </is>
      </c>
      <c r="B60" s="36" t="inlineStr">
        <is>
          <t>S</t>
        </is>
      </c>
      <c r="C60" s="36" t="inlineStr">
        <is>
          <t>3</t>
        </is>
      </c>
      <c r="D60" s="37" t="inlineStr">
        <is>
          <t>Toán học</t>
        </is>
      </c>
      <c r="E60" s="37" t="inlineStr">
        <is>
          <t>Nghệ thuật (Mỹ thuật)</t>
        </is>
      </c>
      <c r="F60" s="37" t="inlineStr">
        <is>
          <t>Công nghệ</t>
        </is>
      </c>
      <c r="G60" s="37" t="inlineStr">
        <is>
          <t>Ngoại ngữ</t>
        </is>
      </c>
      <c r="H60" s="37" t="inlineStr">
        <is>
          <t>Khoa học tự nhiên (Sinh học)</t>
        </is>
      </c>
      <c r="I60" s="37" t="inlineStr">
        <is>
          <t>Khoa học tự nhiên (Hoá học)</t>
        </is>
      </c>
      <c r="J60" s="37" t="n"/>
    </row>
    <row r="61" ht="15" customHeight="1">
      <c r="A61" s="36" t="inlineStr">
        <is>
          <t>9A</t>
        </is>
      </c>
      <c r="B61" s="36" t="inlineStr">
        <is>
          <t>S</t>
        </is>
      </c>
      <c r="C61" s="36" t="inlineStr">
        <is>
          <t>4</t>
        </is>
      </c>
      <c r="D61" s="37" t="inlineStr">
        <is>
          <t>Lịch sử và địa lý (Lịch sử)</t>
        </is>
      </c>
      <c r="E61" s="37" t="inlineStr">
        <is>
          <t>Hoạt động trải nghiệm, hướng nghiệp</t>
        </is>
      </c>
      <c r="F61" s="37" t="inlineStr">
        <is>
          <t>Giáo dục công dân</t>
        </is>
      </c>
      <c r="G61" s="37" t="inlineStr">
        <is>
          <t>Nghệ thuật (Nhạc)</t>
        </is>
      </c>
      <c r="H61" s="37" t="inlineStr">
        <is>
          <t>Khoa học tự nhiên (Vật lý)</t>
        </is>
      </c>
      <c r="I61" s="37" t="inlineStr">
        <is>
          <t>Ngữ văn</t>
        </is>
      </c>
      <c r="J61" s="37" t="n"/>
    </row>
    <row r="62" ht="24.75" customHeight="1">
      <c r="A62" s="36" t="inlineStr">
        <is>
          <t>9A</t>
        </is>
      </c>
      <c r="B62" s="36" t="inlineStr">
        <is>
          <t>S</t>
        </is>
      </c>
      <c r="C62" s="36" t="inlineStr">
        <is>
          <t>5</t>
        </is>
      </c>
      <c r="D62" s="37" t="inlineStr">
        <is>
          <t>Khoa học tự nhiên (Vật lý)</t>
        </is>
      </c>
      <c r="E62" s="37" t="inlineStr">
        <is>
          <t>Toán học</t>
        </is>
      </c>
      <c r="F62" s="37" t="inlineStr">
        <is>
          <t>Nội dung giáo dục của địa phương</t>
        </is>
      </c>
      <c r="G62" s="37" t="inlineStr">
        <is>
          <t>Lịch sử và địa lý (Lịch sử)</t>
        </is>
      </c>
      <c r="H62" s="37" t="inlineStr">
        <is>
          <t>Ngoại ngữ</t>
        </is>
      </c>
      <c r="I62" s="37" t="n"/>
      <c r="J62" s="37" t="n"/>
    </row>
    <row r="63" ht="24.75" customHeight="1">
      <c r="A63" s="36" t="inlineStr">
        <is>
          <t>9A</t>
        </is>
      </c>
      <c r="B63" s="36" t="inlineStr">
        <is>
          <t>C</t>
        </is>
      </c>
      <c r="C63" s="36" t="inlineStr">
        <is>
          <t>1</t>
        </is>
      </c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inlineStr">
        <is>
          <t>9A</t>
        </is>
      </c>
      <c r="B64" s="36" t="inlineStr">
        <is>
          <t>C</t>
        </is>
      </c>
      <c r="C64" s="36" t="inlineStr">
        <is>
          <t>2</t>
        </is>
      </c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inlineStr">
        <is>
          <t>9A</t>
        </is>
      </c>
      <c r="B65" s="36" t="inlineStr">
        <is>
          <t>C</t>
        </is>
      </c>
      <c r="C65" s="36" t="inlineStr">
        <is>
          <t>3</t>
        </is>
      </c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inlineStr">
        <is>
          <t>9B</t>
        </is>
      </c>
      <c r="B66" s="30" t="inlineStr">
        <is>
          <t>S</t>
        </is>
      </c>
      <c r="C66" s="30" t="inlineStr">
        <is>
          <t>1</t>
        </is>
      </c>
      <c r="D66" s="35" t="inlineStr">
        <is>
          <t>Hoạt động trải nghiệm, hướng nghiệp</t>
        </is>
      </c>
      <c r="E66" s="35" t="inlineStr">
        <is>
          <t>Toán học</t>
        </is>
      </c>
      <c r="F66" s="35" t="inlineStr">
        <is>
          <t>Ngoại ngữ</t>
        </is>
      </c>
      <c r="G66" s="35" t="inlineStr">
        <is>
          <t>Ngoại ngữ</t>
        </is>
      </c>
      <c r="H66" s="35" t="inlineStr">
        <is>
          <t>Nghệ thuật (Mỹ thuật)</t>
        </is>
      </c>
      <c r="I66" s="35" t="inlineStr">
        <is>
          <t>Nội dung giáo dục của địa phương</t>
        </is>
      </c>
      <c r="J66" s="35" t="n"/>
    </row>
    <row r="67" ht="24.75" customHeight="1">
      <c r="A67" s="30" t="inlineStr">
        <is>
          <t>9B</t>
        </is>
      </c>
      <c r="B67" s="30" t="inlineStr">
        <is>
          <t>S</t>
        </is>
      </c>
      <c r="C67" s="30" t="inlineStr">
        <is>
          <t>2</t>
        </is>
      </c>
      <c r="D67" s="35" t="inlineStr">
        <is>
          <t>Toán học</t>
        </is>
      </c>
      <c r="E67" s="35" t="inlineStr">
        <is>
          <t>Giáo dục thể chất</t>
        </is>
      </c>
      <c r="F67" s="35" t="inlineStr">
        <is>
          <t>Lịch sử và địa lý (Lịch sử)</t>
        </is>
      </c>
      <c r="G67" s="35" t="inlineStr">
        <is>
          <t>Giáo dục thể chất</t>
        </is>
      </c>
      <c r="H67" s="35" t="inlineStr">
        <is>
          <t>Nghệ thuật (Nhạc)</t>
        </is>
      </c>
      <c r="I67" s="35" t="inlineStr">
        <is>
          <t>Lịch sử và địa lý (Địa lý)</t>
        </is>
      </c>
      <c r="J67" s="35" t="n"/>
    </row>
    <row r="68" ht="15" customHeight="1">
      <c r="A68" s="30" t="inlineStr">
        <is>
          <t>9B</t>
        </is>
      </c>
      <c r="B68" s="30" t="inlineStr">
        <is>
          <t>S</t>
        </is>
      </c>
      <c r="C68" s="30" t="inlineStr">
        <is>
          <t>3</t>
        </is>
      </c>
      <c r="D68" s="35" t="inlineStr">
        <is>
          <t>Ngữ văn</t>
        </is>
      </c>
      <c r="E68" s="35" t="inlineStr">
        <is>
          <t>Ngữ văn</t>
        </is>
      </c>
      <c r="F68" s="35" t="inlineStr">
        <is>
          <t>Khoa học tự nhiên (Sinh học)</t>
        </is>
      </c>
      <c r="G68" s="35" t="inlineStr">
        <is>
          <t>Lịch sử và địa lý (Lịch sử)</t>
        </is>
      </c>
      <c r="H68" s="35" t="inlineStr">
        <is>
          <t>Khoa học tự nhiên (Vật lý)</t>
        </is>
      </c>
      <c r="I68" s="35" t="inlineStr">
        <is>
          <t>Ngữ văn</t>
        </is>
      </c>
      <c r="J68" s="35" t="n"/>
    </row>
    <row r="69" ht="15" customHeight="1">
      <c r="A69" s="30" t="inlineStr">
        <is>
          <t>9B</t>
        </is>
      </c>
      <c r="B69" s="30" t="inlineStr">
        <is>
          <t>S</t>
        </is>
      </c>
      <c r="C69" s="30" t="inlineStr">
        <is>
          <t>4</t>
        </is>
      </c>
      <c r="D69" s="35" t="inlineStr">
        <is>
          <t>Ngữ văn</t>
        </is>
      </c>
      <c r="E69" s="35" t="inlineStr">
        <is>
          <t>Tin</t>
        </is>
      </c>
      <c r="F69" s="35" t="inlineStr">
        <is>
          <t>Khoa học tự nhiên (Vật lý)</t>
        </is>
      </c>
      <c r="G69" s="35" t="inlineStr">
        <is>
          <t>Hoạt động trải nghiệm, hướng nghiệp</t>
        </is>
      </c>
      <c r="H69" s="35" t="inlineStr">
        <is>
          <t>Toán học</t>
        </is>
      </c>
      <c r="I69" s="35" t="inlineStr">
        <is>
          <t>Hoạt động trải nghiệm, hướng nghiệp</t>
        </is>
      </c>
      <c r="J69" s="35" t="n"/>
    </row>
    <row r="70" ht="24.75" customHeight="1">
      <c r="A70" s="30" t="inlineStr">
        <is>
          <t>9B</t>
        </is>
      </c>
      <c r="B70" s="30" t="inlineStr">
        <is>
          <t>S</t>
        </is>
      </c>
      <c r="C70" s="30" t="inlineStr">
        <is>
          <t>5</t>
        </is>
      </c>
      <c r="D70" s="35" t="inlineStr">
        <is>
          <t>Ngoại ngữ</t>
        </is>
      </c>
      <c r="E70" s="35" t="inlineStr">
        <is>
          <t>Công nghệ</t>
        </is>
      </c>
      <c r="F70" s="35" t="inlineStr">
        <is>
          <t>Khoa học tự nhiên (Hoá học)</t>
        </is>
      </c>
      <c r="G70" s="35" t="inlineStr">
        <is>
          <t>Toán học</t>
        </is>
      </c>
      <c r="H70" s="35" t="inlineStr">
        <is>
          <t>Giáo dục công dân</t>
        </is>
      </c>
      <c r="I70" s="35" t="n"/>
      <c r="J70" s="35" t="n"/>
    </row>
    <row r="71" ht="24.75" customHeight="1">
      <c r="A71" s="30" t="inlineStr">
        <is>
          <t>9B</t>
        </is>
      </c>
      <c r="B71" s="30" t="inlineStr">
        <is>
          <t>C</t>
        </is>
      </c>
      <c r="C71" s="30" t="inlineStr">
        <is>
          <t>1</t>
        </is>
      </c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inlineStr">
        <is>
          <t>9B</t>
        </is>
      </c>
      <c r="B72" s="30" t="inlineStr">
        <is>
          <t>C</t>
        </is>
      </c>
      <c r="C72" s="30" t="inlineStr">
        <is>
          <t>2</t>
        </is>
      </c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inlineStr">
        <is>
          <t>9B</t>
        </is>
      </c>
      <c r="B73" s="30" t="inlineStr">
        <is>
          <t>C</t>
        </is>
      </c>
      <c r="C73" s="30" t="inlineStr">
        <is>
          <t>3</t>
        </is>
      </c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IF(TKB_Nhap!D2="","",TKB_Nhap!D2&amp;CHAR(10)&amp;IF(T(INDEX(PhanCong!$B$3:$J$18,MATCH(TKB_Nhap!D2,PhanCong!$A$3:$A$18,0),MATCH($A2,PhanCong!$B$2:$J$2,0)))="","(chưa PC GV)","GV: "&amp;INDEX(PhanCong!$B$3:$J$18,MATCH(TKB_Nhap!D2,PhanCong!$A$3:$A$18,0),MATCH($A2,PhanCong!$B$2:$J$2,0))))</f>
        <v/>
      </c>
      <c r="E2" s="26">
        <f>IF(TKB_Nhap!E2="","",TKB_Nhap!E2&amp;CHAR(10)&amp;IF(T(INDEX(PhanCong!$B$3:$J$18,MATCH(TKB_Nhap!E2,PhanCong!$A$3:$A$18,0),MATCH($A2,PhanCong!$B$2:$J$2,0)))="","(chưa PC GV)","GV: "&amp;INDEX(PhanCong!$B$3:$J$18,MATCH(TKB_Nhap!E2,PhanCong!$A$3:$A$18,0),MATCH($A2,PhanCong!$B$2:$J$2,0))))</f>
        <v/>
      </c>
      <c r="F2" s="26">
        <f>IF(TKB_Nhap!F2="","",TKB_Nhap!F2&amp;CHAR(10)&amp;IF(T(INDEX(PhanCong!$B$3:$J$18,MATCH(TKB_Nhap!F2,PhanCong!$A$3:$A$18,0),MATCH($A2,PhanCong!$B$2:$J$2,0)))="","(chưa PC GV)","GV: "&amp;INDEX(PhanCong!$B$3:$J$18,MATCH(TKB_Nhap!F2,PhanCong!$A$3:$A$18,0),MATCH($A2,PhanCong!$B$2:$J$2,0))))</f>
        <v/>
      </c>
      <c r="G2" s="26">
        <f>IF(TKB_Nhap!G2="","",TKB_Nhap!G2&amp;CHAR(10)&amp;IF(T(INDEX(PhanCong!$B$3:$J$18,MATCH(TKB_Nhap!G2,PhanCong!$A$3:$A$18,0),MATCH($A2,PhanCong!$B$2:$J$2,0)))="","(chưa PC GV)","GV: "&amp;INDEX(PhanCong!$B$3:$J$18,MATCH(TKB_Nhap!G2,PhanCong!$A$3:$A$18,0),MATCH($A2,PhanCong!$B$2:$J$2,0))))</f>
        <v/>
      </c>
      <c r="H2" s="26">
        <f>IF(TKB_Nhap!H2="","",TKB_Nhap!H2&amp;CHAR(10)&amp;IF(T(INDEX(PhanCong!$B$3:$J$18,MATCH(TKB_Nhap!H2,PhanCong!$A$3:$A$18,0),MATCH($A2,PhanCong!$B$2:$J$2,0)))="","(chưa PC GV)","GV: "&amp;INDEX(PhanCong!$B$3:$J$18,MATCH(TKB_Nhap!H2,PhanCong!$A$3:$A$18,0),MATCH($A2,PhanCong!$B$2:$J$2,0))))</f>
        <v/>
      </c>
      <c r="I2" s="26">
        <f>IF(TKB_Nhap!I2="","",TKB_Nhap!I2&amp;CHAR(10)&amp;IF(T(INDEX(PhanCong!$B$3:$J$18,MATCH(TKB_Nhap!I2,PhanCong!$A$3:$A$18,0),MATCH($A2,PhanCong!$B$2:$J$2,0)))="","(chưa PC GV)","GV: "&amp;INDEX(PhanCong!$B$3:$J$18,MATCH(TKB_Nhap!I2,PhanCong!$A$3:$A$18,0),MATCH($A2,PhanCong!$B$2:$J$2,0))))</f>
        <v/>
      </c>
      <c r="J2" s="26">
        <f>IF(TKB_Nhap!J2="","",TKB_Nhap!J2&amp;CHAR(10)&amp;IF(T(INDEX(PhanCong!$B$3:$J$18,MATCH(TKB_Nhap!J2,PhanCong!$A$3:$A$18,0),MATCH($A2,PhanCong!$B$2:$J$2,0)))="","(chưa PC GV)","GV: "&amp;INDEX(PhanCong!$B$3:$J$18,MATCH(TKB_Nhap!J2,PhanCong!$A$3:$A$18,0),MATCH($A2,PhanCong!$B$2:$J$2,0))))</f>
        <v/>
      </c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IF(TKB_Nhap!D3="","",TKB_Nhap!D3&amp;CHAR(10)&amp;IF(T(INDEX(PhanCong!$B$3:$J$18,MATCH(TKB_Nhap!D3,PhanCong!$A$3:$A$18,0),MATCH($A3,PhanCong!$B$2:$J$2,0)))="","(chưa PC GV)","GV: "&amp;INDEX(PhanCong!$B$3:$J$18,MATCH(TKB_Nhap!D3,PhanCong!$A$3:$A$18,0),MATCH($A3,PhanCong!$B$2:$J$2,0))))</f>
        <v/>
      </c>
      <c r="E3" s="26">
        <f>IF(TKB_Nhap!E3="","",TKB_Nhap!E3&amp;CHAR(10)&amp;IF(T(INDEX(PhanCong!$B$3:$J$18,MATCH(TKB_Nhap!E3,PhanCong!$A$3:$A$18,0),MATCH($A3,PhanCong!$B$2:$J$2,0)))="","(chưa PC GV)","GV: "&amp;INDEX(PhanCong!$B$3:$J$18,MATCH(TKB_Nhap!E3,PhanCong!$A$3:$A$18,0),MATCH($A3,PhanCong!$B$2:$J$2,0))))</f>
        <v/>
      </c>
      <c r="F3" s="26">
        <f>IF(TKB_Nhap!F3="","",TKB_Nhap!F3&amp;CHAR(10)&amp;IF(T(INDEX(PhanCong!$B$3:$J$18,MATCH(TKB_Nhap!F3,PhanCong!$A$3:$A$18,0),MATCH($A3,PhanCong!$B$2:$J$2,0)))="","(chưa PC GV)","GV: "&amp;INDEX(PhanCong!$B$3:$J$18,MATCH(TKB_Nhap!F3,PhanCong!$A$3:$A$18,0),MATCH($A3,PhanCong!$B$2:$J$2,0))))</f>
        <v/>
      </c>
      <c r="G3" s="26">
        <f>IF(TKB_Nhap!G3="","",TKB_Nhap!G3&amp;CHAR(10)&amp;IF(T(INDEX(PhanCong!$B$3:$J$18,MATCH(TKB_Nhap!G3,PhanCong!$A$3:$A$18,0),MATCH($A3,PhanCong!$B$2:$J$2,0)))="","(chưa PC GV)","GV: "&amp;INDEX(PhanCong!$B$3:$J$18,MATCH(TKB_Nhap!G3,PhanCong!$A$3:$A$18,0),MATCH($A3,PhanCong!$B$2:$J$2,0))))</f>
        <v/>
      </c>
      <c r="H3" s="26">
        <f>IF(TKB_Nhap!H3="","",TKB_Nhap!H3&amp;CHAR(10)&amp;IF(T(INDEX(PhanCong!$B$3:$J$18,MATCH(TKB_Nhap!H3,PhanCong!$A$3:$A$18,0),MATCH($A3,PhanCong!$B$2:$J$2,0)))="","(chưa PC GV)","GV: "&amp;INDEX(PhanCong!$B$3:$J$18,MATCH(TKB_Nhap!H3,PhanCong!$A$3:$A$18,0),MATCH($A3,PhanCong!$B$2:$J$2,0))))</f>
        <v/>
      </c>
      <c r="I3" s="26">
        <f>IF(TKB_Nhap!I3="","",TKB_Nhap!I3&amp;CHAR(10)&amp;IF(T(INDEX(PhanCong!$B$3:$J$18,MATCH(TKB_Nhap!I3,PhanCong!$A$3:$A$18,0),MATCH($A3,PhanCong!$B$2:$J$2,0)))="","(chưa PC GV)","GV: "&amp;INDEX(PhanCong!$B$3:$J$18,MATCH(TKB_Nhap!I3,PhanCong!$A$3:$A$18,0),MATCH($A3,PhanCong!$B$2:$J$2,0))))</f>
        <v/>
      </c>
      <c r="J3" s="26">
        <f>IF(TKB_Nhap!J3="","",TKB_Nhap!J3&amp;CHAR(10)&amp;IF(T(INDEX(PhanCong!$B$3:$J$18,MATCH(TKB_Nhap!J3,PhanCong!$A$3:$A$18,0),MATCH($A3,PhanCong!$B$2:$J$2,0)))="","(chưa PC GV)","GV: "&amp;INDEX(PhanCong!$B$3:$J$18,MATCH(TKB_Nhap!J3,PhanCong!$A$3:$A$18,0),MATCH($A3,PhanCong!$B$2:$J$2,0))))</f>
        <v/>
      </c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IF(TKB_Nhap!D4="","",TKB_Nhap!D4&amp;CHAR(10)&amp;IF(T(INDEX(PhanCong!$B$3:$J$18,MATCH(TKB_Nhap!D4,PhanCong!$A$3:$A$18,0),MATCH($A4,PhanCong!$B$2:$J$2,0)))="","(chưa PC GV)","GV: "&amp;INDEX(PhanCong!$B$3:$J$18,MATCH(TKB_Nhap!D4,PhanCong!$A$3:$A$18,0),MATCH($A4,PhanCong!$B$2:$J$2,0))))</f>
        <v/>
      </c>
      <c r="E4" s="26">
        <f>IF(TKB_Nhap!E4="","",TKB_Nhap!E4&amp;CHAR(10)&amp;IF(T(INDEX(PhanCong!$B$3:$J$18,MATCH(TKB_Nhap!E4,PhanCong!$A$3:$A$18,0),MATCH($A4,PhanCong!$B$2:$J$2,0)))="","(chưa PC GV)","GV: "&amp;INDEX(PhanCong!$B$3:$J$18,MATCH(TKB_Nhap!E4,PhanCong!$A$3:$A$18,0),MATCH($A4,PhanCong!$B$2:$J$2,0))))</f>
        <v/>
      </c>
      <c r="F4" s="26">
        <f>IF(TKB_Nhap!F4="","",TKB_Nhap!F4&amp;CHAR(10)&amp;IF(T(INDEX(PhanCong!$B$3:$J$18,MATCH(TKB_Nhap!F4,PhanCong!$A$3:$A$18,0),MATCH($A4,PhanCong!$B$2:$J$2,0)))="","(chưa PC GV)","GV: "&amp;INDEX(PhanCong!$B$3:$J$18,MATCH(TKB_Nhap!F4,PhanCong!$A$3:$A$18,0),MATCH($A4,PhanCong!$B$2:$J$2,0))))</f>
        <v/>
      </c>
      <c r="G4" s="26">
        <f>IF(TKB_Nhap!G4="","",TKB_Nhap!G4&amp;CHAR(10)&amp;IF(T(INDEX(PhanCong!$B$3:$J$18,MATCH(TKB_Nhap!G4,PhanCong!$A$3:$A$18,0),MATCH($A4,PhanCong!$B$2:$J$2,0)))="","(chưa PC GV)","GV: "&amp;INDEX(PhanCong!$B$3:$J$18,MATCH(TKB_Nhap!G4,PhanCong!$A$3:$A$18,0),MATCH($A4,PhanCong!$B$2:$J$2,0))))</f>
        <v/>
      </c>
      <c r="H4" s="26">
        <f>IF(TKB_Nhap!H4="","",TKB_Nhap!H4&amp;CHAR(10)&amp;IF(T(INDEX(PhanCong!$B$3:$J$18,MATCH(TKB_Nhap!H4,PhanCong!$A$3:$A$18,0),MATCH($A4,PhanCong!$B$2:$J$2,0)))="","(chưa PC GV)","GV: "&amp;INDEX(PhanCong!$B$3:$J$18,MATCH(TKB_Nhap!H4,PhanCong!$A$3:$A$18,0),MATCH($A4,PhanCong!$B$2:$J$2,0))))</f>
        <v/>
      </c>
      <c r="I4" s="26">
        <f>IF(TKB_Nhap!I4="","",TKB_Nhap!I4&amp;CHAR(10)&amp;IF(T(INDEX(PhanCong!$B$3:$J$18,MATCH(TKB_Nhap!I4,PhanCong!$A$3:$A$18,0),MATCH($A4,PhanCong!$B$2:$J$2,0)))="","(chưa PC GV)","GV: "&amp;INDEX(PhanCong!$B$3:$J$18,MATCH(TKB_Nhap!I4,PhanCong!$A$3:$A$18,0),MATCH($A4,PhanCong!$B$2:$J$2,0))))</f>
        <v/>
      </c>
      <c r="J4" s="26">
        <f>IF(TKB_Nhap!J4="","",TKB_Nhap!J4&amp;CHAR(10)&amp;IF(T(INDEX(PhanCong!$B$3:$J$18,MATCH(TKB_Nhap!J4,PhanCong!$A$3:$A$18,0),MATCH($A4,PhanCong!$B$2:$J$2,0)))="","(chưa PC GV)","GV: "&amp;INDEX(PhanCong!$B$3:$J$18,MATCH(TKB_Nhap!J4,PhanCong!$A$3:$A$18,0),MATCH($A4,PhanCong!$B$2:$J$2,0))))</f>
        <v/>
      </c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IF(TKB_Nhap!D5="","",TKB_Nhap!D5&amp;CHAR(10)&amp;IF(T(INDEX(PhanCong!$B$3:$J$18,MATCH(TKB_Nhap!D5,PhanCong!$A$3:$A$18,0),MATCH($A5,PhanCong!$B$2:$J$2,0)))="","(chưa PC GV)","GV: "&amp;INDEX(PhanCong!$B$3:$J$18,MATCH(TKB_Nhap!D5,PhanCong!$A$3:$A$18,0),MATCH($A5,PhanCong!$B$2:$J$2,0))))</f>
        <v/>
      </c>
      <c r="E5" s="26">
        <f>IF(TKB_Nhap!E5="","",TKB_Nhap!E5&amp;CHAR(10)&amp;IF(T(INDEX(PhanCong!$B$3:$J$18,MATCH(TKB_Nhap!E5,PhanCong!$A$3:$A$18,0),MATCH($A5,PhanCong!$B$2:$J$2,0)))="","(chưa PC GV)","GV: "&amp;INDEX(PhanCong!$B$3:$J$18,MATCH(TKB_Nhap!E5,PhanCong!$A$3:$A$18,0),MATCH($A5,PhanCong!$B$2:$J$2,0))))</f>
        <v/>
      </c>
      <c r="F5" s="26">
        <f>IF(TKB_Nhap!F5="","",TKB_Nhap!F5&amp;CHAR(10)&amp;IF(T(INDEX(PhanCong!$B$3:$J$18,MATCH(TKB_Nhap!F5,PhanCong!$A$3:$A$18,0),MATCH($A5,PhanCong!$B$2:$J$2,0)))="","(chưa PC GV)","GV: "&amp;INDEX(PhanCong!$B$3:$J$18,MATCH(TKB_Nhap!F5,PhanCong!$A$3:$A$18,0),MATCH($A5,PhanCong!$B$2:$J$2,0))))</f>
        <v/>
      </c>
      <c r="G5" s="26">
        <f>IF(TKB_Nhap!G5="","",TKB_Nhap!G5&amp;CHAR(10)&amp;IF(T(INDEX(PhanCong!$B$3:$J$18,MATCH(TKB_Nhap!G5,PhanCong!$A$3:$A$18,0),MATCH($A5,PhanCong!$B$2:$J$2,0)))="","(chưa PC GV)","GV: "&amp;INDEX(PhanCong!$B$3:$J$18,MATCH(TKB_Nhap!G5,PhanCong!$A$3:$A$18,0),MATCH($A5,PhanCong!$B$2:$J$2,0))))</f>
        <v/>
      </c>
      <c r="H5" s="26">
        <f>IF(TKB_Nhap!H5="","",TKB_Nhap!H5&amp;CHAR(10)&amp;IF(T(INDEX(PhanCong!$B$3:$J$18,MATCH(TKB_Nhap!H5,PhanCong!$A$3:$A$18,0),MATCH($A5,PhanCong!$B$2:$J$2,0)))="","(chưa PC GV)","GV: "&amp;INDEX(PhanCong!$B$3:$J$18,MATCH(TKB_Nhap!H5,PhanCong!$A$3:$A$18,0),MATCH($A5,PhanCong!$B$2:$J$2,0))))</f>
        <v/>
      </c>
      <c r="I5" s="26">
        <f>IF(TKB_Nhap!I5="","",TKB_Nhap!I5&amp;CHAR(10)&amp;IF(T(INDEX(PhanCong!$B$3:$J$18,MATCH(TKB_Nhap!I5,PhanCong!$A$3:$A$18,0),MATCH($A5,PhanCong!$B$2:$J$2,0)))="","(chưa PC GV)","GV: "&amp;INDEX(PhanCong!$B$3:$J$18,MATCH(TKB_Nhap!I5,PhanCong!$A$3:$A$18,0),MATCH($A5,PhanCong!$B$2:$J$2,0))))</f>
        <v/>
      </c>
      <c r="J5" s="26">
        <f>IF(TKB_Nhap!J5="","",TKB_Nhap!J5&amp;CHAR(10)&amp;IF(T(INDEX(PhanCong!$B$3:$J$18,MATCH(TKB_Nhap!J5,PhanCong!$A$3:$A$18,0),MATCH($A5,PhanCong!$B$2:$J$2,0)))="","(chưa PC GV)","GV: "&amp;INDEX(PhanCong!$B$3:$J$18,MATCH(TKB_Nhap!J5,PhanCong!$A$3:$A$18,0),MATCH($A5,PhanCong!$B$2:$J$2,0))))</f>
        <v/>
      </c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IF(TKB_Nhap!D6="","",TKB_Nhap!D6&amp;CHAR(10)&amp;IF(T(INDEX(PhanCong!$B$3:$J$18,MATCH(TKB_Nhap!D6,PhanCong!$A$3:$A$18,0),MATCH($A6,PhanCong!$B$2:$J$2,0)))="","(chưa PC GV)","GV: "&amp;INDEX(PhanCong!$B$3:$J$18,MATCH(TKB_Nhap!D6,PhanCong!$A$3:$A$18,0),MATCH($A6,PhanCong!$B$2:$J$2,0))))</f>
        <v/>
      </c>
      <c r="E6" s="26">
        <f>IF(TKB_Nhap!E6="","",TKB_Nhap!E6&amp;CHAR(10)&amp;IF(T(INDEX(PhanCong!$B$3:$J$18,MATCH(TKB_Nhap!E6,PhanCong!$A$3:$A$18,0),MATCH($A6,PhanCong!$B$2:$J$2,0)))="","(chưa PC GV)","GV: "&amp;INDEX(PhanCong!$B$3:$J$18,MATCH(TKB_Nhap!E6,PhanCong!$A$3:$A$18,0),MATCH($A6,PhanCong!$B$2:$J$2,0))))</f>
        <v/>
      </c>
      <c r="F6" s="26">
        <f>IF(TKB_Nhap!F6="","",TKB_Nhap!F6&amp;CHAR(10)&amp;IF(T(INDEX(PhanCong!$B$3:$J$18,MATCH(TKB_Nhap!F6,PhanCong!$A$3:$A$18,0),MATCH($A6,PhanCong!$B$2:$J$2,0)))="","(chưa PC GV)","GV: "&amp;INDEX(PhanCong!$B$3:$J$18,MATCH(TKB_Nhap!F6,PhanCong!$A$3:$A$18,0),MATCH($A6,PhanCong!$B$2:$J$2,0))))</f>
        <v/>
      </c>
      <c r="G6" s="26">
        <f>IF(TKB_Nhap!G6="","",TKB_Nhap!G6&amp;CHAR(10)&amp;IF(T(INDEX(PhanCong!$B$3:$J$18,MATCH(TKB_Nhap!G6,PhanCong!$A$3:$A$18,0),MATCH($A6,PhanCong!$B$2:$J$2,0)))="","(chưa PC GV)","GV: "&amp;INDEX(PhanCong!$B$3:$J$18,MATCH(TKB_Nhap!G6,PhanCong!$A$3:$A$18,0),MATCH($A6,PhanCong!$B$2:$J$2,0))))</f>
        <v/>
      </c>
      <c r="H6" s="26">
        <f>IF(TKB_Nhap!H6="","",TKB_Nhap!H6&amp;CHAR(10)&amp;IF(T(INDEX(PhanCong!$B$3:$J$18,MATCH(TKB_Nhap!H6,PhanCong!$A$3:$A$18,0),MATCH($A6,PhanCong!$B$2:$J$2,0)))="","(chưa PC GV)","GV: "&amp;INDEX(PhanCong!$B$3:$J$18,MATCH(TKB_Nhap!H6,PhanCong!$A$3:$A$18,0),MATCH($A6,PhanCong!$B$2:$J$2,0))))</f>
        <v/>
      </c>
      <c r="I6" s="26">
        <f>IF(TKB_Nhap!I6="","",TKB_Nhap!I6&amp;CHAR(10)&amp;IF(T(INDEX(PhanCong!$B$3:$J$18,MATCH(TKB_Nhap!I6,PhanCong!$A$3:$A$18,0),MATCH($A6,PhanCong!$B$2:$J$2,0)))="","(chưa PC GV)","GV: "&amp;INDEX(PhanCong!$B$3:$J$18,MATCH(TKB_Nhap!I6,PhanCong!$A$3:$A$18,0),MATCH($A6,PhanCong!$B$2:$J$2,0))))</f>
        <v/>
      </c>
      <c r="J6" s="26">
        <f>IF(TKB_Nhap!J6="","",TKB_Nhap!J6&amp;CHAR(10)&amp;IF(T(INDEX(PhanCong!$B$3:$J$18,MATCH(TKB_Nhap!J6,PhanCong!$A$3:$A$18,0),MATCH($A6,PhanCong!$B$2:$J$2,0)))="","(chưa PC GV)","GV: "&amp;INDEX(PhanCong!$B$3:$J$18,MATCH(TKB_Nhap!J6,PhanCong!$A$3:$A$18,0),MATCH($A6,PhanCong!$B$2:$J$2,0))))</f>
        <v/>
      </c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IF(TKB_Nhap!D7="","",TKB_Nhap!D7&amp;CHAR(10)&amp;IF(T(INDEX(PhanCong!$B$3:$J$18,MATCH(TKB_Nhap!D7,PhanCong!$A$3:$A$18,0),MATCH($A7,PhanCong!$B$2:$J$2,0)))="","(chưa PC GV)","GV: "&amp;INDEX(PhanCong!$B$3:$J$18,MATCH(TKB_Nhap!D7,PhanCong!$A$3:$A$18,0),MATCH($A7,PhanCong!$B$2:$J$2,0))))</f>
        <v/>
      </c>
      <c r="E7" s="26">
        <f>IF(TKB_Nhap!E7="","",TKB_Nhap!E7&amp;CHAR(10)&amp;IF(T(INDEX(PhanCong!$B$3:$J$18,MATCH(TKB_Nhap!E7,PhanCong!$A$3:$A$18,0),MATCH($A7,PhanCong!$B$2:$J$2,0)))="","(chưa PC GV)","GV: "&amp;INDEX(PhanCong!$B$3:$J$18,MATCH(TKB_Nhap!E7,PhanCong!$A$3:$A$18,0),MATCH($A7,PhanCong!$B$2:$J$2,0))))</f>
        <v/>
      </c>
      <c r="F7" s="26">
        <f>IF(TKB_Nhap!F7="","",TKB_Nhap!F7&amp;CHAR(10)&amp;IF(T(INDEX(PhanCong!$B$3:$J$18,MATCH(TKB_Nhap!F7,PhanCong!$A$3:$A$18,0),MATCH($A7,PhanCong!$B$2:$J$2,0)))="","(chưa PC GV)","GV: "&amp;INDEX(PhanCong!$B$3:$J$18,MATCH(TKB_Nhap!F7,PhanCong!$A$3:$A$18,0),MATCH($A7,PhanCong!$B$2:$J$2,0))))</f>
        <v/>
      </c>
      <c r="G7" s="26">
        <f>IF(TKB_Nhap!G7="","",TKB_Nhap!G7&amp;CHAR(10)&amp;IF(T(INDEX(PhanCong!$B$3:$J$18,MATCH(TKB_Nhap!G7,PhanCong!$A$3:$A$18,0),MATCH($A7,PhanCong!$B$2:$J$2,0)))="","(chưa PC GV)","GV: "&amp;INDEX(PhanCong!$B$3:$J$18,MATCH(TKB_Nhap!G7,PhanCong!$A$3:$A$18,0),MATCH($A7,PhanCong!$B$2:$J$2,0))))</f>
        <v/>
      </c>
      <c r="H7" s="26">
        <f>IF(TKB_Nhap!H7="","",TKB_Nhap!H7&amp;CHAR(10)&amp;IF(T(INDEX(PhanCong!$B$3:$J$18,MATCH(TKB_Nhap!H7,PhanCong!$A$3:$A$18,0),MATCH($A7,PhanCong!$B$2:$J$2,0)))="","(chưa PC GV)","GV: "&amp;INDEX(PhanCong!$B$3:$J$18,MATCH(TKB_Nhap!H7,PhanCong!$A$3:$A$18,0),MATCH($A7,PhanCong!$B$2:$J$2,0))))</f>
        <v/>
      </c>
      <c r="I7" s="26">
        <f>IF(TKB_Nhap!I7="","",TKB_Nhap!I7&amp;CHAR(10)&amp;IF(T(INDEX(PhanCong!$B$3:$J$18,MATCH(TKB_Nhap!I7,PhanCong!$A$3:$A$18,0),MATCH($A7,PhanCong!$B$2:$J$2,0)))="","(chưa PC GV)","GV: "&amp;INDEX(PhanCong!$B$3:$J$18,MATCH(TKB_Nhap!I7,PhanCong!$A$3:$A$18,0),MATCH($A7,PhanCong!$B$2:$J$2,0))))</f>
        <v/>
      </c>
      <c r="J7" s="26">
        <f>IF(TKB_Nhap!J7="","",TKB_Nhap!J7&amp;CHAR(10)&amp;IF(T(INDEX(PhanCong!$B$3:$J$18,MATCH(TKB_Nhap!J7,PhanCong!$A$3:$A$18,0),MATCH($A7,PhanCong!$B$2:$J$2,0)))="","(chưa PC GV)","GV: "&amp;INDEX(PhanCong!$B$3:$J$18,MATCH(TKB_Nhap!J7,PhanCong!$A$3:$A$18,0),MATCH($A7,PhanCong!$B$2:$J$2,0))))</f>
        <v/>
      </c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IF(TKB_Nhap!D8="","",TKB_Nhap!D8&amp;CHAR(10)&amp;IF(T(INDEX(PhanCong!$B$3:$J$18,MATCH(TKB_Nhap!D8,PhanCong!$A$3:$A$18,0),MATCH($A8,PhanCong!$B$2:$J$2,0)))="","(chưa PC GV)","GV: "&amp;INDEX(PhanCong!$B$3:$J$18,MATCH(TKB_Nhap!D8,PhanCong!$A$3:$A$18,0),MATCH($A8,PhanCong!$B$2:$J$2,0))))</f>
        <v/>
      </c>
      <c r="E8" s="26">
        <f>IF(TKB_Nhap!E8="","",TKB_Nhap!E8&amp;CHAR(10)&amp;IF(T(INDEX(PhanCong!$B$3:$J$18,MATCH(TKB_Nhap!E8,PhanCong!$A$3:$A$18,0),MATCH($A8,PhanCong!$B$2:$J$2,0)))="","(chưa PC GV)","GV: "&amp;INDEX(PhanCong!$B$3:$J$18,MATCH(TKB_Nhap!E8,PhanCong!$A$3:$A$18,0),MATCH($A8,PhanCong!$B$2:$J$2,0))))</f>
        <v/>
      </c>
      <c r="F8" s="26">
        <f>IF(TKB_Nhap!F8="","",TKB_Nhap!F8&amp;CHAR(10)&amp;IF(T(INDEX(PhanCong!$B$3:$J$18,MATCH(TKB_Nhap!F8,PhanCong!$A$3:$A$18,0),MATCH($A8,PhanCong!$B$2:$J$2,0)))="","(chưa PC GV)","GV: "&amp;INDEX(PhanCong!$B$3:$J$18,MATCH(TKB_Nhap!F8,PhanCong!$A$3:$A$18,0),MATCH($A8,PhanCong!$B$2:$J$2,0))))</f>
        <v/>
      </c>
      <c r="G8" s="26">
        <f>IF(TKB_Nhap!G8="","",TKB_Nhap!G8&amp;CHAR(10)&amp;IF(T(INDEX(PhanCong!$B$3:$J$18,MATCH(TKB_Nhap!G8,PhanCong!$A$3:$A$18,0),MATCH($A8,PhanCong!$B$2:$J$2,0)))="","(chưa PC GV)","GV: "&amp;INDEX(PhanCong!$B$3:$J$18,MATCH(TKB_Nhap!G8,PhanCong!$A$3:$A$18,0),MATCH($A8,PhanCong!$B$2:$J$2,0))))</f>
        <v/>
      </c>
      <c r="H8" s="26">
        <f>IF(TKB_Nhap!H8="","",TKB_Nhap!H8&amp;CHAR(10)&amp;IF(T(INDEX(PhanCong!$B$3:$J$18,MATCH(TKB_Nhap!H8,PhanCong!$A$3:$A$18,0),MATCH($A8,PhanCong!$B$2:$J$2,0)))="","(chưa PC GV)","GV: "&amp;INDEX(PhanCong!$B$3:$J$18,MATCH(TKB_Nhap!H8,PhanCong!$A$3:$A$18,0),MATCH($A8,PhanCong!$B$2:$J$2,0))))</f>
        <v/>
      </c>
      <c r="I8" s="26">
        <f>IF(TKB_Nhap!I8="","",TKB_Nhap!I8&amp;CHAR(10)&amp;IF(T(INDEX(PhanCong!$B$3:$J$18,MATCH(TKB_Nhap!I8,PhanCong!$A$3:$A$18,0),MATCH($A8,PhanCong!$B$2:$J$2,0)))="","(chưa PC GV)","GV: "&amp;INDEX(PhanCong!$B$3:$J$18,MATCH(TKB_Nhap!I8,PhanCong!$A$3:$A$18,0),MATCH($A8,PhanCong!$B$2:$J$2,0))))</f>
        <v/>
      </c>
      <c r="J8" s="26">
        <f>IF(TKB_Nhap!J8="","",TKB_Nhap!J8&amp;CHAR(10)&amp;IF(T(INDEX(PhanCong!$B$3:$J$18,MATCH(TKB_Nhap!J8,PhanCong!$A$3:$A$18,0),MATCH($A8,PhanCong!$B$2:$J$2,0)))="","(chưa PC GV)","GV: "&amp;INDEX(PhanCong!$B$3:$J$18,MATCH(TKB_Nhap!J8,PhanCong!$A$3:$A$18,0),MATCH($A8,PhanCong!$B$2:$J$2,0))))</f>
        <v/>
      </c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IF(TKB_Nhap!D9="","",TKB_Nhap!D9&amp;CHAR(10)&amp;IF(T(INDEX(PhanCong!$B$3:$J$18,MATCH(TKB_Nhap!D9,PhanCong!$A$3:$A$18,0),MATCH($A9,PhanCong!$B$2:$J$2,0)))="","(chưa PC GV)","GV: "&amp;INDEX(PhanCong!$B$3:$J$18,MATCH(TKB_Nhap!D9,PhanCong!$A$3:$A$18,0),MATCH($A9,PhanCong!$B$2:$J$2,0))))</f>
        <v/>
      </c>
      <c r="E9" s="26">
        <f>IF(TKB_Nhap!E9="","",TKB_Nhap!E9&amp;CHAR(10)&amp;IF(T(INDEX(PhanCong!$B$3:$J$18,MATCH(TKB_Nhap!E9,PhanCong!$A$3:$A$18,0),MATCH($A9,PhanCong!$B$2:$J$2,0)))="","(chưa PC GV)","GV: "&amp;INDEX(PhanCong!$B$3:$J$18,MATCH(TKB_Nhap!E9,PhanCong!$A$3:$A$18,0),MATCH($A9,PhanCong!$B$2:$J$2,0))))</f>
        <v/>
      </c>
      <c r="F9" s="26">
        <f>IF(TKB_Nhap!F9="","",TKB_Nhap!F9&amp;CHAR(10)&amp;IF(T(INDEX(PhanCong!$B$3:$J$18,MATCH(TKB_Nhap!F9,PhanCong!$A$3:$A$18,0),MATCH($A9,PhanCong!$B$2:$J$2,0)))="","(chưa PC GV)","GV: "&amp;INDEX(PhanCong!$B$3:$J$18,MATCH(TKB_Nhap!F9,PhanCong!$A$3:$A$18,0),MATCH($A9,PhanCong!$B$2:$J$2,0))))</f>
        <v/>
      </c>
      <c r="G9" s="26">
        <f>IF(TKB_Nhap!G9="","",TKB_Nhap!G9&amp;CHAR(10)&amp;IF(T(INDEX(PhanCong!$B$3:$J$18,MATCH(TKB_Nhap!G9,PhanCong!$A$3:$A$18,0),MATCH($A9,PhanCong!$B$2:$J$2,0)))="","(chưa PC GV)","GV: "&amp;INDEX(PhanCong!$B$3:$J$18,MATCH(TKB_Nhap!G9,PhanCong!$A$3:$A$18,0),MATCH($A9,PhanCong!$B$2:$J$2,0))))</f>
        <v/>
      </c>
      <c r="H9" s="26">
        <f>IF(TKB_Nhap!H9="","",TKB_Nhap!H9&amp;CHAR(10)&amp;IF(T(INDEX(PhanCong!$B$3:$J$18,MATCH(TKB_Nhap!H9,PhanCong!$A$3:$A$18,0),MATCH($A9,PhanCong!$B$2:$J$2,0)))="","(chưa PC GV)","GV: "&amp;INDEX(PhanCong!$B$3:$J$18,MATCH(TKB_Nhap!H9,PhanCong!$A$3:$A$18,0),MATCH($A9,PhanCong!$B$2:$J$2,0))))</f>
        <v/>
      </c>
      <c r="I9" s="26">
        <f>IF(TKB_Nhap!I9="","",TKB_Nhap!I9&amp;CHAR(10)&amp;IF(T(INDEX(PhanCong!$B$3:$J$18,MATCH(TKB_Nhap!I9,PhanCong!$A$3:$A$18,0),MATCH($A9,PhanCong!$B$2:$J$2,0)))="","(chưa PC GV)","GV: "&amp;INDEX(PhanCong!$B$3:$J$18,MATCH(TKB_Nhap!I9,PhanCong!$A$3:$A$18,0),MATCH($A9,PhanCong!$B$2:$J$2,0))))</f>
        <v/>
      </c>
      <c r="J9" s="26">
        <f>IF(TKB_Nhap!J9="","",TKB_Nhap!J9&amp;CHAR(10)&amp;IF(T(INDEX(PhanCong!$B$3:$J$18,MATCH(TKB_Nhap!J9,PhanCong!$A$3:$A$18,0),MATCH($A9,PhanCong!$B$2:$J$2,0)))="","(chưa PC GV)","GV: "&amp;INDEX(PhanCong!$B$3:$J$18,MATCH(TKB_Nhap!J9,PhanCong!$A$3:$A$18,0),MATCH($A9,PhanCong!$B$2:$J$2,0))))</f>
        <v/>
      </c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IF(TKB_Nhap!D10="","",TKB_Nhap!D10&amp;CHAR(10)&amp;IF(T(INDEX(PhanCong!$B$3:$J$18,MATCH(TKB_Nhap!D10,PhanCong!$A$3:$A$18,0),MATCH($A10,PhanCong!$B$2:$J$2,0)))="","(chưa PC GV)","GV: "&amp;INDEX(PhanCong!$B$3:$J$18,MATCH(TKB_Nhap!D10,PhanCong!$A$3:$A$18,0),MATCH($A10,PhanCong!$B$2:$J$2,0))))</f>
        <v/>
      </c>
      <c r="E10" s="38">
        <f>IF(TKB_Nhap!E10="","",TKB_Nhap!E10&amp;CHAR(10)&amp;IF(T(INDEX(PhanCong!$B$3:$J$18,MATCH(TKB_Nhap!E10,PhanCong!$A$3:$A$18,0),MATCH($A10,PhanCong!$B$2:$J$2,0)))="","(chưa PC GV)","GV: "&amp;INDEX(PhanCong!$B$3:$J$18,MATCH(TKB_Nhap!E10,PhanCong!$A$3:$A$18,0),MATCH($A10,PhanCong!$B$2:$J$2,0))))</f>
        <v/>
      </c>
      <c r="F10" s="38">
        <f>IF(TKB_Nhap!F10="","",TKB_Nhap!F10&amp;CHAR(10)&amp;IF(T(INDEX(PhanCong!$B$3:$J$18,MATCH(TKB_Nhap!F10,PhanCong!$A$3:$A$18,0),MATCH($A10,PhanCong!$B$2:$J$2,0)))="","(chưa PC GV)","GV: "&amp;INDEX(PhanCong!$B$3:$J$18,MATCH(TKB_Nhap!F10,PhanCong!$A$3:$A$18,0),MATCH($A10,PhanCong!$B$2:$J$2,0))))</f>
        <v/>
      </c>
      <c r="G10" s="38">
        <f>IF(TKB_Nhap!G10="","",TKB_Nhap!G10&amp;CHAR(10)&amp;IF(T(INDEX(PhanCong!$B$3:$J$18,MATCH(TKB_Nhap!G10,PhanCong!$A$3:$A$18,0),MATCH($A10,PhanCong!$B$2:$J$2,0)))="","(chưa PC GV)","GV: "&amp;INDEX(PhanCong!$B$3:$J$18,MATCH(TKB_Nhap!G10,PhanCong!$A$3:$A$18,0),MATCH($A10,PhanCong!$B$2:$J$2,0))))</f>
        <v/>
      </c>
      <c r="H10" s="38">
        <f>IF(TKB_Nhap!H10="","",TKB_Nhap!H10&amp;CHAR(10)&amp;IF(T(INDEX(PhanCong!$B$3:$J$18,MATCH(TKB_Nhap!H10,PhanCong!$A$3:$A$18,0),MATCH($A10,PhanCong!$B$2:$J$2,0)))="","(chưa PC GV)","GV: "&amp;INDEX(PhanCong!$B$3:$J$18,MATCH(TKB_Nhap!H10,PhanCong!$A$3:$A$18,0),MATCH($A10,PhanCong!$B$2:$J$2,0))))</f>
        <v/>
      </c>
      <c r="I10" s="38">
        <f>IF(TKB_Nhap!I10="","",TKB_Nhap!I10&amp;CHAR(10)&amp;IF(T(INDEX(PhanCong!$B$3:$J$18,MATCH(TKB_Nhap!I10,PhanCong!$A$3:$A$18,0),MATCH($A10,PhanCong!$B$2:$J$2,0)))="","(chưa PC GV)","GV: "&amp;INDEX(PhanCong!$B$3:$J$18,MATCH(TKB_Nhap!I10,PhanCong!$A$3:$A$18,0),MATCH($A10,PhanCong!$B$2:$J$2,0))))</f>
        <v/>
      </c>
      <c r="J10" s="38">
        <f>IF(TKB_Nhap!J10="","",TKB_Nhap!J10&amp;CHAR(10)&amp;IF(T(INDEX(PhanCong!$B$3:$J$18,MATCH(TKB_Nhap!J10,PhanCong!$A$3:$A$18,0),MATCH($A10,PhanCong!$B$2:$J$2,0)))="","(chưa PC GV)","GV: "&amp;INDEX(PhanCong!$B$3:$J$18,MATCH(TKB_Nhap!J10,PhanCong!$A$3:$A$18,0),MATCH($A10,PhanCong!$B$2:$J$2,0))))</f>
        <v/>
      </c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IF(TKB_Nhap!D11="","",TKB_Nhap!D11&amp;CHAR(10)&amp;IF(T(INDEX(PhanCong!$B$3:$J$18,MATCH(TKB_Nhap!D11,PhanCong!$A$3:$A$18,0),MATCH($A11,PhanCong!$B$2:$J$2,0)))="","(chưa PC GV)","GV: "&amp;INDEX(PhanCong!$B$3:$J$18,MATCH(TKB_Nhap!D11,PhanCong!$A$3:$A$18,0),MATCH($A11,PhanCong!$B$2:$J$2,0))))</f>
        <v/>
      </c>
      <c r="E11" s="38">
        <f>IF(TKB_Nhap!E11="","",TKB_Nhap!E11&amp;CHAR(10)&amp;IF(T(INDEX(PhanCong!$B$3:$J$18,MATCH(TKB_Nhap!E11,PhanCong!$A$3:$A$18,0),MATCH($A11,PhanCong!$B$2:$J$2,0)))="","(chưa PC GV)","GV: "&amp;INDEX(PhanCong!$B$3:$J$18,MATCH(TKB_Nhap!E11,PhanCong!$A$3:$A$18,0),MATCH($A11,PhanCong!$B$2:$J$2,0))))</f>
        <v/>
      </c>
      <c r="F11" s="38">
        <f>IF(TKB_Nhap!F11="","",TKB_Nhap!F11&amp;CHAR(10)&amp;IF(T(INDEX(PhanCong!$B$3:$J$18,MATCH(TKB_Nhap!F11,PhanCong!$A$3:$A$18,0),MATCH($A11,PhanCong!$B$2:$J$2,0)))="","(chưa PC GV)","GV: "&amp;INDEX(PhanCong!$B$3:$J$18,MATCH(TKB_Nhap!F11,PhanCong!$A$3:$A$18,0),MATCH($A11,PhanCong!$B$2:$J$2,0))))</f>
        <v/>
      </c>
      <c r="G11" s="38">
        <f>IF(TKB_Nhap!G11="","",TKB_Nhap!G11&amp;CHAR(10)&amp;IF(T(INDEX(PhanCong!$B$3:$J$18,MATCH(TKB_Nhap!G11,PhanCong!$A$3:$A$18,0),MATCH($A11,PhanCong!$B$2:$J$2,0)))="","(chưa PC GV)","GV: "&amp;INDEX(PhanCong!$B$3:$J$18,MATCH(TKB_Nhap!G11,PhanCong!$A$3:$A$18,0),MATCH($A11,PhanCong!$B$2:$J$2,0))))</f>
        <v/>
      </c>
      <c r="H11" s="38">
        <f>IF(TKB_Nhap!H11="","",TKB_Nhap!H11&amp;CHAR(10)&amp;IF(T(INDEX(PhanCong!$B$3:$J$18,MATCH(TKB_Nhap!H11,PhanCong!$A$3:$A$18,0),MATCH($A11,PhanCong!$B$2:$J$2,0)))="","(chưa PC GV)","GV: "&amp;INDEX(PhanCong!$B$3:$J$18,MATCH(TKB_Nhap!H11,PhanCong!$A$3:$A$18,0),MATCH($A11,PhanCong!$B$2:$J$2,0))))</f>
        <v/>
      </c>
      <c r="I11" s="38">
        <f>IF(TKB_Nhap!I11="","",TKB_Nhap!I11&amp;CHAR(10)&amp;IF(T(INDEX(PhanCong!$B$3:$J$18,MATCH(TKB_Nhap!I11,PhanCong!$A$3:$A$18,0),MATCH($A11,PhanCong!$B$2:$J$2,0)))="","(chưa PC GV)","GV: "&amp;INDEX(PhanCong!$B$3:$J$18,MATCH(TKB_Nhap!I11,PhanCong!$A$3:$A$18,0),MATCH($A11,PhanCong!$B$2:$J$2,0))))</f>
        <v/>
      </c>
      <c r="J11" s="38">
        <f>IF(TKB_Nhap!J11="","",TKB_Nhap!J11&amp;CHAR(10)&amp;IF(T(INDEX(PhanCong!$B$3:$J$18,MATCH(TKB_Nhap!J11,PhanCong!$A$3:$A$18,0),MATCH($A11,PhanCong!$B$2:$J$2,0)))="","(chưa PC GV)","GV: "&amp;INDEX(PhanCong!$B$3:$J$18,MATCH(TKB_Nhap!J11,PhanCong!$A$3:$A$18,0),MATCH($A11,PhanCong!$B$2:$J$2,0))))</f>
        <v/>
      </c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IF(TKB_Nhap!D12="","",TKB_Nhap!D12&amp;CHAR(10)&amp;IF(T(INDEX(PhanCong!$B$3:$J$18,MATCH(TKB_Nhap!D12,PhanCong!$A$3:$A$18,0),MATCH($A12,PhanCong!$B$2:$J$2,0)))="","(chưa PC GV)","GV: "&amp;INDEX(PhanCong!$B$3:$J$18,MATCH(TKB_Nhap!D12,PhanCong!$A$3:$A$18,0),MATCH($A12,PhanCong!$B$2:$J$2,0))))</f>
        <v/>
      </c>
      <c r="E12" s="38">
        <f>IF(TKB_Nhap!E12="","",TKB_Nhap!E12&amp;CHAR(10)&amp;IF(T(INDEX(PhanCong!$B$3:$J$18,MATCH(TKB_Nhap!E12,PhanCong!$A$3:$A$18,0),MATCH($A12,PhanCong!$B$2:$J$2,0)))="","(chưa PC GV)","GV: "&amp;INDEX(PhanCong!$B$3:$J$18,MATCH(TKB_Nhap!E12,PhanCong!$A$3:$A$18,0),MATCH($A12,PhanCong!$B$2:$J$2,0))))</f>
        <v/>
      </c>
      <c r="F12" s="38">
        <f>IF(TKB_Nhap!F12="","",TKB_Nhap!F12&amp;CHAR(10)&amp;IF(T(INDEX(PhanCong!$B$3:$J$18,MATCH(TKB_Nhap!F12,PhanCong!$A$3:$A$18,0),MATCH($A12,PhanCong!$B$2:$J$2,0)))="","(chưa PC GV)","GV: "&amp;INDEX(PhanCong!$B$3:$J$18,MATCH(TKB_Nhap!F12,PhanCong!$A$3:$A$18,0),MATCH($A12,PhanCong!$B$2:$J$2,0))))</f>
        <v/>
      </c>
      <c r="G12" s="38">
        <f>IF(TKB_Nhap!G12="","",TKB_Nhap!G12&amp;CHAR(10)&amp;IF(T(INDEX(PhanCong!$B$3:$J$18,MATCH(TKB_Nhap!G12,PhanCong!$A$3:$A$18,0),MATCH($A12,PhanCong!$B$2:$J$2,0)))="","(chưa PC GV)","GV: "&amp;INDEX(PhanCong!$B$3:$J$18,MATCH(TKB_Nhap!G12,PhanCong!$A$3:$A$18,0),MATCH($A12,PhanCong!$B$2:$J$2,0))))</f>
        <v/>
      </c>
      <c r="H12" s="38">
        <f>IF(TKB_Nhap!H12="","",TKB_Nhap!H12&amp;CHAR(10)&amp;IF(T(INDEX(PhanCong!$B$3:$J$18,MATCH(TKB_Nhap!H12,PhanCong!$A$3:$A$18,0),MATCH($A12,PhanCong!$B$2:$J$2,0)))="","(chưa PC GV)","GV: "&amp;INDEX(PhanCong!$B$3:$J$18,MATCH(TKB_Nhap!H12,PhanCong!$A$3:$A$18,0),MATCH($A12,PhanCong!$B$2:$J$2,0))))</f>
        <v/>
      </c>
      <c r="I12" s="38">
        <f>IF(TKB_Nhap!I12="","",TKB_Nhap!I12&amp;CHAR(10)&amp;IF(T(INDEX(PhanCong!$B$3:$J$18,MATCH(TKB_Nhap!I12,PhanCong!$A$3:$A$18,0),MATCH($A12,PhanCong!$B$2:$J$2,0)))="","(chưa PC GV)","GV: "&amp;INDEX(PhanCong!$B$3:$J$18,MATCH(TKB_Nhap!I12,PhanCong!$A$3:$A$18,0),MATCH($A12,PhanCong!$B$2:$J$2,0))))</f>
        <v/>
      </c>
      <c r="J12" s="38">
        <f>IF(TKB_Nhap!J12="","",TKB_Nhap!J12&amp;CHAR(10)&amp;IF(T(INDEX(PhanCong!$B$3:$J$18,MATCH(TKB_Nhap!J12,PhanCong!$A$3:$A$18,0),MATCH($A12,PhanCong!$B$2:$J$2,0)))="","(chưa PC GV)","GV: "&amp;INDEX(PhanCong!$B$3:$J$18,MATCH(TKB_Nhap!J12,PhanCong!$A$3:$A$18,0),MATCH($A12,PhanCong!$B$2:$J$2,0))))</f>
        <v/>
      </c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IF(TKB_Nhap!D13="","",TKB_Nhap!D13&amp;CHAR(10)&amp;IF(T(INDEX(PhanCong!$B$3:$J$18,MATCH(TKB_Nhap!D13,PhanCong!$A$3:$A$18,0),MATCH($A13,PhanCong!$B$2:$J$2,0)))="","(chưa PC GV)","GV: "&amp;INDEX(PhanCong!$B$3:$J$18,MATCH(TKB_Nhap!D13,PhanCong!$A$3:$A$18,0),MATCH($A13,PhanCong!$B$2:$J$2,0))))</f>
        <v/>
      </c>
      <c r="E13" s="38">
        <f>IF(TKB_Nhap!E13="","",TKB_Nhap!E13&amp;CHAR(10)&amp;IF(T(INDEX(PhanCong!$B$3:$J$18,MATCH(TKB_Nhap!E13,PhanCong!$A$3:$A$18,0),MATCH($A13,PhanCong!$B$2:$J$2,0)))="","(chưa PC GV)","GV: "&amp;INDEX(PhanCong!$B$3:$J$18,MATCH(TKB_Nhap!E13,PhanCong!$A$3:$A$18,0),MATCH($A13,PhanCong!$B$2:$J$2,0))))</f>
        <v/>
      </c>
      <c r="F13" s="38">
        <f>IF(TKB_Nhap!F13="","",TKB_Nhap!F13&amp;CHAR(10)&amp;IF(T(INDEX(PhanCong!$B$3:$J$18,MATCH(TKB_Nhap!F13,PhanCong!$A$3:$A$18,0),MATCH($A13,PhanCong!$B$2:$J$2,0)))="","(chưa PC GV)","GV: "&amp;INDEX(PhanCong!$B$3:$J$18,MATCH(TKB_Nhap!F13,PhanCong!$A$3:$A$18,0),MATCH($A13,PhanCong!$B$2:$J$2,0))))</f>
        <v/>
      </c>
      <c r="G13" s="38">
        <f>IF(TKB_Nhap!G13="","",TKB_Nhap!G13&amp;CHAR(10)&amp;IF(T(INDEX(PhanCong!$B$3:$J$18,MATCH(TKB_Nhap!G13,PhanCong!$A$3:$A$18,0),MATCH($A13,PhanCong!$B$2:$J$2,0)))="","(chưa PC GV)","GV: "&amp;INDEX(PhanCong!$B$3:$J$18,MATCH(TKB_Nhap!G13,PhanCong!$A$3:$A$18,0),MATCH($A13,PhanCong!$B$2:$J$2,0))))</f>
        <v/>
      </c>
      <c r="H13" s="38">
        <f>IF(TKB_Nhap!H13="","",TKB_Nhap!H13&amp;CHAR(10)&amp;IF(T(INDEX(PhanCong!$B$3:$J$18,MATCH(TKB_Nhap!H13,PhanCong!$A$3:$A$18,0),MATCH($A13,PhanCong!$B$2:$J$2,0)))="","(chưa PC GV)","GV: "&amp;INDEX(PhanCong!$B$3:$J$18,MATCH(TKB_Nhap!H13,PhanCong!$A$3:$A$18,0),MATCH($A13,PhanCong!$B$2:$J$2,0))))</f>
        <v/>
      </c>
      <c r="I13" s="38">
        <f>IF(TKB_Nhap!I13="","",TKB_Nhap!I13&amp;CHAR(10)&amp;IF(T(INDEX(PhanCong!$B$3:$J$18,MATCH(TKB_Nhap!I13,PhanCong!$A$3:$A$18,0),MATCH($A13,PhanCong!$B$2:$J$2,0)))="","(chưa PC GV)","GV: "&amp;INDEX(PhanCong!$B$3:$J$18,MATCH(TKB_Nhap!I13,PhanCong!$A$3:$A$18,0),MATCH($A13,PhanCong!$B$2:$J$2,0))))</f>
        <v/>
      </c>
      <c r="J13" s="38">
        <f>IF(TKB_Nhap!J13="","",TKB_Nhap!J13&amp;CHAR(10)&amp;IF(T(INDEX(PhanCong!$B$3:$J$18,MATCH(TKB_Nhap!J13,PhanCong!$A$3:$A$18,0),MATCH($A13,PhanCong!$B$2:$J$2,0)))="","(chưa PC GV)","GV: "&amp;INDEX(PhanCong!$B$3:$J$18,MATCH(TKB_Nhap!J13,PhanCong!$A$3:$A$18,0),MATCH($A13,PhanCong!$B$2:$J$2,0))))</f>
        <v/>
      </c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IF(TKB_Nhap!D14="","",TKB_Nhap!D14&amp;CHAR(10)&amp;IF(T(INDEX(PhanCong!$B$3:$J$18,MATCH(TKB_Nhap!D14,PhanCong!$A$3:$A$18,0),MATCH($A14,PhanCong!$B$2:$J$2,0)))="","(chưa PC GV)","GV: "&amp;INDEX(PhanCong!$B$3:$J$18,MATCH(TKB_Nhap!D14,PhanCong!$A$3:$A$18,0),MATCH($A14,PhanCong!$B$2:$J$2,0))))</f>
        <v/>
      </c>
      <c r="E14" s="38">
        <f>IF(TKB_Nhap!E14="","",TKB_Nhap!E14&amp;CHAR(10)&amp;IF(T(INDEX(PhanCong!$B$3:$J$18,MATCH(TKB_Nhap!E14,PhanCong!$A$3:$A$18,0),MATCH($A14,PhanCong!$B$2:$J$2,0)))="","(chưa PC GV)","GV: "&amp;INDEX(PhanCong!$B$3:$J$18,MATCH(TKB_Nhap!E14,PhanCong!$A$3:$A$18,0),MATCH($A14,PhanCong!$B$2:$J$2,0))))</f>
        <v/>
      </c>
      <c r="F14" s="38">
        <f>IF(TKB_Nhap!F14="","",TKB_Nhap!F14&amp;CHAR(10)&amp;IF(T(INDEX(PhanCong!$B$3:$J$18,MATCH(TKB_Nhap!F14,PhanCong!$A$3:$A$18,0),MATCH($A14,PhanCong!$B$2:$J$2,0)))="","(chưa PC GV)","GV: "&amp;INDEX(PhanCong!$B$3:$J$18,MATCH(TKB_Nhap!F14,PhanCong!$A$3:$A$18,0),MATCH($A14,PhanCong!$B$2:$J$2,0))))</f>
        <v/>
      </c>
      <c r="G14" s="38">
        <f>IF(TKB_Nhap!G14="","",TKB_Nhap!G14&amp;CHAR(10)&amp;IF(T(INDEX(PhanCong!$B$3:$J$18,MATCH(TKB_Nhap!G14,PhanCong!$A$3:$A$18,0),MATCH($A14,PhanCong!$B$2:$J$2,0)))="","(chưa PC GV)","GV: "&amp;INDEX(PhanCong!$B$3:$J$18,MATCH(TKB_Nhap!G14,PhanCong!$A$3:$A$18,0),MATCH($A14,PhanCong!$B$2:$J$2,0))))</f>
        <v/>
      </c>
      <c r="H14" s="38">
        <f>IF(TKB_Nhap!H14="","",TKB_Nhap!H14&amp;CHAR(10)&amp;IF(T(INDEX(PhanCong!$B$3:$J$18,MATCH(TKB_Nhap!H14,PhanCong!$A$3:$A$18,0),MATCH($A14,PhanCong!$B$2:$J$2,0)))="","(chưa PC GV)","GV: "&amp;INDEX(PhanCong!$B$3:$J$18,MATCH(TKB_Nhap!H14,PhanCong!$A$3:$A$18,0),MATCH($A14,PhanCong!$B$2:$J$2,0))))</f>
        <v/>
      </c>
      <c r="I14" s="38">
        <f>IF(TKB_Nhap!I14="","",TKB_Nhap!I14&amp;CHAR(10)&amp;IF(T(INDEX(PhanCong!$B$3:$J$18,MATCH(TKB_Nhap!I14,PhanCong!$A$3:$A$18,0),MATCH($A14,PhanCong!$B$2:$J$2,0)))="","(chưa PC GV)","GV: "&amp;INDEX(PhanCong!$B$3:$J$18,MATCH(TKB_Nhap!I14,PhanCong!$A$3:$A$18,0),MATCH($A14,PhanCong!$B$2:$J$2,0))))</f>
        <v/>
      </c>
      <c r="J14" s="38">
        <f>IF(TKB_Nhap!J14="","",TKB_Nhap!J14&amp;CHAR(10)&amp;IF(T(INDEX(PhanCong!$B$3:$J$18,MATCH(TKB_Nhap!J14,PhanCong!$A$3:$A$18,0),MATCH($A14,PhanCong!$B$2:$J$2,0)))="","(chưa PC GV)","GV: "&amp;INDEX(PhanCong!$B$3:$J$18,MATCH(TKB_Nhap!J14,PhanCong!$A$3:$A$18,0),MATCH($A14,PhanCong!$B$2:$J$2,0))))</f>
        <v/>
      </c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IF(TKB_Nhap!D15="","",TKB_Nhap!D15&amp;CHAR(10)&amp;IF(T(INDEX(PhanCong!$B$3:$J$18,MATCH(TKB_Nhap!D15,PhanCong!$A$3:$A$18,0),MATCH($A15,PhanCong!$B$2:$J$2,0)))="","(chưa PC GV)","GV: "&amp;INDEX(PhanCong!$B$3:$J$18,MATCH(TKB_Nhap!D15,PhanCong!$A$3:$A$18,0),MATCH($A15,PhanCong!$B$2:$J$2,0))))</f>
        <v/>
      </c>
      <c r="E15" s="38">
        <f>IF(TKB_Nhap!E15="","",TKB_Nhap!E15&amp;CHAR(10)&amp;IF(T(INDEX(PhanCong!$B$3:$J$18,MATCH(TKB_Nhap!E15,PhanCong!$A$3:$A$18,0),MATCH($A15,PhanCong!$B$2:$J$2,0)))="","(chưa PC GV)","GV: "&amp;INDEX(PhanCong!$B$3:$J$18,MATCH(TKB_Nhap!E15,PhanCong!$A$3:$A$18,0),MATCH($A15,PhanCong!$B$2:$J$2,0))))</f>
        <v/>
      </c>
      <c r="F15" s="38">
        <f>IF(TKB_Nhap!F15="","",TKB_Nhap!F15&amp;CHAR(10)&amp;IF(T(INDEX(PhanCong!$B$3:$J$18,MATCH(TKB_Nhap!F15,PhanCong!$A$3:$A$18,0),MATCH($A15,PhanCong!$B$2:$J$2,0)))="","(chưa PC GV)","GV: "&amp;INDEX(PhanCong!$B$3:$J$18,MATCH(TKB_Nhap!F15,PhanCong!$A$3:$A$18,0),MATCH($A15,PhanCong!$B$2:$J$2,0))))</f>
        <v/>
      </c>
      <c r="G15" s="38">
        <f>IF(TKB_Nhap!G15="","",TKB_Nhap!G15&amp;CHAR(10)&amp;IF(T(INDEX(PhanCong!$B$3:$J$18,MATCH(TKB_Nhap!G15,PhanCong!$A$3:$A$18,0),MATCH($A15,PhanCong!$B$2:$J$2,0)))="","(chưa PC GV)","GV: "&amp;INDEX(PhanCong!$B$3:$J$18,MATCH(TKB_Nhap!G15,PhanCong!$A$3:$A$18,0),MATCH($A15,PhanCong!$B$2:$J$2,0))))</f>
        <v/>
      </c>
      <c r="H15" s="38">
        <f>IF(TKB_Nhap!H15="","",TKB_Nhap!H15&amp;CHAR(10)&amp;IF(T(INDEX(PhanCong!$B$3:$J$18,MATCH(TKB_Nhap!H15,PhanCong!$A$3:$A$18,0),MATCH($A15,PhanCong!$B$2:$J$2,0)))="","(chưa PC GV)","GV: "&amp;INDEX(PhanCong!$B$3:$J$18,MATCH(TKB_Nhap!H15,PhanCong!$A$3:$A$18,0),MATCH($A15,PhanCong!$B$2:$J$2,0))))</f>
        <v/>
      </c>
      <c r="I15" s="38">
        <f>IF(TKB_Nhap!I15="","",TKB_Nhap!I15&amp;CHAR(10)&amp;IF(T(INDEX(PhanCong!$B$3:$J$18,MATCH(TKB_Nhap!I15,PhanCong!$A$3:$A$18,0),MATCH($A15,PhanCong!$B$2:$J$2,0)))="","(chưa PC GV)","GV: "&amp;INDEX(PhanCong!$B$3:$J$18,MATCH(TKB_Nhap!I15,PhanCong!$A$3:$A$18,0),MATCH($A15,PhanCong!$B$2:$J$2,0))))</f>
        <v/>
      </c>
      <c r="J15" s="38">
        <f>IF(TKB_Nhap!J15="","",TKB_Nhap!J15&amp;CHAR(10)&amp;IF(T(INDEX(PhanCong!$B$3:$J$18,MATCH(TKB_Nhap!J15,PhanCong!$A$3:$A$18,0),MATCH($A15,PhanCong!$B$2:$J$2,0)))="","(chưa PC GV)","GV: "&amp;INDEX(PhanCong!$B$3:$J$18,MATCH(TKB_Nhap!J15,PhanCong!$A$3:$A$18,0),MATCH($A15,PhanCong!$B$2:$J$2,0))))</f>
        <v/>
      </c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IF(TKB_Nhap!D16="","",TKB_Nhap!D16&amp;CHAR(10)&amp;IF(T(INDEX(PhanCong!$B$3:$J$18,MATCH(TKB_Nhap!D16,PhanCong!$A$3:$A$18,0),MATCH($A16,PhanCong!$B$2:$J$2,0)))="","(chưa PC GV)","GV: "&amp;INDEX(PhanCong!$B$3:$J$18,MATCH(TKB_Nhap!D16,PhanCong!$A$3:$A$18,0),MATCH($A16,PhanCong!$B$2:$J$2,0))))</f>
        <v/>
      </c>
      <c r="E16" s="38">
        <f>IF(TKB_Nhap!E16="","",TKB_Nhap!E16&amp;CHAR(10)&amp;IF(T(INDEX(PhanCong!$B$3:$J$18,MATCH(TKB_Nhap!E16,PhanCong!$A$3:$A$18,0),MATCH($A16,PhanCong!$B$2:$J$2,0)))="","(chưa PC GV)","GV: "&amp;INDEX(PhanCong!$B$3:$J$18,MATCH(TKB_Nhap!E16,PhanCong!$A$3:$A$18,0),MATCH($A16,PhanCong!$B$2:$J$2,0))))</f>
        <v/>
      </c>
      <c r="F16" s="38">
        <f>IF(TKB_Nhap!F16="","",TKB_Nhap!F16&amp;CHAR(10)&amp;IF(T(INDEX(PhanCong!$B$3:$J$18,MATCH(TKB_Nhap!F16,PhanCong!$A$3:$A$18,0),MATCH($A16,PhanCong!$B$2:$J$2,0)))="","(chưa PC GV)","GV: "&amp;INDEX(PhanCong!$B$3:$J$18,MATCH(TKB_Nhap!F16,PhanCong!$A$3:$A$18,0),MATCH($A16,PhanCong!$B$2:$J$2,0))))</f>
        <v/>
      </c>
      <c r="G16" s="38">
        <f>IF(TKB_Nhap!G16="","",TKB_Nhap!G16&amp;CHAR(10)&amp;IF(T(INDEX(PhanCong!$B$3:$J$18,MATCH(TKB_Nhap!G16,PhanCong!$A$3:$A$18,0),MATCH($A16,PhanCong!$B$2:$J$2,0)))="","(chưa PC GV)","GV: "&amp;INDEX(PhanCong!$B$3:$J$18,MATCH(TKB_Nhap!G16,PhanCong!$A$3:$A$18,0),MATCH($A16,PhanCong!$B$2:$J$2,0))))</f>
        <v/>
      </c>
      <c r="H16" s="38">
        <f>IF(TKB_Nhap!H16="","",TKB_Nhap!H16&amp;CHAR(10)&amp;IF(T(INDEX(PhanCong!$B$3:$J$18,MATCH(TKB_Nhap!H16,PhanCong!$A$3:$A$18,0),MATCH($A16,PhanCong!$B$2:$J$2,0)))="","(chưa PC GV)","GV: "&amp;INDEX(PhanCong!$B$3:$J$18,MATCH(TKB_Nhap!H16,PhanCong!$A$3:$A$18,0),MATCH($A16,PhanCong!$B$2:$J$2,0))))</f>
        <v/>
      </c>
      <c r="I16" s="38">
        <f>IF(TKB_Nhap!I16="","",TKB_Nhap!I16&amp;CHAR(10)&amp;IF(T(INDEX(PhanCong!$B$3:$J$18,MATCH(TKB_Nhap!I16,PhanCong!$A$3:$A$18,0),MATCH($A16,PhanCong!$B$2:$J$2,0)))="","(chưa PC GV)","GV: "&amp;INDEX(PhanCong!$B$3:$J$18,MATCH(TKB_Nhap!I16,PhanCong!$A$3:$A$18,0),MATCH($A16,PhanCong!$B$2:$J$2,0))))</f>
        <v/>
      </c>
      <c r="J16" s="38">
        <f>IF(TKB_Nhap!J16="","",TKB_Nhap!J16&amp;CHAR(10)&amp;IF(T(INDEX(PhanCong!$B$3:$J$18,MATCH(TKB_Nhap!J16,PhanCong!$A$3:$A$18,0),MATCH($A16,PhanCong!$B$2:$J$2,0)))="","(chưa PC GV)","GV: "&amp;INDEX(PhanCong!$B$3:$J$18,MATCH(TKB_Nhap!J16,PhanCong!$A$3:$A$18,0),MATCH($A16,PhanCong!$B$2:$J$2,0))))</f>
        <v/>
      </c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IF(TKB_Nhap!D17="","",TKB_Nhap!D17&amp;CHAR(10)&amp;IF(T(INDEX(PhanCong!$B$3:$J$18,MATCH(TKB_Nhap!D17,PhanCong!$A$3:$A$18,0),MATCH($A17,PhanCong!$B$2:$J$2,0)))="","(chưa PC GV)","GV: "&amp;INDEX(PhanCong!$B$3:$J$18,MATCH(TKB_Nhap!D17,PhanCong!$A$3:$A$18,0),MATCH($A17,PhanCong!$B$2:$J$2,0))))</f>
        <v/>
      </c>
      <c r="E17" s="38">
        <f>IF(TKB_Nhap!E17="","",TKB_Nhap!E17&amp;CHAR(10)&amp;IF(T(INDEX(PhanCong!$B$3:$J$18,MATCH(TKB_Nhap!E17,PhanCong!$A$3:$A$18,0),MATCH($A17,PhanCong!$B$2:$J$2,0)))="","(chưa PC GV)","GV: "&amp;INDEX(PhanCong!$B$3:$J$18,MATCH(TKB_Nhap!E17,PhanCong!$A$3:$A$18,0),MATCH($A17,PhanCong!$B$2:$J$2,0))))</f>
        <v/>
      </c>
      <c r="F17" s="38">
        <f>IF(TKB_Nhap!F17="","",TKB_Nhap!F17&amp;CHAR(10)&amp;IF(T(INDEX(PhanCong!$B$3:$J$18,MATCH(TKB_Nhap!F17,PhanCong!$A$3:$A$18,0),MATCH($A17,PhanCong!$B$2:$J$2,0)))="","(chưa PC GV)","GV: "&amp;INDEX(PhanCong!$B$3:$J$18,MATCH(TKB_Nhap!F17,PhanCong!$A$3:$A$18,0),MATCH($A17,PhanCong!$B$2:$J$2,0))))</f>
        <v/>
      </c>
      <c r="G17" s="38">
        <f>IF(TKB_Nhap!G17="","",TKB_Nhap!G17&amp;CHAR(10)&amp;IF(T(INDEX(PhanCong!$B$3:$J$18,MATCH(TKB_Nhap!G17,PhanCong!$A$3:$A$18,0),MATCH($A17,PhanCong!$B$2:$J$2,0)))="","(chưa PC GV)","GV: "&amp;INDEX(PhanCong!$B$3:$J$18,MATCH(TKB_Nhap!G17,PhanCong!$A$3:$A$18,0),MATCH($A17,PhanCong!$B$2:$J$2,0))))</f>
        <v/>
      </c>
      <c r="H17" s="38">
        <f>IF(TKB_Nhap!H17="","",TKB_Nhap!H17&amp;CHAR(10)&amp;IF(T(INDEX(PhanCong!$B$3:$J$18,MATCH(TKB_Nhap!H17,PhanCong!$A$3:$A$18,0),MATCH($A17,PhanCong!$B$2:$J$2,0)))="","(chưa PC GV)","GV: "&amp;INDEX(PhanCong!$B$3:$J$18,MATCH(TKB_Nhap!H17,PhanCong!$A$3:$A$18,0),MATCH($A17,PhanCong!$B$2:$J$2,0))))</f>
        <v/>
      </c>
      <c r="I17" s="38">
        <f>IF(TKB_Nhap!I17="","",TKB_Nhap!I17&amp;CHAR(10)&amp;IF(T(INDEX(PhanCong!$B$3:$J$18,MATCH(TKB_Nhap!I17,PhanCong!$A$3:$A$18,0),MATCH($A17,PhanCong!$B$2:$J$2,0)))="","(chưa PC GV)","GV: "&amp;INDEX(PhanCong!$B$3:$J$18,MATCH(TKB_Nhap!I17,PhanCong!$A$3:$A$18,0),MATCH($A17,PhanCong!$B$2:$J$2,0))))</f>
        <v/>
      </c>
      <c r="J17" s="38">
        <f>IF(TKB_Nhap!J17="","",TKB_Nhap!J17&amp;CHAR(10)&amp;IF(T(INDEX(PhanCong!$B$3:$J$18,MATCH(TKB_Nhap!J17,PhanCong!$A$3:$A$18,0),MATCH($A17,PhanCong!$B$2:$J$2,0)))="","(chưa PC GV)","GV: "&amp;INDEX(PhanCong!$B$3:$J$18,MATCH(TKB_Nhap!J17,PhanCong!$A$3:$A$18,0),MATCH($A17,PhanCong!$B$2:$J$2,0))))</f>
        <v/>
      </c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IF(TKB_Nhap!D18="","",TKB_Nhap!D18&amp;CHAR(10)&amp;IF(T(INDEX(PhanCong!$B$3:$J$18,MATCH(TKB_Nhap!D18,PhanCong!$A$3:$A$18,0),MATCH($A18,PhanCong!$B$2:$J$2,0)))="","(chưa PC GV)","GV: "&amp;INDEX(PhanCong!$B$3:$J$18,MATCH(TKB_Nhap!D18,PhanCong!$A$3:$A$18,0),MATCH($A18,PhanCong!$B$2:$J$2,0))))</f>
        <v/>
      </c>
      <c r="E18" s="26">
        <f>IF(TKB_Nhap!E18="","",TKB_Nhap!E18&amp;CHAR(10)&amp;IF(T(INDEX(PhanCong!$B$3:$J$18,MATCH(TKB_Nhap!E18,PhanCong!$A$3:$A$18,0),MATCH($A18,PhanCong!$B$2:$J$2,0)))="","(chưa PC GV)","GV: "&amp;INDEX(PhanCong!$B$3:$J$18,MATCH(TKB_Nhap!E18,PhanCong!$A$3:$A$18,0),MATCH($A18,PhanCong!$B$2:$J$2,0))))</f>
        <v/>
      </c>
      <c r="F18" s="26">
        <f>IF(TKB_Nhap!F18="","",TKB_Nhap!F18&amp;CHAR(10)&amp;IF(T(INDEX(PhanCong!$B$3:$J$18,MATCH(TKB_Nhap!F18,PhanCong!$A$3:$A$18,0),MATCH($A18,PhanCong!$B$2:$J$2,0)))="","(chưa PC GV)","GV: "&amp;INDEX(PhanCong!$B$3:$J$18,MATCH(TKB_Nhap!F18,PhanCong!$A$3:$A$18,0),MATCH($A18,PhanCong!$B$2:$J$2,0))))</f>
        <v/>
      </c>
      <c r="G18" s="26">
        <f>IF(TKB_Nhap!G18="","",TKB_Nhap!G18&amp;CHAR(10)&amp;IF(T(INDEX(PhanCong!$B$3:$J$18,MATCH(TKB_Nhap!G18,PhanCong!$A$3:$A$18,0),MATCH($A18,PhanCong!$B$2:$J$2,0)))="","(chưa PC GV)","GV: "&amp;INDEX(PhanCong!$B$3:$J$18,MATCH(TKB_Nhap!G18,PhanCong!$A$3:$A$18,0),MATCH($A18,PhanCong!$B$2:$J$2,0))))</f>
        <v/>
      </c>
      <c r="H18" s="26">
        <f>IF(TKB_Nhap!H18="","",TKB_Nhap!H18&amp;CHAR(10)&amp;IF(T(INDEX(PhanCong!$B$3:$J$18,MATCH(TKB_Nhap!H18,PhanCong!$A$3:$A$18,0),MATCH($A18,PhanCong!$B$2:$J$2,0)))="","(chưa PC GV)","GV: "&amp;INDEX(PhanCong!$B$3:$J$18,MATCH(TKB_Nhap!H18,PhanCong!$A$3:$A$18,0),MATCH($A18,PhanCong!$B$2:$J$2,0))))</f>
        <v/>
      </c>
      <c r="I18" s="26">
        <f>IF(TKB_Nhap!I18="","",TKB_Nhap!I18&amp;CHAR(10)&amp;IF(T(INDEX(PhanCong!$B$3:$J$18,MATCH(TKB_Nhap!I18,PhanCong!$A$3:$A$18,0),MATCH($A18,PhanCong!$B$2:$J$2,0)))="","(chưa PC GV)","GV: "&amp;INDEX(PhanCong!$B$3:$J$18,MATCH(TKB_Nhap!I18,PhanCong!$A$3:$A$18,0),MATCH($A18,PhanCong!$B$2:$J$2,0))))</f>
        <v/>
      </c>
      <c r="J18" s="26">
        <f>IF(TKB_Nhap!J18="","",TKB_Nhap!J18&amp;CHAR(10)&amp;IF(T(INDEX(PhanCong!$B$3:$J$18,MATCH(TKB_Nhap!J18,PhanCong!$A$3:$A$18,0),MATCH($A18,PhanCong!$B$2:$J$2,0)))="","(chưa PC GV)","GV: "&amp;INDEX(PhanCong!$B$3:$J$18,MATCH(TKB_Nhap!J18,PhanCong!$A$3:$A$18,0),MATCH($A18,PhanCong!$B$2:$J$2,0))))</f>
        <v/>
      </c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IF(TKB_Nhap!D19="","",TKB_Nhap!D19&amp;CHAR(10)&amp;IF(T(INDEX(PhanCong!$B$3:$J$18,MATCH(TKB_Nhap!D19,PhanCong!$A$3:$A$18,0),MATCH($A19,PhanCong!$B$2:$J$2,0)))="","(chưa PC GV)","GV: "&amp;INDEX(PhanCong!$B$3:$J$18,MATCH(TKB_Nhap!D19,PhanCong!$A$3:$A$18,0),MATCH($A19,PhanCong!$B$2:$J$2,0))))</f>
        <v/>
      </c>
      <c r="E19" s="26">
        <f>IF(TKB_Nhap!E19="","",TKB_Nhap!E19&amp;CHAR(10)&amp;IF(T(INDEX(PhanCong!$B$3:$J$18,MATCH(TKB_Nhap!E19,PhanCong!$A$3:$A$18,0),MATCH($A19,PhanCong!$B$2:$J$2,0)))="","(chưa PC GV)","GV: "&amp;INDEX(PhanCong!$B$3:$J$18,MATCH(TKB_Nhap!E19,PhanCong!$A$3:$A$18,0),MATCH($A19,PhanCong!$B$2:$J$2,0))))</f>
        <v/>
      </c>
      <c r="F19" s="26">
        <f>IF(TKB_Nhap!F19="","",TKB_Nhap!F19&amp;CHAR(10)&amp;IF(T(INDEX(PhanCong!$B$3:$J$18,MATCH(TKB_Nhap!F19,PhanCong!$A$3:$A$18,0),MATCH($A19,PhanCong!$B$2:$J$2,0)))="","(chưa PC GV)","GV: "&amp;INDEX(PhanCong!$B$3:$J$18,MATCH(TKB_Nhap!F19,PhanCong!$A$3:$A$18,0),MATCH($A19,PhanCong!$B$2:$J$2,0))))</f>
        <v/>
      </c>
      <c r="G19" s="26">
        <f>IF(TKB_Nhap!G19="","",TKB_Nhap!G19&amp;CHAR(10)&amp;IF(T(INDEX(PhanCong!$B$3:$J$18,MATCH(TKB_Nhap!G19,PhanCong!$A$3:$A$18,0),MATCH($A19,PhanCong!$B$2:$J$2,0)))="","(chưa PC GV)","GV: "&amp;INDEX(PhanCong!$B$3:$J$18,MATCH(TKB_Nhap!G19,PhanCong!$A$3:$A$18,0),MATCH($A19,PhanCong!$B$2:$J$2,0))))</f>
        <v/>
      </c>
      <c r="H19" s="26">
        <f>IF(TKB_Nhap!H19="","",TKB_Nhap!H19&amp;CHAR(10)&amp;IF(T(INDEX(PhanCong!$B$3:$J$18,MATCH(TKB_Nhap!H19,PhanCong!$A$3:$A$18,0),MATCH($A19,PhanCong!$B$2:$J$2,0)))="","(chưa PC GV)","GV: "&amp;INDEX(PhanCong!$B$3:$J$18,MATCH(TKB_Nhap!H19,PhanCong!$A$3:$A$18,0),MATCH($A19,PhanCong!$B$2:$J$2,0))))</f>
        <v/>
      </c>
      <c r="I19" s="26">
        <f>IF(TKB_Nhap!I19="","",TKB_Nhap!I19&amp;CHAR(10)&amp;IF(T(INDEX(PhanCong!$B$3:$J$18,MATCH(TKB_Nhap!I19,PhanCong!$A$3:$A$18,0),MATCH($A19,PhanCong!$B$2:$J$2,0)))="","(chưa PC GV)","GV: "&amp;INDEX(PhanCong!$B$3:$J$18,MATCH(TKB_Nhap!I19,PhanCong!$A$3:$A$18,0),MATCH($A19,PhanCong!$B$2:$J$2,0))))</f>
        <v/>
      </c>
      <c r="J19" s="26">
        <f>IF(TKB_Nhap!J19="","",TKB_Nhap!J19&amp;CHAR(10)&amp;IF(T(INDEX(PhanCong!$B$3:$J$18,MATCH(TKB_Nhap!J19,PhanCong!$A$3:$A$18,0),MATCH($A19,PhanCong!$B$2:$J$2,0)))="","(chưa PC GV)","GV: "&amp;INDEX(PhanCong!$B$3:$J$18,MATCH(TKB_Nhap!J19,PhanCong!$A$3:$A$18,0),MATCH($A19,PhanCong!$B$2:$J$2,0))))</f>
        <v/>
      </c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IF(TKB_Nhap!D20="","",TKB_Nhap!D20&amp;CHAR(10)&amp;IF(T(INDEX(PhanCong!$B$3:$J$18,MATCH(TKB_Nhap!D20,PhanCong!$A$3:$A$18,0),MATCH($A20,PhanCong!$B$2:$J$2,0)))="","(chưa PC GV)","GV: "&amp;INDEX(PhanCong!$B$3:$J$18,MATCH(TKB_Nhap!D20,PhanCong!$A$3:$A$18,0),MATCH($A20,PhanCong!$B$2:$J$2,0))))</f>
        <v/>
      </c>
      <c r="E20" s="26">
        <f>IF(TKB_Nhap!E20="","",TKB_Nhap!E20&amp;CHAR(10)&amp;IF(T(INDEX(PhanCong!$B$3:$J$18,MATCH(TKB_Nhap!E20,PhanCong!$A$3:$A$18,0),MATCH($A20,PhanCong!$B$2:$J$2,0)))="","(chưa PC GV)","GV: "&amp;INDEX(PhanCong!$B$3:$J$18,MATCH(TKB_Nhap!E20,PhanCong!$A$3:$A$18,0),MATCH($A20,PhanCong!$B$2:$J$2,0))))</f>
        <v/>
      </c>
      <c r="F20" s="26">
        <f>IF(TKB_Nhap!F20="","",TKB_Nhap!F20&amp;CHAR(10)&amp;IF(T(INDEX(PhanCong!$B$3:$J$18,MATCH(TKB_Nhap!F20,PhanCong!$A$3:$A$18,0),MATCH($A20,PhanCong!$B$2:$J$2,0)))="","(chưa PC GV)","GV: "&amp;INDEX(PhanCong!$B$3:$J$18,MATCH(TKB_Nhap!F20,PhanCong!$A$3:$A$18,0),MATCH($A20,PhanCong!$B$2:$J$2,0))))</f>
        <v/>
      </c>
      <c r="G20" s="26">
        <f>IF(TKB_Nhap!G20="","",TKB_Nhap!G20&amp;CHAR(10)&amp;IF(T(INDEX(PhanCong!$B$3:$J$18,MATCH(TKB_Nhap!G20,PhanCong!$A$3:$A$18,0),MATCH($A20,PhanCong!$B$2:$J$2,0)))="","(chưa PC GV)","GV: "&amp;INDEX(PhanCong!$B$3:$J$18,MATCH(TKB_Nhap!G20,PhanCong!$A$3:$A$18,0),MATCH($A20,PhanCong!$B$2:$J$2,0))))</f>
        <v/>
      </c>
      <c r="H20" s="26">
        <f>IF(TKB_Nhap!H20="","",TKB_Nhap!H20&amp;CHAR(10)&amp;IF(T(INDEX(PhanCong!$B$3:$J$18,MATCH(TKB_Nhap!H20,PhanCong!$A$3:$A$18,0),MATCH($A20,PhanCong!$B$2:$J$2,0)))="","(chưa PC GV)","GV: "&amp;INDEX(PhanCong!$B$3:$J$18,MATCH(TKB_Nhap!H20,PhanCong!$A$3:$A$18,0),MATCH($A20,PhanCong!$B$2:$J$2,0))))</f>
        <v/>
      </c>
      <c r="I20" s="26">
        <f>IF(TKB_Nhap!I20="","",TKB_Nhap!I20&amp;CHAR(10)&amp;IF(T(INDEX(PhanCong!$B$3:$J$18,MATCH(TKB_Nhap!I20,PhanCong!$A$3:$A$18,0),MATCH($A20,PhanCong!$B$2:$J$2,0)))="","(chưa PC GV)","GV: "&amp;INDEX(PhanCong!$B$3:$J$18,MATCH(TKB_Nhap!I20,PhanCong!$A$3:$A$18,0),MATCH($A20,PhanCong!$B$2:$J$2,0))))</f>
        <v/>
      </c>
      <c r="J20" s="26">
        <f>IF(TKB_Nhap!J20="","",TKB_Nhap!J20&amp;CHAR(10)&amp;IF(T(INDEX(PhanCong!$B$3:$J$18,MATCH(TKB_Nhap!J20,PhanCong!$A$3:$A$18,0),MATCH($A20,PhanCong!$B$2:$J$2,0)))="","(chưa PC GV)","GV: "&amp;INDEX(PhanCong!$B$3:$J$18,MATCH(TKB_Nhap!J20,PhanCong!$A$3:$A$18,0),MATCH($A20,PhanCong!$B$2:$J$2,0))))</f>
        <v/>
      </c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IF(TKB_Nhap!D21="","",TKB_Nhap!D21&amp;CHAR(10)&amp;IF(T(INDEX(PhanCong!$B$3:$J$18,MATCH(TKB_Nhap!D21,PhanCong!$A$3:$A$18,0),MATCH($A21,PhanCong!$B$2:$J$2,0)))="","(chưa PC GV)","GV: "&amp;INDEX(PhanCong!$B$3:$J$18,MATCH(TKB_Nhap!D21,PhanCong!$A$3:$A$18,0),MATCH($A21,PhanCong!$B$2:$J$2,0))))</f>
        <v/>
      </c>
      <c r="E21" s="26">
        <f>IF(TKB_Nhap!E21="","",TKB_Nhap!E21&amp;CHAR(10)&amp;IF(T(INDEX(PhanCong!$B$3:$J$18,MATCH(TKB_Nhap!E21,PhanCong!$A$3:$A$18,0),MATCH($A21,PhanCong!$B$2:$J$2,0)))="","(chưa PC GV)","GV: "&amp;INDEX(PhanCong!$B$3:$J$18,MATCH(TKB_Nhap!E21,PhanCong!$A$3:$A$18,0),MATCH($A21,PhanCong!$B$2:$J$2,0))))</f>
        <v/>
      </c>
      <c r="F21" s="26">
        <f>IF(TKB_Nhap!F21="","",TKB_Nhap!F21&amp;CHAR(10)&amp;IF(T(INDEX(PhanCong!$B$3:$J$18,MATCH(TKB_Nhap!F21,PhanCong!$A$3:$A$18,0),MATCH($A21,PhanCong!$B$2:$J$2,0)))="","(chưa PC GV)","GV: "&amp;INDEX(PhanCong!$B$3:$J$18,MATCH(TKB_Nhap!F21,PhanCong!$A$3:$A$18,0),MATCH($A21,PhanCong!$B$2:$J$2,0))))</f>
        <v/>
      </c>
      <c r="G21" s="26">
        <f>IF(TKB_Nhap!G21="","",TKB_Nhap!G21&amp;CHAR(10)&amp;IF(T(INDEX(PhanCong!$B$3:$J$18,MATCH(TKB_Nhap!G21,PhanCong!$A$3:$A$18,0),MATCH($A21,PhanCong!$B$2:$J$2,0)))="","(chưa PC GV)","GV: "&amp;INDEX(PhanCong!$B$3:$J$18,MATCH(TKB_Nhap!G21,PhanCong!$A$3:$A$18,0),MATCH($A21,PhanCong!$B$2:$J$2,0))))</f>
        <v/>
      </c>
      <c r="H21" s="26">
        <f>IF(TKB_Nhap!H21="","",TKB_Nhap!H21&amp;CHAR(10)&amp;IF(T(INDEX(PhanCong!$B$3:$J$18,MATCH(TKB_Nhap!H21,PhanCong!$A$3:$A$18,0),MATCH($A21,PhanCong!$B$2:$J$2,0)))="","(chưa PC GV)","GV: "&amp;INDEX(PhanCong!$B$3:$J$18,MATCH(TKB_Nhap!H21,PhanCong!$A$3:$A$18,0),MATCH($A21,PhanCong!$B$2:$J$2,0))))</f>
        <v/>
      </c>
      <c r="I21" s="26">
        <f>IF(TKB_Nhap!I21="","",TKB_Nhap!I21&amp;CHAR(10)&amp;IF(T(INDEX(PhanCong!$B$3:$J$18,MATCH(TKB_Nhap!I21,PhanCong!$A$3:$A$18,0),MATCH($A21,PhanCong!$B$2:$J$2,0)))="","(chưa PC GV)","GV: "&amp;INDEX(PhanCong!$B$3:$J$18,MATCH(TKB_Nhap!I21,PhanCong!$A$3:$A$18,0),MATCH($A21,PhanCong!$B$2:$J$2,0))))</f>
        <v/>
      </c>
      <c r="J21" s="26">
        <f>IF(TKB_Nhap!J21="","",TKB_Nhap!J21&amp;CHAR(10)&amp;IF(T(INDEX(PhanCong!$B$3:$J$18,MATCH(TKB_Nhap!J21,PhanCong!$A$3:$A$18,0),MATCH($A21,PhanCong!$B$2:$J$2,0)))="","(chưa PC GV)","GV: "&amp;INDEX(PhanCong!$B$3:$J$18,MATCH(TKB_Nhap!J21,PhanCong!$A$3:$A$18,0),MATCH($A21,PhanCong!$B$2:$J$2,0))))</f>
        <v/>
      </c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IF(TKB_Nhap!D22="","",TKB_Nhap!D22&amp;CHAR(10)&amp;IF(T(INDEX(PhanCong!$B$3:$J$18,MATCH(TKB_Nhap!D22,PhanCong!$A$3:$A$18,0),MATCH($A22,PhanCong!$B$2:$J$2,0)))="","(chưa PC GV)","GV: "&amp;INDEX(PhanCong!$B$3:$J$18,MATCH(TKB_Nhap!D22,PhanCong!$A$3:$A$18,0),MATCH($A22,PhanCong!$B$2:$J$2,0))))</f>
        <v/>
      </c>
      <c r="E22" s="26">
        <f>IF(TKB_Nhap!E22="","",TKB_Nhap!E22&amp;CHAR(10)&amp;IF(T(INDEX(PhanCong!$B$3:$J$18,MATCH(TKB_Nhap!E22,PhanCong!$A$3:$A$18,0),MATCH($A22,PhanCong!$B$2:$J$2,0)))="","(chưa PC GV)","GV: "&amp;INDEX(PhanCong!$B$3:$J$18,MATCH(TKB_Nhap!E22,PhanCong!$A$3:$A$18,0),MATCH($A22,PhanCong!$B$2:$J$2,0))))</f>
        <v/>
      </c>
      <c r="F22" s="26">
        <f>IF(TKB_Nhap!F22="","",TKB_Nhap!F22&amp;CHAR(10)&amp;IF(T(INDEX(PhanCong!$B$3:$J$18,MATCH(TKB_Nhap!F22,PhanCong!$A$3:$A$18,0),MATCH($A22,PhanCong!$B$2:$J$2,0)))="","(chưa PC GV)","GV: "&amp;INDEX(PhanCong!$B$3:$J$18,MATCH(TKB_Nhap!F22,PhanCong!$A$3:$A$18,0),MATCH($A22,PhanCong!$B$2:$J$2,0))))</f>
        <v/>
      </c>
      <c r="G22" s="26">
        <f>IF(TKB_Nhap!G22="","",TKB_Nhap!G22&amp;CHAR(10)&amp;IF(T(INDEX(PhanCong!$B$3:$J$18,MATCH(TKB_Nhap!G22,PhanCong!$A$3:$A$18,0),MATCH($A22,PhanCong!$B$2:$J$2,0)))="","(chưa PC GV)","GV: "&amp;INDEX(PhanCong!$B$3:$J$18,MATCH(TKB_Nhap!G22,PhanCong!$A$3:$A$18,0),MATCH($A22,PhanCong!$B$2:$J$2,0))))</f>
        <v/>
      </c>
      <c r="H22" s="26">
        <f>IF(TKB_Nhap!H22="","",TKB_Nhap!H22&amp;CHAR(10)&amp;IF(T(INDEX(PhanCong!$B$3:$J$18,MATCH(TKB_Nhap!H22,PhanCong!$A$3:$A$18,0),MATCH($A22,PhanCong!$B$2:$J$2,0)))="","(chưa PC GV)","GV: "&amp;INDEX(PhanCong!$B$3:$J$18,MATCH(TKB_Nhap!H22,PhanCong!$A$3:$A$18,0),MATCH($A22,PhanCong!$B$2:$J$2,0))))</f>
        <v/>
      </c>
      <c r="I22" s="26">
        <f>IF(TKB_Nhap!I22="","",TKB_Nhap!I22&amp;CHAR(10)&amp;IF(T(INDEX(PhanCong!$B$3:$J$18,MATCH(TKB_Nhap!I22,PhanCong!$A$3:$A$18,0),MATCH($A22,PhanCong!$B$2:$J$2,0)))="","(chưa PC GV)","GV: "&amp;INDEX(PhanCong!$B$3:$J$18,MATCH(TKB_Nhap!I22,PhanCong!$A$3:$A$18,0),MATCH($A22,PhanCong!$B$2:$J$2,0))))</f>
        <v/>
      </c>
      <c r="J22" s="26">
        <f>IF(TKB_Nhap!J22="","",TKB_Nhap!J22&amp;CHAR(10)&amp;IF(T(INDEX(PhanCong!$B$3:$J$18,MATCH(TKB_Nhap!J22,PhanCong!$A$3:$A$18,0),MATCH($A22,PhanCong!$B$2:$J$2,0)))="","(chưa PC GV)","GV: "&amp;INDEX(PhanCong!$B$3:$J$18,MATCH(TKB_Nhap!J22,PhanCong!$A$3:$A$18,0),MATCH($A22,PhanCong!$B$2:$J$2,0))))</f>
        <v/>
      </c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IF(TKB_Nhap!D23="","",TKB_Nhap!D23&amp;CHAR(10)&amp;IF(T(INDEX(PhanCong!$B$3:$J$18,MATCH(TKB_Nhap!D23,PhanCong!$A$3:$A$18,0),MATCH($A23,PhanCong!$B$2:$J$2,0)))="","(chưa PC GV)","GV: "&amp;INDEX(PhanCong!$B$3:$J$18,MATCH(TKB_Nhap!D23,PhanCong!$A$3:$A$18,0),MATCH($A23,PhanCong!$B$2:$J$2,0))))</f>
        <v/>
      </c>
      <c r="E23" s="26">
        <f>IF(TKB_Nhap!E23="","",TKB_Nhap!E23&amp;CHAR(10)&amp;IF(T(INDEX(PhanCong!$B$3:$J$18,MATCH(TKB_Nhap!E23,PhanCong!$A$3:$A$18,0),MATCH($A23,PhanCong!$B$2:$J$2,0)))="","(chưa PC GV)","GV: "&amp;INDEX(PhanCong!$B$3:$J$18,MATCH(TKB_Nhap!E23,PhanCong!$A$3:$A$18,0),MATCH($A23,PhanCong!$B$2:$J$2,0))))</f>
        <v/>
      </c>
      <c r="F23" s="26">
        <f>IF(TKB_Nhap!F23="","",TKB_Nhap!F23&amp;CHAR(10)&amp;IF(T(INDEX(PhanCong!$B$3:$J$18,MATCH(TKB_Nhap!F23,PhanCong!$A$3:$A$18,0),MATCH($A23,PhanCong!$B$2:$J$2,0)))="","(chưa PC GV)","GV: "&amp;INDEX(PhanCong!$B$3:$J$18,MATCH(TKB_Nhap!F23,PhanCong!$A$3:$A$18,0),MATCH($A23,PhanCong!$B$2:$J$2,0))))</f>
        <v/>
      </c>
      <c r="G23" s="26">
        <f>IF(TKB_Nhap!G23="","",TKB_Nhap!G23&amp;CHAR(10)&amp;IF(T(INDEX(PhanCong!$B$3:$J$18,MATCH(TKB_Nhap!G23,PhanCong!$A$3:$A$18,0),MATCH($A23,PhanCong!$B$2:$J$2,0)))="","(chưa PC GV)","GV: "&amp;INDEX(PhanCong!$B$3:$J$18,MATCH(TKB_Nhap!G23,PhanCong!$A$3:$A$18,0),MATCH($A23,PhanCong!$B$2:$J$2,0))))</f>
        <v/>
      </c>
      <c r="H23" s="26">
        <f>IF(TKB_Nhap!H23="","",TKB_Nhap!H23&amp;CHAR(10)&amp;IF(T(INDEX(PhanCong!$B$3:$J$18,MATCH(TKB_Nhap!H23,PhanCong!$A$3:$A$18,0),MATCH($A23,PhanCong!$B$2:$J$2,0)))="","(chưa PC GV)","GV: "&amp;INDEX(PhanCong!$B$3:$J$18,MATCH(TKB_Nhap!H23,PhanCong!$A$3:$A$18,0),MATCH($A23,PhanCong!$B$2:$J$2,0))))</f>
        <v/>
      </c>
      <c r="I23" s="26">
        <f>IF(TKB_Nhap!I23="","",TKB_Nhap!I23&amp;CHAR(10)&amp;IF(T(INDEX(PhanCong!$B$3:$J$18,MATCH(TKB_Nhap!I23,PhanCong!$A$3:$A$18,0),MATCH($A23,PhanCong!$B$2:$J$2,0)))="","(chưa PC GV)","GV: "&amp;INDEX(PhanCong!$B$3:$J$18,MATCH(TKB_Nhap!I23,PhanCong!$A$3:$A$18,0),MATCH($A23,PhanCong!$B$2:$J$2,0))))</f>
        <v/>
      </c>
      <c r="J23" s="26">
        <f>IF(TKB_Nhap!J23="","",TKB_Nhap!J23&amp;CHAR(10)&amp;IF(T(INDEX(PhanCong!$B$3:$J$18,MATCH(TKB_Nhap!J23,PhanCong!$A$3:$A$18,0),MATCH($A23,PhanCong!$B$2:$J$2,0)))="","(chưa PC GV)","GV: "&amp;INDEX(PhanCong!$B$3:$J$18,MATCH(TKB_Nhap!J23,PhanCong!$A$3:$A$18,0),MATCH($A23,PhanCong!$B$2:$J$2,0))))</f>
        <v/>
      </c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IF(TKB_Nhap!D24="","",TKB_Nhap!D24&amp;CHAR(10)&amp;IF(T(INDEX(PhanCong!$B$3:$J$18,MATCH(TKB_Nhap!D24,PhanCong!$A$3:$A$18,0),MATCH($A24,PhanCong!$B$2:$J$2,0)))="","(chưa PC GV)","GV: "&amp;INDEX(PhanCong!$B$3:$J$18,MATCH(TKB_Nhap!D24,PhanCong!$A$3:$A$18,0),MATCH($A24,PhanCong!$B$2:$J$2,0))))</f>
        <v/>
      </c>
      <c r="E24" s="26">
        <f>IF(TKB_Nhap!E24="","",TKB_Nhap!E24&amp;CHAR(10)&amp;IF(T(INDEX(PhanCong!$B$3:$J$18,MATCH(TKB_Nhap!E24,PhanCong!$A$3:$A$18,0),MATCH($A24,PhanCong!$B$2:$J$2,0)))="","(chưa PC GV)","GV: "&amp;INDEX(PhanCong!$B$3:$J$18,MATCH(TKB_Nhap!E24,PhanCong!$A$3:$A$18,0),MATCH($A24,PhanCong!$B$2:$J$2,0))))</f>
        <v/>
      </c>
      <c r="F24" s="26">
        <f>IF(TKB_Nhap!F24="","",TKB_Nhap!F24&amp;CHAR(10)&amp;IF(T(INDEX(PhanCong!$B$3:$J$18,MATCH(TKB_Nhap!F24,PhanCong!$A$3:$A$18,0),MATCH($A24,PhanCong!$B$2:$J$2,0)))="","(chưa PC GV)","GV: "&amp;INDEX(PhanCong!$B$3:$J$18,MATCH(TKB_Nhap!F24,PhanCong!$A$3:$A$18,0),MATCH($A24,PhanCong!$B$2:$J$2,0))))</f>
        <v/>
      </c>
      <c r="G24" s="26">
        <f>IF(TKB_Nhap!G24="","",TKB_Nhap!G24&amp;CHAR(10)&amp;IF(T(INDEX(PhanCong!$B$3:$J$18,MATCH(TKB_Nhap!G24,PhanCong!$A$3:$A$18,0),MATCH($A24,PhanCong!$B$2:$J$2,0)))="","(chưa PC GV)","GV: "&amp;INDEX(PhanCong!$B$3:$J$18,MATCH(TKB_Nhap!G24,PhanCong!$A$3:$A$18,0),MATCH($A24,PhanCong!$B$2:$J$2,0))))</f>
        <v/>
      </c>
      <c r="H24" s="26">
        <f>IF(TKB_Nhap!H24="","",TKB_Nhap!H24&amp;CHAR(10)&amp;IF(T(INDEX(PhanCong!$B$3:$J$18,MATCH(TKB_Nhap!H24,PhanCong!$A$3:$A$18,0),MATCH($A24,PhanCong!$B$2:$J$2,0)))="","(chưa PC GV)","GV: "&amp;INDEX(PhanCong!$B$3:$J$18,MATCH(TKB_Nhap!H24,PhanCong!$A$3:$A$18,0),MATCH($A24,PhanCong!$B$2:$J$2,0))))</f>
        <v/>
      </c>
      <c r="I24" s="26">
        <f>IF(TKB_Nhap!I24="","",TKB_Nhap!I24&amp;CHAR(10)&amp;IF(T(INDEX(PhanCong!$B$3:$J$18,MATCH(TKB_Nhap!I24,PhanCong!$A$3:$A$18,0),MATCH($A24,PhanCong!$B$2:$J$2,0)))="","(chưa PC GV)","GV: "&amp;INDEX(PhanCong!$B$3:$J$18,MATCH(TKB_Nhap!I24,PhanCong!$A$3:$A$18,0),MATCH($A24,PhanCong!$B$2:$J$2,0))))</f>
        <v/>
      </c>
      <c r="J24" s="26">
        <f>IF(TKB_Nhap!J24="","",TKB_Nhap!J24&amp;CHAR(10)&amp;IF(T(INDEX(PhanCong!$B$3:$J$18,MATCH(TKB_Nhap!J24,PhanCong!$A$3:$A$18,0),MATCH($A24,PhanCong!$B$2:$J$2,0)))="","(chưa PC GV)","GV: "&amp;INDEX(PhanCong!$B$3:$J$18,MATCH(TKB_Nhap!J24,PhanCong!$A$3:$A$18,0),MATCH($A24,PhanCong!$B$2:$J$2,0))))</f>
        <v/>
      </c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IF(TKB_Nhap!D25="","",TKB_Nhap!D25&amp;CHAR(10)&amp;IF(T(INDEX(PhanCong!$B$3:$J$18,MATCH(TKB_Nhap!D25,PhanCong!$A$3:$A$18,0),MATCH($A25,PhanCong!$B$2:$J$2,0)))="","(chưa PC GV)","GV: "&amp;INDEX(PhanCong!$B$3:$J$18,MATCH(TKB_Nhap!D25,PhanCong!$A$3:$A$18,0),MATCH($A25,PhanCong!$B$2:$J$2,0))))</f>
        <v/>
      </c>
      <c r="E25" s="26">
        <f>IF(TKB_Nhap!E25="","",TKB_Nhap!E25&amp;CHAR(10)&amp;IF(T(INDEX(PhanCong!$B$3:$J$18,MATCH(TKB_Nhap!E25,PhanCong!$A$3:$A$18,0),MATCH($A25,PhanCong!$B$2:$J$2,0)))="","(chưa PC GV)","GV: "&amp;INDEX(PhanCong!$B$3:$J$18,MATCH(TKB_Nhap!E25,PhanCong!$A$3:$A$18,0),MATCH($A25,PhanCong!$B$2:$J$2,0))))</f>
        <v/>
      </c>
      <c r="F25" s="26">
        <f>IF(TKB_Nhap!F25="","",TKB_Nhap!F25&amp;CHAR(10)&amp;IF(T(INDEX(PhanCong!$B$3:$J$18,MATCH(TKB_Nhap!F25,PhanCong!$A$3:$A$18,0),MATCH($A25,PhanCong!$B$2:$J$2,0)))="","(chưa PC GV)","GV: "&amp;INDEX(PhanCong!$B$3:$J$18,MATCH(TKB_Nhap!F25,PhanCong!$A$3:$A$18,0),MATCH($A25,PhanCong!$B$2:$J$2,0))))</f>
        <v/>
      </c>
      <c r="G25" s="26">
        <f>IF(TKB_Nhap!G25="","",TKB_Nhap!G25&amp;CHAR(10)&amp;IF(T(INDEX(PhanCong!$B$3:$J$18,MATCH(TKB_Nhap!G25,PhanCong!$A$3:$A$18,0),MATCH($A25,PhanCong!$B$2:$J$2,0)))="","(chưa PC GV)","GV: "&amp;INDEX(PhanCong!$B$3:$J$18,MATCH(TKB_Nhap!G25,PhanCong!$A$3:$A$18,0),MATCH($A25,PhanCong!$B$2:$J$2,0))))</f>
        <v/>
      </c>
      <c r="H25" s="26">
        <f>IF(TKB_Nhap!H25="","",TKB_Nhap!H25&amp;CHAR(10)&amp;IF(T(INDEX(PhanCong!$B$3:$J$18,MATCH(TKB_Nhap!H25,PhanCong!$A$3:$A$18,0),MATCH($A25,PhanCong!$B$2:$J$2,0)))="","(chưa PC GV)","GV: "&amp;INDEX(PhanCong!$B$3:$J$18,MATCH(TKB_Nhap!H25,PhanCong!$A$3:$A$18,0),MATCH($A25,PhanCong!$B$2:$J$2,0))))</f>
        <v/>
      </c>
      <c r="I25" s="26">
        <f>IF(TKB_Nhap!I25="","",TKB_Nhap!I25&amp;CHAR(10)&amp;IF(T(INDEX(PhanCong!$B$3:$J$18,MATCH(TKB_Nhap!I25,PhanCong!$A$3:$A$18,0),MATCH($A25,PhanCong!$B$2:$J$2,0)))="","(chưa PC GV)","GV: "&amp;INDEX(PhanCong!$B$3:$J$18,MATCH(TKB_Nhap!I25,PhanCong!$A$3:$A$18,0),MATCH($A25,PhanCong!$B$2:$J$2,0))))</f>
        <v/>
      </c>
      <c r="J25" s="26">
        <f>IF(TKB_Nhap!J25="","",TKB_Nhap!J25&amp;CHAR(10)&amp;IF(T(INDEX(PhanCong!$B$3:$J$18,MATCH(TKB_Nhap!J25,PhanCong!$A$3:$A$18,0),MATCH($A25,PhanCong!$B$2:$J$2,0)))="","(chưa PC GV)","GV: "&amp;INDEX(PhanCong!$B$3:$J$18,MATCH(TKB_Nhap!J25,PhanCong!$A$3:$A$18,0),MATCH($A25,PhanCong!$B$2:$J$2,0))))</f>
        <v/>
      </c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IF(TKB_Nhap!D26="","",TKB_Nhap!D26&amp;CHAR(10)&amp;IF(T(INDEX(PhanCong!$B$3:$J$18,MATCH(TKB_Nhap!D26,PhanCong!$A$3:$A$18,0),MATCH($A26,PhanCong!$B$2:$J$2,0)))="","(chưa PC GV)","GV: "&amp;INDEX(PhanCong!$B$3:$J$18,MATCH(TKB_Nhap!D26,PhanCong!$A$3:$A$18,0),MATCH($A26,PhanCong!$B$2:$J$2,0))))</f>
        <v/>
      </c>
      <c r="E26" s="38">
        <f>IF(TKB_Nhap!E26="","",TKB_Nhap!E26&amp;CHAR(10)&amp;IF(T(INDEX(PhanCong!$B$3:$J$18,MATCH(TKB_Nhap!E26,PhanCong!$A$3:$A$18,0),MATCH($A26,PhanCong!$B$2:$J$2,0)))="","(chưa PC GV)","GV: "&amp;INDEX(PhanCong!$B$3:$J$18,MATCH(TKB_Nhap!E26,PhanCong!$A$3:$A$18,0),MATCH($A26,PhanCong!$B$2:$J$2,0))))</f>
        <v/>
      </c>
      <c r="F26" s="38">
        <f>IF(TKB_Nhap!F26="","",TKB_Nhap!F26&amp;CHAR(10)&amp;IF(T(INDEX(PhanCong!$B$3:$J$18,MATCH(TKB_Nhap!F26,PhanCong!$A$3:$A$18,0),MATCH($A26,PhanCong!$B$2:$J$2,0)))="","(chưa PC GV)","GV: "&amp;INDEX(PhanCong!$B$3:$J$18,MATCH(TKB_Nhap!F26,PhanCong!$A$3:$A$18,0),MATCH($A26,PhanCong!$B$2:$J$2,0))))</f>
        <v/>
      </c>
      <c r="G26" s="38">
        <f>IF(TKB_Nhap!G26="","",TKB_Nhap!G26&amp;CHAR(10)&amp;IF(T(INDEX(PhanCong!$B$3:$J$18,MATCH(TKB_Nhap!G26,PhanCong!$A$3:$A$18,0),MATCH($A26,PhanCong!$B$2:$J$2,0)))="","(chưa PC GV)","GV: "&amp;INDEX(PhanCong!$B$3:$J$18,MATCH(TKB_Nhap!G26,PhanCong!$A$3:$A$18,0),MATCH($A26,PhanCong!$B$2:$J$2,0))))</f>
        <v/>
      </c>
      <c r="H26" s="38">
        <f>IF(TKB_Nhap!H26="","",TKB_Nhap!H26&amp;CHAR(10)&amp;IF(T(INDEX(PhanCong!$B$3:$J$18,MATCH(TKB_Nhap!H26,PhanCong!$A$3:$A$18,0),MATCH($A26,PhanCong!$B$2:$J$2,0)))="","(chưa PC GV)","GV: "&amp;INDEX(PhanCong!$B$3:$J$18,MATCH(TKB_Nhap!H26,PhanCong!$A$3:$A$18,0),MATCH($A26,PhanCong!$B$2:$J$2,0))))</f>
        <v/>
      </c>
      <c r="I26" s="38">
        <f>IF(TKB_Nhap!I26="","",TKB_Nhap!I26&amp;CHAR(10)&amp;IF(T(INDEX(PhanCong!$B$3:$J$18,MATCH(TKB_Nhap!I26,PhanCong!$A$3:$A$18,0),MATCH($A26,PhanCong!$B$2:$J$2,0)))="","(chưa PC GV)","GV: "&amp;INDEX(PhanCong!$B$3:$J$18,MATCH(TKB_Nhap!I26,PhanCong!$A$3:$A$18,0),MATCH($A26,PhanCong!$B$2:$J$2,0))))</f>
        <v/>
      </c>
      <c r="J26" s="38">
        <f>IF(TKB_Nhap!J26="","",TKB_Nhap!J26&amp;CHAR(10)&amp;IF(T(INDEX(PhanCong!$B$3:$J$18,MATCH(TKB_Nhap!J26,PhanCong!$A$3:$A$18,0),MATCH($A26,PhanCong!$B$2:$J$2,0)))="","(chưa PC GV)","GV: "&amp;INDEX(PhanCong!$B$3:$J$18,MATCH(TKB_Nhap!J26,PhanCong!$A$3:$A$18,0),MATCH($A26,PhanCong!$B$2:$J$2,0))))</f>
        <v/>
      </c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IF(TKB_Nhap!D27="","",TKB_Nhap!D27&amp;CHAR(10)&amp;IF(T(INDEX(PhanCong!$B$3:$J$18,MATCH(TKB_Nhap!D27,PhanCong!$A$3:$A$18,0),MATCH($A27,PhanCong!$B$2:$J$2,0)))="","(chưa PC GV)","GV: "&amp;INDEX(PhanCong!$B$3:$J$18,MATCH(TKB_Nhap!D27,PhanCong!$A$3:$A$18,0),MATCH($A27,PhanCong!$B$2:$J$2,0))))</f>
        <v/>
      </c>
      <c r="E27" s="38">
        <f>IF(TKB_Nhap!E27="","",TKB_Nhap!E27&amp;CHAR(10)&amp;IF(T(INDEX(PhanCong!$B$3:$J$18,MATCH(TKB_Nhap!E27,PhanCong!$A$3:$A$18,0),MATCH($A27,PhanCong!$B$2:$J$2,0)))="","(chưa PC GV)","GV: "&amp;INDEX(PhanCong!$B$3:$J$18,MATCH(TKB_Nhap!E27,PhanCong!$A$3:$A$18,0),MATCH($A27,PhanCong!$B$2:$J$2,0))))</f>
        <v/>
      </c>
      <c r="F27" s="38">
        <f>IF(TKB_Nhap!F27="","",TKB_Nhap!F27&amp;CHAR(10)&amp;IF(T(INDEX(PhanCong!$B$3:$J$18,MATCH(TKB_Nhap!F27,PhanCong!$A$3:$A$18,0),MATCH($A27,PhanCong!$B$2:$J$2,0)))="","(chưa PC GV)","GV: "&amp;INDEX(PhanCong!$B$3:$J$18,MATCH(TKB_Nhap!F27,PhanCong!$A$3:$A$18,0),MATCH($A27,PhanCong!$B$2:$J$2,0))))</f>
        <v/>
      </c>
      <c r="G27" s="38">
        <f>IF(TKB_Nhap!G27="","",TKB_Nhap!G27&amp;CHAR(10)&amp;IF(T(INDEX(PhanCong!$B$3:$J$18,MATCH(TKB_Nhap!G27,PhanCong!$A$3:$A$18,0),MATCH($A27,PhanCong!$B$2:$J$2,0)))="","(chưa PC GV)","GV: "&amp;INDEX(PhanCong!$B$3:$J$18,MATCH(TKB_Nhap!G27,PhanCong!$A$3:$A$18,0),MATCH($A27,PhanCong!$B$2:$J$2,0))))</f>
        <v/>
      </c>
      <c r="H27" s="38">
        <f>IF(TKB_Nhap!H27="","",TKB_Nhap!H27&amp;CHAR(10)&amp;IF(T(INDEX(PhanCong!$B$3:$J$18,MATCH(TKB_Nhap!H27,PhanCong!$A$3:$A$18,0),MATCH($A27,PhanCong!$B$2:$J$2,0)))="","(chưa PC GV)","GV: "&amp;INDEX(PhanCong!$B$3:$J$18,MATCH(TKB_Nhap!H27,PhanCong!$A$3:$A$18,0),MATCH($A27,PhanCong!$B$2:$J$2,0))))</f>
        <v/>
      </c>
      <c r="I27" s="38">
        <f>IF(TKB_Nhap!I27="","",TKB_Nhap!I27&amp;CHAR(10)&amp;IF(T(INDEX(PhanCong!$B$3:$J$18,MATCH(TKB_Nhap!I27,PhanCong!$A$3:$A$18,0),MATCH($A27,PhanCong!$B$2:$J$2,0)))="","(chưa PC GV)","GV: "&amp;INDEX(PhanCong!$B$3:$J$18,MATCH(TKB_Nhap!I27,PhanCong!$A$3:$A$18,0),MATCH($A27,PhanCong!$B$2:$J$2,0))))</f>
        <v/>
      </c>
      <c r="J27" s="38">
        <f>IF(TKB_Nhap!J27="","",TKB_Nhap!J27&amp;CHAR(10)&amp;IF(T(INDEX(PhanCong!$B$3:$J$18,MATCH(TKB_Nhap!J27,PhanCong!$A$3:$A$18,0),MATCH($A27,PhanCong!$B$2:$J$2,0)))="","(chưa PC GV)","GV: "&amp;INDEX(PhanCong!$B$3:$J$18,MATCH(TKB_Nhap!J27,PhanCong!$A$3:$A$18,0),MATCH($A27,PhanCong!$B$2:$J$2,0))))</f>
        <v/>
      </c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IF(TKB_Nhap!D28="","",TKB_Nhap!D28&amp;CHAR(10)&amp;IF(T(INDEX(PhanCong!$B$3:$J$18,MATCH(TKB_Nhap!D28,PhanCong!$A$3:$A$18,0),MATCH($A28,PhanCong!$B$2:$J$2,0)))="","(chưa PC GV)","GV: "&amp;INDEX(PhanCong!$B$3:$J$18,MATCH(TKB_Nhap!D28,PhanCong!$A$3:$A$18,0),MATCH($A28,PhanCong!$B$2:$J$2,0))))</f>
        <v/>
      </c>
      <c r="E28" s="38">
        <f>IF(TKB_Nhap!E28="","",TKB_Nhap!E28&amp;CHAR(10)&amp;IF(T(INDEX(PhanCong!$B$3:$J$18,MATCH(TKB_Nhap!E28,PhanCong!$A$3:$A$18,0),MATCH($A28,PhanCong!$B$2:$J$2,0)))="","(chưa PC GV)","GV: "&amp;INDEX(PhanCong!$B$3:$J$18,MATCH(TKB_Nhap!E28,PhanCong!$A$3:$A$18,0),MATCH($A28,PhanCong!$B$2:$J$2,0))))</f>
        <v/>
      </c>
      <c r="F28" s="38">
        <f>IF(TKB_Nhap!F28="","",TKB_Nhap!F28&amp;CHAR(10)&amp;IF(T(INDEX(PhanCong!$B$3:$J$18,MATCH(TKB_Nhap!F28,PhanCong!$A$3:$A$18,0),MATCH($A28,PhanCong!$B$2:$J$2,0)))="","(chưa PC GV)","GV: "&amp;INDEX(PhanCong!$B$3:$J$18,MATCH(TKB_Nhap!F28,PhanCong!$A$3:$A$18,0),MATCH($A28,PhanCong!$B$2:$J$2,0))))</f>
        <v/>
      </c>
      <c r="G28" s="38">
        <f>IF(TKB_Nhap!G28="","",TKB_Nhap!G28&amp;CHAR(10)&amp;IF(T(INDEX(PhanCong!$B$3:$J$18,MATCH(TKB_Nhap!G28,PhanCong!$A$3:$A$18,0),MATCH($A28,PhanCong!$B$2:$J$2,0)))="","(chưa PC GV)","GV: "&amp;INDEX(PhanCong!$B$3:$J$18,MATCH(TKB_Nhap!G28,PhanCong!$A$3:$A$18,0),MATCH($A28,PhanCong!$B$2:$J$2,0))))</f>
        <v/>
      </c>
      <c r="H28" s="38">
        <f>IF(TKB_Nhap!H28="","",TKB_Nhap!H28&amp;CHAR(10)&amp;IF(T(INDEX(PhanCong!$B$3:$J$18,MATCH(TKB_Nhap!H28,PhanCong!$A$3:$A$18,0),MATCH($A28,PhanCong!$B$2:$J$2,0)))="","(chưa PC GV)","GV: "&amp;INDEX(PhanCong!$B$3:$J$18,MATCH(TKB_Nhap!H28,PhanCong!$A$3:$A$18,0),MATCH($A28,PhanCong!$B$2:$J$2,0))))</f>
        <v/>
      </c>
      <c r="I28" s="38">
        <f>IF(TKB_Nhap!I28="","",TKB_Nhap!I28&amp;CHAR(10)&amp;IF(T(INDEX(PhanCong!$B$3:$J$18,MATCH(TKB_Nhap!I28,PhanCong!$A$3:$A$18,0),MATCH($A28,PhanCong!$B$2:$J$2,0)))="","(chưa PC GV)","GV: "&amp;INDEX(PhanCong!$B$3:$J$18,MATCH(TKB_Nhap!I28,PhanCong!$A$3:$A$18,0),MATCH($A28,PhanCong!$B$2:$J$2,0))))</f>
        <v/>
      </c>
      <c r="J28" s="38">
        <f>IF(TKB_Nhap!J28="","",TKB_Nhap!J28&amp;CHAR(10)&amp;IF(T(INDEX(PhanCong!$B$3:$J$18,MATCH(TKB_Nhap!J28,PhanCong!$A$3:$A$18,0),MATCH($A28,PhanCong!$B$2:$J$2,0)))="","(chưa PC GV)","GV: "&amp;INDEX(PhanCong!$B$3:$J$18,MATCH(TKB_Nhap!J28,PhanCong!$A$3:$A$18,0),MATCH($A28,PhanCong!$B$2:$J$2,0))))</f>
        <v/>
      </c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IF(TKB_Nhap!D29="","",TKB_Nhap!D29&amp;CHAR(10)&amp;IF(T(INDEX(PhanCong!$B$3:$J$18,MATCH(TKB_Nhap!D29,PhanCong!$A$3:$A$18,0),MATCH($A29,PhanCong!$B$2:$J$2,0)))="","(chưa PC GV)","GV: "&amp;INDEX(PhanCong!$B$3:$J$18,MATCH(TKB_Nhap!D29,PhanCong!$A$3:$A$18,0),MATCH($A29,PhanCong!$B$2:$J$2,0))))</f>
        <v/>
      </c>
      <c r="E29" s="38">
        <f>IF(TKB_Nhap!E29="","",TKB_Nhap!E29&amp;CHAR(10)&amp;IF(T(INDEX(PhanCong!$B$3:$J$18,MATCH(TKB_Nhap!E29,PhanCong!$A$3:$A$18,0),MATCH($A29,PhanCong!$B$2:$J$2,0)))="","(chưa PC GV)","GV: "&amp;INDEX(PhanCong!$B$3:$J$18,MATCH(TKB_Nhap!E29,PhanCong!$A$3:$A$18,0),MATCH($A29,PhanCong!$B$2:$J$2,0))))</f>
        <v/>
      </c>
      <c r="F29" s="38">
        <f>IF(TKB_Nhap!F29="","",TKB_Nhap!F29&amp;CHAR(10)&amp;IF(T(INDEX(PhanCong!$B$3:$J$18,MATCH(TKB_Nhap!F29,PhanCong!$A$3:$A$18,0),MATCH($A29,PhanCong!$B$2:$J$2,0)))="","(chưa PC GV)","GV: "&amp;INDEX(PhanCong!$B$3:$J$18,MATCH(TKB_Nhap!F29,PhanCong!$A$3:$A$18,0),MATCH($A29,PhanCong!$B$2:$J$2,0))))</f>
        <v/>
      </c>
      <c r="G29" s="38">
        <f>IF(TKB_Nhap!G29="","",TKB_Nhap!G29&amp;CHAR(10)&amp;IF(T(INDEX(PhanCong!$B$3:$J$18,MATCH(TKB_Nhap!G29,PhanCong!$A$3:$A$18,0),MATCH($A29,PhanCong!$B$2:$J$2,0)))="","(chưa PC GV)","GV: "&amp;INDEX(PhanCong!$B$3:$J$18,MATCH(TKB_Nhap!G29,PhanCong!$A$3:$A$18,0),MATCH($A29,PhanCong!$B$2:$J$2,0))))</f>
        <v/>
      </c>
      <c r="H29" s="38">
        <f>IF(TKB_Nhap!H29="","",TKB_Nhap!H29&amp;CHAR(10)&amp;IF(T(INDEX(PhanCong!$B$3:$J$18,MATCH(TKB_Nhap!H29,PhanCong!$A$3:$A$18,0),MATCH($A29,PhanCong!$B$2:$J$2,0)))="","(chưa PC GV)","GV: "&amp;INDEX(PhanCong!$B$3:$J$18,MATCH(TKB_Nhap!H29,PhanCong!$A$3:$A$18,0),MATCH($A29,PhanCong!$B$2:$J$2,0))))</f>
        <v/>
      </c>
      <c r="I29" s="38">
        <f>IF(TKB_Nhap!I29="","",TKB_Nhap!I29&amp;CHAR(10)&amp;IF(T(INDEX(PhanCong!$B$3:$J$18,MATCH(TKB_Nhap!I29,PhanCong!$A$3:$A$18,0),MATCH($A29,PhanCong!$B$2:$J$2,0)))="","(chưa PC GV)","GV: "&amp;INDEX(PhanCong!$B$3:$J$18,MATCH(TKB_Nhap!I29,PhanCong!$A$3:$A$18,0),MATCH($A29,PhanCong!$B$2:$J$2,0))))</f>
        <v/>
      </c>
      <c r="J29" s="38">
        <f>IF(TKB_Nhap!J29="","",TKB_Nhap!J29&amp;CHAR(10)&amp;IF(T(INDEX(PhanCong!$B$3:$J$18,MATCH(TKB_Nhap!J29,PhanCong!$A$3:$A$18,0),MATCH($A29,PhanCong!$B$2:$J$2,0)))="","(chưa PC GV)","GV: "&amp;INDEX(PhanCong!$B$3:$J$18,MATCH(TKB_Nhap!J29,PhanCong!$A$3:$A$18,0),MATCH($A29,PhanCong!$B$2:$J$2,0))))</f>
        <v/>
      </c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IF(TKB_Nhap!D30="","",TKB_Nhap!D30&amp;CHAR(10)&amp;IF(T(INDEX(PhanCong!$B$3:$J$18,MATCH(TKB_Nhap!D30,PhanCong!$A$3:$A$18,0),MATCH($A30,PhanCong!$B$2:$J$2,0)))="","(chưa PC GV)","GV: "&amp;INDEX(PhanCong!$B$3:$J$18,MATCH(TKB_Nhap!D30,PhanCong!$A$3:$A$18,0),MATCH($A30,PhanCong!$B$2:$J$2,0))))</f>
        <v/>
      </c>
      <c r="E30" s="38">
        <f>IF(TKB_Nhap!E30="","",TKB_Nhap!E30&amp;CHAR(10)&amp;IF(T(INDEX(PhanCong!$B$3:$J$18,MATCH(TKB_Nhap!E30,PhanCong!$A$3:$A$18,0),MATCH($A30,PhanCong!$B$2:$J$2,0)))="","(chưa PC GV)","GV: "&amp;INDEX(PhanCong!$B$3:$J$18,MATCH(TKB_Nhap!E30,PhanCong!$A$3:$A$18,0),MATCH($A30,PhanCong!$B$2:$J$2,0))))</f>
        <v/>
      </c>
      <c r="F30" s="38">
        <f>IF(TKB_Nhap!F30="","",TKB_Nhap!F30&amp;CHAR(10)&amp;IF(T(INDEX(PhanCong!$B$3:$J$18,MATCH(TKB_Nhap!F30,PhanCong!$A$3:$A$18,0),MATCH($A30,PhanCong!$B$2:$J$2,0)))="","(chưa PC GV)","GV: "&amp;INDEX(PhanCong!$B$3:$J$18,MATCH(TKB_Nhap!F30,PhanCong!$A$3:$A$18,0),MATCH($A30,PhanCong!$B$2:$J$2,0))))</f>
        <v/>
      </c>
      <c r="G30" s="38">
        <f>IF(TKB_Nhap!G30="","",TKB_Nhap!G30&amp;CHAR(10)&amp;IF(T(INDEX(PhanCong!$B$3:$J$18,MATCH(TKB_Nhap!G30,PhanCong!$A$3:$A$18,0),MATCH($A30,PhanCong!$B$2:$J$2,0)))="","(chưa PC GV)","GV: "&amp;INDEX(PhanCong!$B$3:$J$18,MATCH(TKB_Nhap!G30,PhanCong!$A$3:$A$18,0),MATCH($A30,PhanCong!$B$2:$J$2,0))))</f>
        <v/>
      </c>
      <c r="H30" s="38">
        <f>IF(TKB_Nhap!H30="","",TKB_Nhap!H30&amp;CHAR(10)&amp;IF(T(INDEX(PhanCong!$B$3:$J$18,MATCH(TKB_Nhap!H30,PhanCong!$A$3:$A$18,0),MATCH($A30,PhanCong!$B$2:$J$2,0)))="","(chưa PC GV)","GV: "&amp;INDEX(PhanCong!$B$3:$J$18,MATCH(TKB_Nhap!H30,PhanCong!$A$3:$A$18,0),MATCH($A30,PhanCong!$B$2:$J$2,0))))</f>
        <v/>
      </c>
      <c r="I30" s="38">
        <f>IF(TKB_Nhap!I30="","",TKB_Nhap!I30&amp;CHAR(10)&amp;IF(T(INDEX(PhanCong!$B$3:$J$18,MATCH(TKB_Nhap!I30,PhanCong!$A$3:$A$18,0),MATCH($A30,PhanCong!$B$2:$J$2,0)))="","(chưa PC GV)","GV: "&amp;INDEX(PhanCong!$B$3:$J$18,MATCH(TKB_Nhap!I30,PhanCong!$A$3:$A$18,0),MATCH($A30,PhanCong!$B$2:$J$2,0))))</f>
        <v/>
      </c>
      <c r="J30" s="38">
        <f>IF(TKB_Nhap!J30="","",TKB_Nhap!J30&amp;CHAR(10)&amp;IF(T(INDEX(PhanCong!$B$3:$J$18,MATCH(TKB_Nhap!J30,PhanCong!$A$3:$A$18,0),MATCH($A30,PhanCong!$B$2:$J$2,0)))="","(chưa PC GV)","GV: "&amp;INDEX(PhanCong!$B$3:$J$18,MATCH(TKB_Nhap!J30,PhanCong!$A$3:$A$18,0),MATCH($A30,PhanCong!$B$2:$J$2,0))))</f>
        <v/>
      </c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IF(TKB_Nhap!D31="","",TKB_Nhap!D31&amp;CHAR(10)&amp;IF(T(INDEX(PhanCong!$B$3:$J$18,MATCH(TKB_Nhap!D31,PhanCong!$A$3:$A$18,0),MATCH($A31,PhanCong!$B$2:$J$2,0)))="","(chưa PC GV)","GV: "&amp;INDEX(PhanCong!$B$3:$J$18,MATCH(TKB_Nhap!D31,PhanCong!$A$3:$A$18,0),MATCH($A31,PhanCong!$B$2:$J$2,0))))</f>
        <v/>
      </c>
      <c r="E31" s="38">
        <f>IF(TKB_Nhap!E31="","",TKB_Nhap!E31&amp;CHAR(10)&amp;IF(T(INDEX(PhanCong!$B$3:$J$18,MATCH(TKB_Nhap!E31,PhanCong!$A$3:$A$18,0),MATCH($A31,PhanCong!$B$2:$J$2,0)))="","(chưa PC GV)","GV: "&amp;INDEX(PhanCong!$B$3:$J$18,MATCH(TKB_Nhap!E31,PhanCong!$A$3:$A$18,0),MATCH($A31,PhanCong!$B$2:$J$2,0))))</f>
        <v/>
      </c>
      <c r="F31" s="38">
        <f>IF(TKB_Nhap!F31="","",TKB_Nhap!F31&amp;CHAR(10)&amp;IF(T(INDEX(PhanCong!$B$3:$J$18,MATCH(TKB_Nhap!F31,PhanCong!$A$3:$A$18,0),MATCH($A31,PhanCong!$B$2:$J$2,0)))="","(chưa PC GV)","GV: "&amp;INDEX(PhanCong!$B$3:$J$18,MATCH(TKB_Nhap!F31,PhanCong!$A$3:$A$18,0),MATCH($A31,PhanCong!$B$2:$J$2,0))))</f>
        <v/>
      </c>
      <c r="G31" s="38">
        <f>IF(TKB_Nhap!G31="","",TKB_Nhap!G31&amp;CHAR(10)&amp;IF(T(INDEX(PhanCong!$B$3:$J$18,MATCH(TKB_Nhap!G31,PhanCong!$A$3:$A$18,0),MATCH($A31,PhanCong!$B$2:$J$2,0)))="","(chưa PC GV)","GV: "&amp;INDEX(PhanCong!$B$3:$J$18,MATCH(TKB_Nhap!G31,PhanCong!$A$3:$A$18,0),MATCH($A31,PhanCong!$B$2:$J$2,0))))</f>
        <v/>
      </c>
      <c r="H31" s="38">
        <f>IF(TKB_Nhap!H31="","",TKB_Nhap!H31&amp;CHAR(10)&amp;IF(T(INDEX(PhanCong!$B$3:$J$18,MATCH(TKB_Nhap!H31,PhanCong!$A$3:$A$18,0),MATCH($A31,PhanCong!$B$2:$J$2,0)))="","(chưa PC GV)","GV: "&amp;INDEX(PhanCong!$B$3:$J$18,MATCH(TKB_Nhap!H31,PhanCong!$A$3:$A$18,0),MATCH($A31,PhanCong!$B$2:$J$2,0))))</f>
        <v/>
      </c>
      <c r="I31" s="38">
        <f>IF(TKB_Nhap!I31="","",TKB_Nhap!I31&amp;CHAR(10)&amp;IF(T(INDEX(PhanCong!$B$3:$J$18,MATCH(TKB_Nhap!I31,PhanCong!$A$3:$A$18,0),MATCH($A31,PhanCong!$B$2:$J$2,0)))="","(chưa PC GV)","GV: "&amp;INDEX(PhanCong!$B$3:$J$18,MATCH(TKB_Nhap!I31,PhanCong!$A$3:$A$18,0),MATCH($A31,PhanCong!$B$2:$J$2,0))))</f>
        <v/>
      </c>
      <c r="J31" s="38">
        <f>IF(TKB_Nhap!J31="","",TKB_Nhap!J31&amp;CHAR(10)&amp;IF(T(INDEX(PhanCong!$B$3:$J$18,MATCH(TKB_Nhap!J31,PhanCong!$A$3:$A$18,0),MATCH($A31,PhanCong!$B$2:$J$2,0)))="","(chưa PC GV)","GV: "&amp;INDEX(PhanCong!$B$3:$J$18,MATCH(TKB_Nhap!J31,PhanCong!$A$3:$A$18,0),MATCH($A31,PhanCong!$B$2:$J$2,0))))</f>
        <v/>
      </c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IF(TKB_Nhap!D32="","",TKB_Nhap!D32&amp;CHAR(10)&amp;IF(T(INDEX(PhanCong!$B$3:$J$18,MATCH(TKB_Nhap!D32,PhanCong!$A$3:$A$18,0),MATCH($A32,PhanCong!$B$2:$J$2,0)))="","(chưa PC GV)","GV: "&amp;INDEX(PhanCong!$B$3:$J$18,MATCH(TKB_Nhap!D32,PhanCong!$A$3:$A$18,0),MATCH($A32,PhanCong!$B$2:$J$2,0))))</f>
        <v/>
      </c>
      <c r="E32" s="38">
        <f>IF(TKB_Nhap!E32="","",TKB_Nhap!E32&amp;CHAR(10)&amp;IF(T(INDEX(PhanCong!$B$3:$J$18,MATCH(TKB_Nhap!E32,PhanCong!$A$3:$A$18,0),MATCH($A32,PhanCong!$B$2:$J$2,0)))="","(chưa PC GV)","GV: "&amp;INDEX(PhanCong!$B$3:$J$18,MATCH(TKB_Nhap!E32,PhanCong!$A$3:$A$18,0),MATCH($A32,PhanCong!$B$2:$J$2,0))))</f>
        <v/>
      </c>
      <c r="F32" s="38">
        <f>IF(TKB_Nhap!F32="","",TKB_Nhap!F32&amp;CHAR(10)&amp;IF(T(INDEX(PhanCong!$B$3:$J$18,MATCH(TKB_Nhap!F32,PhanCong!$A$3:$A$18,0),MATCH($A32,PhanCong!$B$2:$J$2,0)))="","(chưa PC GV)","GV: "&amp;INDEX(PhanCong!$B$3:$J$18,MATCH(TKB_Nhap!F32,PhanCong!$A$3:$A$18,0),MATCH($A32,PhanCong!$B$2:$J$2,0))))</f>
        <v/>
      </c>
      <c r="G32" s="38">
        <f>IF(TKB_Nhap!G32="","",TKB_Nhap!G32&amp;CHAR(10)&amp;IF(T(INDEX(PhanCong!$B$3:$J$18,MATCH(TKB_Nhap!G32,PhanCong!$A$3:$A$18,0),MATCH($A32,PhanCong!$B$2:$J$2,0)))="","(chưa PC GV)","GV: "&amp;INDEX(PhanCong!$B$3:$J$18,MATCH(TKB_Nhap!G32,PhanCong!$A$3:$A$18,0),MATCH($A32,PhanCong!$B$2:$J$2,0))))</f>
        <v/>
      </c>
      <c r="H32" s="38">
        <f>IF(TKB_Nhap!H32="","",TKB_Nhap!H32&amp;CHAR(10)&amp;IF(T(INDEX(PhanCong!$B$3:$J$18,MATCH(TKB_Nhap!H32,PhanCong!$A$3:$A$18,0),MATCH($A32,PhanCong!$B$2:$J$2,0)))="","(chưa PC GV)","GV: "&amp;INDEX(PhanCong!$B$3:$J$18,MATCH(TKB_Nhap!H32,PhanCong!$A$3:$A$18,0),MATCH($A32,PhanCong!$B$2:$J$2,0))))</f>
        <v/>
      </c>
      <c r="I32" s="38">
        <f>IF(TKB_Nhap!I32="","",TKB_Nhap!I32&amp;CHAR(10)&amp;IF(T(INDEX(PhanCong!$B$3:$J$18,MATCH(TKB_Nhap!I32,PhanCong!$A$3:$A$18,0),MATCH($A32,PhanCong!$B$2:$J$2,0)))="","(chưa PC GV)","GV: "&amp;INDEX(PhanCong!$B$3:$J$18,MATCH(TKB_Nhap!I32,PhanCong!$A$3:$A$18,0),MATCH($A32,PhanCong!$B$2:$J$2,0))))</f>
        <v/>
      </c>
      <c r="J32" s="38">
        <f>IF(TKB_Nhap!J32="","",TKB_Nhap!J32&amp;CHAR(10)&amp;IF(T(INDEX(PhanCong!$B$3:$J$18,MATCH(TKB_Nhap!J32,PhanCong!$A$3:$A$18,0),MATCH($A32,PhanCong!$B$2:$J$2,0)))="","(chưa PC GV)","GV: "&amp;INDEX(PhanCong!$B$3:$J$18,MATCH(TKB_Nhap!J32,PhanCong!$A$3:$A$18,0),MATCH($A32,PhanCong!$B$2:$J$2,0))))</f>
        <v/>
      </c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IF(TKB_Nhap!D33="","",TKB_Nhap!D33&amp;CHAR(10)&amp;IF(T(INDEX(PhanCong!$B$3:$J$18,MATCH(TKB_Nhap!D33,PhanCong!$A$3:$A$18,0),MATCH($A33,PhanCong!$B$2:$J$2,0)))="","(chưa PC GV)","GV: "&amp;INDEX(PhanCong!$B$3:$J$18,MATCH(TKB_Nhap!D33,PhanCong!$A$3:$A$18,0),MATCH($A33,PhanCong!$B$2:$J$2,0))))</f>
        <v/>
      </c>
      <c r="E33" s="38">
        <f>IF(TKB_Nhap!E33="","",TKB_Nhap!E33&amp;CHAR(10)&amp;IF(T(INDEX(PhanCong!$B$3:$J$18,MATCH(TKB_Nhap!E33,PhanCong!$A$3:$A$18,0),MATCH($A33,PhanCong!$B$2:$J$2,0)))="","(chưa PC GV)","GV: "&amp;INDEX(PhanCong!$B$3:$J$18,MATCH(TKB_Nhap!E33,PhanCong!$A$3:$A$18,0),MATCH($A33,PhanCong!$B$2:$J$2,0))))</f>
        <v/>
      </c>
      <c r="F33" s="38">
        <f>IF(TKB_Nhap!F33="","",TKB_Nhap!F33&amp;CHAR(10)&amp;IF(T(INDEX(PhanCong!$B$3:$J$18,MATCH(TKB_Nhap!F33,PhanCong!$A$3:$A$18,0),MATCH($A33,PhanCong!$B$2:$J$2,0)))="","(chưa PC GV)","GV: "&amp;INDEX(PhanCong!$B$3:$J$18,MATCH(TKB_Nhap!F33,PhanCong!$A$3:$A$18,0),MATCH($A33,PhanCong!$B$2:$J$2,0))))</f>
        <v/>
      </c>
      <c r="G33" s="38">
        <f>IF(TKB_Nhap!G33="","",TKB_Nhap!G33&amp;CHAR(10)&amp;IF(T(INDEX(PhanCong!$B$3:$J$18,MATCH(TKB_Nhap!G33,PhanCong!$A$3:$A$18,0),MATCH($A33,PhanCong!$B$2:$J$2,0)))="","(chưa PC GV)","GV: "&amp;INDEX(PhanCong!$B$3:$J$18,MATCH(TKB_Nhap!G33,PhanCong!$A$3:$A$18,0),MATCH($A33,PhanCong!$B$2:$J$2,0))))</f>
        <v/>
      </c>
      <c r="H33" s="38">
        <f>IF(TKB_Nhap!H33="","",TKB_Nhap!H33&amp;CHAR(10)&amp;IF(T(INDEX(PhanCong!$B$3:$J$18,MATCH(TKB_Nhap!H33,PhanCong!$A$3:$A$18,0),MATCH($A33,PhanCong!$B$2:$J$2,0)))="","(chưa PC GV)","GV: "&amp;INDEX(PhanCong!$B$3:$J$18,MATCH(TKB_Nhap!H33,PhanCong!$A$3:$A$18,0),MATCH($A33,PhanCong!$B$2:$J$2,0))))</f>
        <v/>
      </c>
      <c r="I33" s="38">
        <f>IF(TKB_Nhap!I33="","",TKB_Nhap!I33&amp;CHAR(10)&amp;IF(T(INDEX(PhanCong!$B$3:$J$18,MATCH(TKB_Nhap!I33,PhanCong!$A$3:$A$18,0),MATCH($A33,PhanCong!$B$2:$J$2,0)))="","(chưa PC GV)","GV: "&amp;INDEX(PhanCong!$B$3:$J$18,MATCH(TKB_Nhap!I33,PhanCong!$A$3:$A$18,0),MATCH($A33,PhanCong!$B$2:$J$2,0))))</f>
        <v/>
      </c>
      <c r="J33" s="38">
        <f>IF(TKB_Nhap!J33="","",TKB_Nhap!J33&amp;CHAR(10)&amp;IF(T(INDEX(PhanCong!$B$3:$J$18,MATCH(TKB_Nhap!J33,PhanCong!$A$3:$A$18,0),MATCH($A33,PhanCong!$B$2:$J$2,0)))="","(chưa PC GV)","GV: "&amp;INDEX(PhanCong!$B$3:$J$18,MATCH(TKB_Nhap!J33,PhanCong!$A$3:$A$18,0),MATCH($A33,PhanCong!$B$2:$J$2,0))))</f>
        <v/>
      </c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IF(TKB_Nhap!D34="","",TKB_Nhap!D34&amp;CHAR(10)&amp;IF(T(INDEX(PhanCong!$B$3:$J$18,MATCH(TKB_Nhap!D34,PhanCong!$A$3:$A$18,0),MATCH($A34,PhanCong!$B$2:$J$2,0)))="","(chưa PC GV)","GV: "&amp;INDEX(PhanCong!$B$3:$J$18,MATCH(TKB_Nhap!D34,PhanCong!$A$3:$A$18,0),MATCH($A34,PhanCong!$B$2:$J$2,0))))</f>
        <v/>
      </c>
      <c r="E34" s="26">
        <f>IF(TKB_Nhap!E34="","",TKB_Nhap!E34&amp;CHAR(10)&amp;IF(T(INDEX(PhanCong!$B$3:$J$18,MATCH(TKB_Nhap!E34,PhanCong!$A$3:$A$18,0),MATCH($A34,PhanCong!$B$2:$J$2,0)))="","(chưa PC GV)","GV: "&amp;INDEX(PhanCong!$B$3:$J$18,MATCH(TKB_Nhap!E34,PhanCong!$A$3:$A$18,0),MATCH($A34,PhanCong!$B$2:$J$2,0))))</f>
        <v/>
      </c>
      <c r="F34" s="26">
        <f>IF(TKB_Nhap!F34="","",TKB_Nhap!F34&amp;CHAR(10)&amp;IF(T(INDEX(PhanCong!$B$3:$J$18,MATCH(TKB_Nhap!F34,PhanCong!$A$3:$A$18,0),MATCH($A34,PhanCong!$B$2:$J$2,0)))="","(chưa PC GV)","GV: "&amp;INDEX(PhanCong!$B$3:$J$18,MATCH(TKB_Nhap!F34,PhanCong!$A$3:$A$18,0),MATCH($A34,PhanCong!$B$2:$J$2,0))))</f>
        <v/>
      </c>
      <c r="G34" s="26">
        <f>IF(TKB_Nhap!G34="","",TKB_Nhap!G34&amp;CHAR(10)&amp;IF(T(INDEX(PhanCong!$B$3:$J$18,MATCH(TKB_Nhap!G34,PhanCong!$A$3:$A$18,0),MATCH($A34,PhanCong!$B$2:$J$2,0)))="","(chưa PC GV)","GV: "&amp;INDEX(PhanCong!$B$3:$J$18,MATCH(TKB_Nhap!G34,PhanCong!$A$3:$A$18,0),MATCH($A34,PhanCong!$B$2:$J$2,0))))</f>
        <v/>
      </c>
      <c r="H34" s="26">
        <f>IF(TKB_Nhap!H34="","",TKB_Nhap!H34&amp;CHAR(10)&amp;IF(T(INDEX(PhanCong!$B$3:$J$18,MATCH(TKB_Nhap!H34,PhanCong!$A$3:$A$18,0),MATCH($A34,PhanCong!$B$2:$J$2,0)))="","(chưa PC GV)","GV: "&amp;INDEX(PhanCong!$B$3:$J$18,MATCH(TKB_Nhap!H34,PhanCong!$A$3:$A$18,0),MATCH($A34,PhanCong!$B$2:$J$2,0))))</f>
        <v/>
      </c>
      <c r="I34" s="26">
        <f>IF(TKB_Nhap!I34="","",TKB_Nhap!I34&amp;CHAR(10)&amp;IF(T(INDEX(PhanCong!$B$3:$J$18,MATCH(TKB_Nhap!I34,PhanCong!$A$3:$A$18,0),MATCH($A34,PhanCong!$B$2:$J$2,0)))="","(chưa PC GV)","GV: "&amp;INDEX(PhanCong!$B$3:$J$18,MATCH(TKB_Nhap!I34,PhanCong!$A$3:$A$18,0),MATCH($A34,PhanCong!$B$2:$J$2,0))))</f>
        <v/>
      </c>
      <c r="J34" s="26">
        <f>IF(TKB_Nhap!J34="","",TKB_Nhap!J34&amp;CHAR(10)&amp;IF(T(INDEX(PhanCong!$B$3:$J$18,MATCH(TKB_Nhap!J34,PhanCong!$A$3:$A$18,0),MATCH($A34,PhanCong!$B$2:$J$2,0)))="","(chưa PC GV)","GV: "&amp;INDEX(PhanCong!$B$3:$J$18,MATCH(TKB_Nhap!J34,PhanCong!$A$3:$A$18,0),MATCH($A34,PhanCong!$B$2:$J$2,0))))</f>
        <v/>
      </c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IF(TKB_Nhap!D35="","",TKB_Nhap!D35&amp;CHAR(10)&amp;IF(T(INDEX(PhanCong!$B$3:$J$18,MATCH(TKB_Nhap!D35,PhanCong!$A$3:$A$18,0),MATCH($A35,PhanCong!$B$2:$J$2,0)))="","(chưa PC GV)","GV: "&amp;INDEX(PhanCong!$B$3:$J$18,MATCH(TKB_Nhap!D35,PhanCong!$A$3:$A$18,0),MATCH($A35,PhanCong!$B$2:$J$2,0))))</f>
        <v/>
      </c>
      <c r="E35" s="26">
        <f>IF(TKB_Nhap!E35="","",TKB_Nhap!E35&amp;CHAR(10)&amp;IF(T(INDEX(PhanCong!$B$3:$J$18,MATCH(TKB_Nhap!E35,PhanCong!$A$3:$A$18,0),MATCH($A35,PhanCong!$B$2:$J$2,0)))="","(chưa PC GV)","GV: "&amp;INDEX(PhanCong!$B$3:$J$18,MATCH(TKB_Nhap!E35,PhanCong!$A$3:$A$18,0),MATCH($A35,PhanCong!$B$2:$J$2,0))))</f>
        <v/>
      </c>
      <c r="F35" s="26">
        <f>IF(TKB_Nhap!F35="","",TKB_Nhap!F35&amp;CHAR(10)&amp;IF(T(INDEX(PhanCong!$B$3:$J$18,MATCH(TKB_Nhap!F35,PhanCong!$A$3:$A$18,0),MATCH($A35,PhanCong!$B$2:$J$2,0)))="","(chưa PC GV)","GV: "&amp;INDEX(PhanCong!$B$3:$J$18,MATCH(TKB_Nhap!F35,PhanCong!$A$3:$A$18,0),MATCH($A35,PhanCong!$B$2:$J$2,0))))</f>
        <v/>
      </c>
      <c r="G35" s="26">
        <f>IF(TKB_Nhap!G35="","",TKB_Nhap!G35&amp;CHAR(10)&amp;IF(T(INDEX(PhanCong!$B$3:$J$18,MATCH(TKB_Nhap!G35,PhanCong!$A$3:$A$18,0),MATCH($A35,PhanCong!$B$2:$J$2,0)))="","(chưa PC GV)","GV: "&amp;INDEX(PhanCong!$B$3:$J$18,MATCH(TKB_Nhap!G35,PhanCong!$A$3:$A$18,0),MATCH($A35,PhanCong!$B$2:$J$2,0))))</f>
        <v/>
      </c>
      <c r="H35" s="26">
        <f>IF(TKB_Nhap!H35="","",TKB_Nhap!H35&amp;CHAR(10)&amp;IF(T(INDEX(PhanCong!$B$3:$J$18,MATCH(TKB_Nhap!H35,PhanCong!$A$3:$A$18,0),MATCH($A35,PhanCong!$B$2:$J$2,0)))="","(chưa PC GV)","GV: "&amp;INDEX(PhanCong!$B$3:$J$18,MATCH(TKB_Nhap!H35,PhanCong!$A$3:$A$18,0),MATCH($A35,PhanCong!$B$2:$J$2,0))))</f>
        <v/>
      </c>
      <c r="I35" s="26">
        <f>IF(TKB_Nhap!I35="","",TKB_Nhap!I35&amp;CHAR(10)&amp;IF(T(INDEX(PhanCong!$B$3:$J$18,MATCH(TKB_Nhap!I35,PhanCong!$A$3:$A$18,0),MATCH($A35,PhanCong!$B$2:$J$2,0)))="","(chưa PC GV)","GV: "&amp;INDEX(PhanCong!$B$3:$J$18,MATCH(TKB_Nhap!I35,PhanCong!$A$3:$A$18,0),MATCH($A35,PhanCong!$B$2:$J$2,0))))</f>
        <v/>
      </c>
      <c r="J35" s="26">
        <f>IF(TKB_Nhap!J35="","",TKB_Nhap!J35&amp;CHAR(10)&amp;IF(T(INDEX(PhanCong!$B$3:$J$18,MATCH(TKB_Nhap!J35,PhanCong!$A$3:$A$18,0),MATCH($A35,PhanCong!$B$2:$J$2,0)))="","(chưa PC GV)","GV: "&amp;INDEX(PhanCong!$B$3:$J$18,MATCH(TKB_Nhap!J35,PhanCong!$A$3:$A$18,0),MATCH($A35,PhanCong!$B$2:$J$2,0))))</f>
        <v/>
      </c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IF(TKB_Nhap!D36="","",TKB_Nhap!D36&amp;CHAR(10)&amp;IF(T(INDEX(PhanCong!$B$3:$J$18,MATCH(TKB_Nhap!D36,PhanCong!$A$3:$A$18,0),MATCH($A36,PhanCong!$B$2:$J$2,0)))="","(chưa PC GV)","GV: "&amp;INDEX(PhanCong!$B$3:$J$18,MATCH(TKB_Nhap!D36,PhanCong!$A$3:$A$18,0),MATCH($A36,PhanCong!$B$2:$J$2,0))))</f>
        <v/>
      </c>
      <c r="E36" s="26">
        <f>IF(TKB_Nhap!E36="","",TKB_Nhap!E36&amp;CHAR(10)&amp;IF(T(INDEX(PhanCong!$B$3:$J$18,MATCH(TKB_Nhap!E36,PhanCong!$A$3:$A$18,0),MATCH($A36,PhanCong!$B$2:$J$2,0)))="","(chưa PC GV)","GV: "&amp;INDEX(PhanCong!$B$3:$J$18,MATCH(TKB_Nhap!E36,PhanCong!$A$3:$A$18,0),MATCH($A36,PhanCong!$B$2:$J$2,0))))</f>
        <v/>
      </c>
      <c r="F36" s="26">
        <f>IF(TKB_Nhap!F36="","",TKB_Nhap!F36&amp;CHAR(10)&amp;IF(T(INDEX(PhanCong!$B$3:$J$18,MATCH(TKB_Nhap!F36,PhanCong!$A$3:$A$18,0),MATCH($A36,PhanCong!$B$2:$J$2,0)))="","(chưa PC GV)","GV: "&amp;INDEX(PhanCong!$B$3:$J$18,MATCH(TKB_Nhap!F36,PhanCong!$A$3:$A$18,0),MATCH($A36,PhanCong!$B$2:$J$2,0))))</f>
        <v/>
      </c>
      <c r="G36" s="26">
        <f>IF(TKB_Nhap!G36="","",TKB_Nhap!G36&amp;CHAR(10)&amp;IF(T(INDEX(PhanCong!$B$3:$J$18,MATCH(TKB_Nhap!G36,PhanCong!$A$3:$A$18,0),MATCH($A36,PhanCong!$B$2:$J$2,0)))="","(chưa PC GV)","GV: "&amp;INDEX(PhanCong!$B$3:$J$18,MATCH(TKB_Nhap!G36,PhanCong!$A$3:$A$18,0),MATCH($A36,PhanCong!$B$2:$J$2,0))))</f>
        <v/>
      </c>
      <c r="H36" s="26">
        <f>IF(TKB_Nhap!H36="","",TKB_Nhap!H36&amp;CHAR(10)&amp;IF(T(INDEX(PhanCong!$B$3:$J$18,MATCH(TKB_Nhap!H36,PhanCong!$A$3:$A$18,0),MATCH($A36,PhanCong!$B$2:$J$2,0)))="","(chưa PC GV)","GV: "&amp;INDEX(PhanCong!$B$3:$J$18,MATCH(TKB_Nhap!H36,PhanCong!$A$3:$A$18,0),MATCH($A36,PhanCong!$B$2:$J$2,0))))</f>
        <v/>
      </c>
      <c r="I36" s="26">
        <f>IF(TKB_Nhap!I36="","",TKB_Nhap!I36&amp;CHAR(10)&amp;IF(T(INDEX(PhanCong!$B$3:$J$18,MATCH(TKB_Nhap!I36,PhanCong!$A$3:$A$18,0),MATCH($A36,PhanCong!$B$2:$J$2,0)))="","(chưa PC GV)","GV: "&amp;INDEX(PhanCong!$B$3:$J$18,MATCH(TKB_Nhap!I36,PhanCong!$A$3:$A$18,0),MATCH($A36,PhanCong!$B$2:$J$2,0))))</f>
        <v/>
      </c>
      <c r="J36" s="26">
        <f>IF(TKB_Nhap!J36="","",TKB_Nhap!J36&amp;CHAR(10)&amp;IF(T(INDEX(PhanCong!$B$3:$J$18,MATCH(TKB_Nhap!J36,PhanCong!$A$3:$A$18,0),MATCH($A36,PhanCong!$B$2:$J$2,0)))="","(chưa PC GV)","GV: "&amp;INDEX(PhanCong!$B$3:$J$18,MATCH(TKB_Nhap!J36,PhanCong!$A$3:$A$18,0),MATCH($A36,PhanCong!$B$2:$J$2,0))))</f>
        <v/>
      </c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IF(TKB_Nhap!D37="","",TKB_Nhap!D37&amp;CHAR(10)&amp;IF(T(INDEX(PhanCong!$B$3:$J$18,MATCH(TKB_Nhap!D37,PhanCong!$A$3:$A$18,0),MATCH($A37,PhanCong!$B$2:$J$2,0)))="","(chưa PC GV)","GV: "&amp;INDEX(PhanCong!$B$3:$J$18,MATCH(TKB_Nhap!D37,PhanCong!$A$3:$A$18,0),MATCH($A37,PhanCong!$B$2:$J$2,0))))</f>
        <v/>
      </c>
      <c r="E37" s="26">
        <f>IF(TKB_Nhap!E37="","",TKB_Nhap!E37&amp;CHAR(10)&amp;IF(T(INDEX(PhanCong!$B$3:$J$18,MATCH(TKB_Nhap!E37,PhanCong!$A$3:$A$18,0),MATCH($A37,PhanCong!$B$2:$J$2,0)))="","(chưa PC GV)","GV: "&amp;INDEX(PhanCong!$B$3:$J$18,MATCH(TKB_Nhap!E37,PhanCong!$A$3:$A$18,0),MATCH($A37,PhanCong!$B$2:$J$2,0))))</f>
        <v/>
      </c>
      <c r="F37" s="26">
        <f>IF(TKB_Nhap!F37="","",TKB_Nhap!F37&amp;CHAR(10)&amp;IF(T(INDEX(PhanCong!$B$3:$J$18,MATCH(TKB_Nhap!F37,PhanCong!$A$3:$A$18,0),MATCH($A37,PhanCong!$B$2:$J$2,0)))="","(chưa PC GV)","GV: "&amp;INDEX(PhanCong!$B$3:$J$18,MATCH(TKB_Nhap!F37,PhanCong!$A$3:$A$18,0),MATCH($A37,PhanCong!$B$2:$J$2,0))))</f>
        <v/>
      </c>
      <c r="G37" s="26">
        <f>IF(TKB_Nhap!G37="","",TKB_Nhap!G37&amp;CHAR(10)&amp;IF(T(INDEX(PhanCong!$B$3:$J$18,MATCH(TKB_Nhap!G37,PhanCong!$A$3:$A$18,0),MATCH($A37,PhanCong!$B$2:$J$2,0)))="","(chưa PC GV)","GV: "&amp;INDEX(PhanCong!$B$3:$J$18,MATCH(TKB_Nhap!G37,PhanCong!$A$3:$A$18,0),MATCH($A37,PhanCong!$B$2:$J$2,0))))</f>
        <v/>
      </c>
      <c r="H37" s="26">
        <f>IF(TKB_Nhap!H37="","",TKB_Nhap!H37&amp;CHAR(10)&amp;IF(T(INDEX(PhanCong!$B$3:$J$18,MATCH(TKB_Nhap!H37,PhanCong!$A$3:$A$18,0),MATCH($A37,PhanCong!$B$2:$J$2,0)))="","(chưa PC GV)","GV: "&amp;INDEX(PhanCong!$B$3:$J$18,MATCH(TKB_Nhap!H37,PhanCong!$A$3:$A$18,0),MATCH($A37,PhanCong!$B$2:$J$2,0))))</f>
        <v/>
      </c>
      <c r="I37" s="26">
        <f>IF(TKB_Nhap!I37="","",TKB_Nhap!I37&amp;CHAR(10)&amp;IF(T(INDEX(PhanCong!$B$3:$J$18,MATCH(TKB_Nhap!I37,PhanCong!$A$3:$A$18,0),MATCH($A37,PhanCong!$B$2:$J$2,0)))="","(chưa PC GV)","GV: "&amp;INDEX(PhanCong!$B$3:$J$18,MATCH(TKB_Nhap!I37,PhanCong!$A$3:$A$18,0),MATCH($A37,PhanCong!$B$2:$J$2,0))))</f>
        <v/>
      </c>
      <c r="J37" s="26">
        <f>IF(TKB_Nhap!J37="","",TKB_Nhap!J37&amp;CHAR(10)&amp;IF(T(INDEX(PhanCong!$B$3:$J$18,MATCH(TKB_Nhap!J37,PhanCong!$A$3:$A$18,0),MATCH($A37,PhanCong!$B$2:$J$2,0)))="","(chưa PC GV)","GV: "&amp;INDEX(PhanCong!$B$3:$J$18,MATCH(TKB_Nhap!J37,PhanCong!$A$3:$A$18,0),MATCH($A37,PhanCong!$B$2:$J$2,0))))</f>
        <v/>
      </c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IF(TKB_Nhap!D38="","",TKB_Nhap!D38&amp;CHAR(10)&amp;IF(T(INDEX(PhanCong!$B$3:$J$18,MATCH(TKB_Nhap!D38,PhanCong!$A$3:$A$18,0),MATCH($A38,PhanCong!$B$2:$J$2,0)))="","(chưa PC GV)","GV: "&amp;INDEX(PhanCong!$B$3:$J$18,MATCH(TKB_Nhap!D38,PhanCong!$A$3:$A$18,0),MATCH($A38,PhanCong!$B$2:$J$2,0))))</f>
        <v/>
      </c>
      <c r="E38" s="26">
        <f>IF(TKB_Nhap!E38="","",TKB_Nhap!E38&amp;CHAR(10)&amp;IF(T(INDEX(PhanCong!$B$3:$J$18,MATCH(TKB_Nhap!E38,PhanCong!$A$3:$A$18,0),MATCH($A38,PhanCong!$B$2:$J$2,0)))="","(chưa PC GV)","GV: "&amp;INDEX(PhanCong!$B$3:$J$18,MATCH(TKB_Nhap!E38,PhanCong!$A$3:$A$18,0),MATCH($A38,PhanCong!$B$2:$J$2,0))))</f>
        <v/>
      </c>
      <c r="F38" s="26">
        <f>IF(TKB_Nhap!F38="","",TKB_Nhap!F38&amp;CHAR(10)&amp;IF(T(INDEX(PhanCong!$B$3:$J$18,MATCH(TKB_Nhap!F38,PhanCong!$A$3:$A$18,0),MATCH($A38,PhanCong!$B$2:$J$2,0)))="","(chưa PC GV)","GV: "&amp;INDEX(PhanCong!$B$3:$J$18,MATCH(TKB_Nhap!F38,PhanCong!$A$3:$A$18,0),MATCH($A38,PhanCong!$B$2:$J$2,0))))</f>
        <v/>
      </c>
      <c r="G38" s="26">
        <f>IF(TKB_Nhap!G38="","",TKB_Nhap!G38&amp;CHAR(10)&amp;IF(T(INDEX(PhanCong!$B$3:$J$18,MATCH(TKB_Nhap!G38,PhanCong!$A$3:$A$18,0),MATCH($A38,PhanCong!$B$2:$J$2,0)))="","(chưa PC GV)","GV: "&amp;INDEX(PhanCong!$B$3:$J$18,MATCH(TKB_Nhap!G38,PhanCong!$A$3:$A$18,0),MATCH($A38,PhanCong!$B$2:$J$2,0))))</f>
        <v/>
      </c>
      <c r="H38" s="26">
        <f>IF(TKB_Nhap!H38="","",TKB_Nhap!H38&amp;CHAR(10)&amp;IF(T(INDEX(PhanCong!$B$3:$J$18,MATCH(TKB_Nhap!H38,PhanCong!$A$3:$A$18,0),MATCH($A38,PhanCong!$B$2:$J$2,0)))="","(chưa PC GV)","GV: "&amp;INDEX(PhanCong!$B$3:$J$18,MATCH(TKB_Nhap!H38,PhanCong!$A$3:$A$18,0),MATCH($A38,PhanCong!$B$2:$J$2,0))))</f>
        <v/>
      </c>
      <c r="I38" s="26">
        <f>IF(TKB_Nhap!I38="","",TKB_Nhap!I38&amp;CHAR(10)&amp;IF(T(INDEX(PhanCong!$B$3:$J$18,MATCH(TKB_Nhap!I38,PhanCong!$A$3:$A$18,0),MATCH($A38,PhanCong!$B$2:$J$2,0)))="","(chưa PC GV)","GV: "&amp;INDEX(PhanCong!$B$3:$J$18,MATCH(TKB_Nhap!I38,PhanCong!$A$3:$A$18,0),MATCH($A38,PhanCong!$B$2:$J$2,0))))</f>
        <v/>
      </c>
      <c r="J38" s="26">
        <f>IF(TKB_Nhap!J38="","",TKB_Nhap!J38&amp;CHAR(10)&amp;IF(T(INDEX(PhanCong!$B$3:$J$18,MATCH(TKB_Nhap!J38,PhanCong!$A$3:$A$18,0),MATCH($A38,PhanCong!$B$2:$J$2,0)))="","(chưa PC GV)","GV: "&amp;INDEX(PhanCong!$B$3:$J$18,MATCH(TKB_Nhap!J38,PhanCong!$A$3:$A$18,0),MATCH($A38,PhanCong!$B$2:$J$2,0))))</f>
        <v/>
      </c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IF(TKB_Nhap!D39="","",TKB_Nhap!D39&amp;CHAR(10)&amp;IF(T(INDEX(PhanCong!$B$3:$J$18,MATCH(TKB_Nhap!D39,PhanCong!$A$3:$A$18,0),MATCH($A39,PhanCong!$B$2:$J$2,0)))="","(chưa PC GV)","GV: "&amp;INDEX(PhanCong!$B$3:$J$18,MATCH(TKB_Nhap!D39,PhanCong!$A$3:$A$18,0),MATCH($A39,PhanCong!$B$2:$J$2,0))))</f>
        <v/>
      </c>
      <c r="E39" s="26">
        <f>IF(TKB_Nhap!E39="","",TKB_Nhap!E39&amp;CHAR(10)&amp;IF(T(INDEX(PhanCong!$B$3:$J$18,MATCH(TKB_Nhap!E39,PhanCong!$A$3:$A$18,0),MATCH($A39,PhanCong!$B$2:$J$2,0)))="","(chưa PC GV)","GV: "&amp;INDEX(PhanCong!$B$3:$J$18,MATCH(TKB_Nhap!E39,PhanCong!$A$3:$A$18,0),MATCH($A39,PhanCong!$B$2:$J$2,0))))</f>
        <v/>
      </c>
      <c r="F39" s="26">
        <f>IF(TKB_Nhap!F39="","",TKB_Nhap!F39&amp;CHAR(10)&amp;IF(T(INDEX(PhanCong!$B$3:$J$18,MATCH(TKB_Nhap!F39,PhanCong!$A$3:$A$18,0),MATCH($A39,PhanCong!$B$2:$J$2,0)))="","(chưa PC GV)","GV: "&amp;INDEX(PhanCong!$B$3:$J$18,MATCH(TKB_Nhap!F39,PhanCong!$A$3:$A$18,0),MATCH($A39,PhanCong!$B$2:$J$2,0))))</f>
        <v/>
      </c>
      <c r="G39" s="26">
        <f>IF(TKB_Nhap!G39="","",TKB_Nhap!G39&amp;CHAR(10)&amp;IF(T(INDEX(PhanCong!$B$3:$J$18,MATCH(TKB_Nhap!G39,PhanCong!$A$3:$A$18,0),MATCH($A39,PhanCong!$B$2:$J$2,0)))="","(chưa PC GV)","GV: "&amp;INDEX(PhanCong!$B$3:$J$18,MATCH(TKB_Nhap!G39,PhanCong!$A$3:$A$18,0),MATCH($A39,PhanCong!$B$2:$J$2,0))))</f>
        <v/>
      </c>
      <c r="H39" s="26">
        <f>IF(TKB_Nhap!H39="","",TKB_Nhap!H39&amp;CHAR(10)&amp;IF(T(INDEX(PhanCong!$B$3:$J$18,MATCH(TKB_Nhap!H39,PhanCong!$A$3:$A$18,0),MATCH($A39,PhanCong!$B$2:$J$2,0)))="","(chưa PC GV)","GV: "&amp;INDEX(PhanCong!$B$3:$J$18,MATCH(TKB_Nhap!H39,PhanCong!$A$3:$A$18,0),MATCH($A39,PhanCong!$B$2:$J$2,0))))</f>
        <v/>
      </c>
      <c r="I39" s="26">
        <f>IF(TKB_Nhap!I39="","",TKB_Nhap!I39&amp;CHAR(10)&amp;IF(T(INDEX(PhanCong!$B$3:$J$18,MATCH(TKB_Nhap!I39,PhanCong!$A$3:$A$18,0),MATCH($A39,PhanCong!$B$2:$J$2,0)))="","(chưa PC GV)","GV: "&amp;INDEX(PhanCong!$B$3:$J$18,MATCH(TKB_Nhap!I39,PhanCong!$A$3:$A$18,0),MATCH($A39,PhanCong!$B$2:$J$2,0))))</f>
        <v/>
      </c>
      <c r="J39" s="26">
        <f>IF(TKB_Nhap!J39="","",TKB_Nhap!J39&amp;CHAR(10)&amp;IF(T(INDEX(PhanCong!$B$3:$J$18,MATCH(TKB_Nhap!J39,PhanCong!$A$3:$A$18,0),MATCH($A39,PhanCong!$B$2:$J$2,0)))="","(chưa PC GV)","GV: "&amp;INDEX(PhanCong!$B$3:$J$18,MATCH(TKB_Nhap!J39,PhanCong!$A$3:$A$18,0),MATCH($A39,PhanCong!$B$2:$J$2,0))))</f>
        <v/>
      </c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IF(TKB_Nhap!D40="","",TKB_Nhap!D40&amp;CHAR(10)&amp;IF(T(INDEX(PhanCong!$B$3:$J$18,MATCH(TKB_Nhap!D40,PhanCong!$A$3:$A$18,0),MATCH($A40,PhanCong!$B$2:$J$2,0)))="","(chưa PC GV)","GV: "&amp;INDEX(PhanCong!$B$3:$J$18,MATCH(TKB_Nhap!D40,PhanCong!$A$3:$A$18,0),MATCH($A40,PhanCong!$B$2:$J$2,0))))</f>
        <v/>
      </c>
      <c r="E40" s="26">
        <f>IF(TKB_Nhap!E40="","",TKB_Nhap!E40&amp;CHAR(10)&amp;IF(T(INDEX(PhanCong!$B$3:$J$18,MATCH(TKB_Nhap!E40,PhanCong!$A$3:$A$18,0),MATCH($A40,PhanCong!$B$2:$J$2,0)))="","(chưa PC GV)","GV: "&amp;INDEX(PhanCong!$B$3:$J$18,MATCH(TKB_Nhap!E40,PhanCong!$A$3:$A$18,0),MATCH($A40,PhanCong!$B$2:$J$2,0))))</f>
        <v/>
      </c>
      <c r="F40" s="26">
        <f>IF(TKB_Nhap!F40="","",TKB_Nhap!F40&amp;CHAR(10)&amp;IF(T(INDEX(PhanCong!$B$3:$J$18,MATCH(TKB_Nhap!F40,PhanCong!$A$3:$A$18,0),MATCH($A40,PhanCong!$B$2:$J$2,0)))="","(chưa PC GV)","GV: "&amp;INDEX(PhanCong!$B$3:$J$18,MATCH(TKB_Nhap!F40,PhanCong!$A$3:$A$18,0),MATCH($A40,PhanCong!$B$2:$J$2,0))))</f>
        <v/>
      </c>
      <c r="G40" s="26">
        <f>IF(TKB_Nhap!G40="","",TKB_Nhap!G40&amp;CHAR(10)&amp;IF(T(INDEX(PhanCong!$B$3:$J$18,MATCH(TKB_Nhap!G40,PhanCong!$A$3:$A$18,0),MATCH($A40,PhanCong!$B$2:$J$2,0)))="","(chưa PC GV)","GV: "&amp;INDEX(PhanCong!$B$3:$J$18,MATCH(TKB_Nhap!G40,PhanCong!$A$3:$A$18,0),MATCH($A40,PhanCong!$B$2:$J$2,0))))</f>
        <v/>
      </c>
      <c r="H40" s="26">
        <f>IF(TKB_Nhap!H40="","",TKB_Nhap!H40&amp;CHAR(10)&amp;IF(T(INDEX(PhanCong!$B$3:$J$18,MATCH(TKB_Nhap!H40,PhanCong!$A$3:$A$18,0),MATCH($A40,PhanCong!$B$2:$J$2,0)))="","(chưa PC GV)","GV: "&amp;INDEX(PhanCong!$B$3:$J$18,MATCH(TKB_Nhap!H40,PhanCong!$A$3:$A$18,0),MATCH($A40,PhanCong!$B$2:$J$2,0))))</f>
        <v/>
      </c>
      <c r="I40" s="26">
        <f>IF(TKB_Nhap!I40="","",TKB_Nhap!I40&amp;CHAR(10)&amp;IF(T(INDEX(PhanCong!$B$3:$J$18,MATCH(TKB_Nhap!I40,PhanCong!$A$3:$A$18,0),MATCH($A40,PhanCong!$B$2:$J$2,0)))="","(chưa PC GV)","GV: "&amp;INDEX(PhanCong!$B$3:$J$18,MATCH(TKB_Nhap!I40,PhanCong!$A$3:$A$18,0),MATCH($A40,PhanCong!$B$2:$J$2,0))))</f>
        <v/>
      </c>
      <c r="J40" s="26">
        <f>IF(TKB_Nhap!J40="","",TKB_Nhap!J40&amp;CHAR(10)&amp;IF(T(INDEX(PhanCong!$B$3:$J$18,MATCH(TKB_Nhap!J40,PhanCong!$A$3:$A$18,0),MATCH($A40,PhanCong!$B$2:$J$2,0)))="","(chưa PC GV)","GV: "&amp;INDEX(PhanCong!$B$3:$J$18,MATCH(TKB_Nhap!J40,PhanCong!$A$3:$A$18,0),MATCH($A40,PhanCong!$B$2:$J$2,0))))</f>
        <v/>
      </c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IF(TKB_Nhap!D41="","",TKB_Nhap!D41&amp;CHAR(10)&amp;IF(T(INDEX(PhanCong!$B$3:$J$18,MATCH(TKB_Nhap!D41,PhanCong!$A$3:$A$18,0),MATCH($A41,PhanCong!$B$2:$J$2,0)))="","(chưa PC GV)","GV: "&amp;INDEX(PhanCong!$B$3:$J$18,MATCH(TKB_Nhap!D41,PhanCong!$A$3:$A$18,0),MATCH($A41,PhanCong!$B$2:$J$2,0))))</f>
        <v/>
      </c>
      <c r="E41" s="26">
        <f>IF(TKB_Nhap!E41="","",TKB_Nhap!E41&amp;CHAR(10)&amp;IF(T(INDEX(PhanCong!$B$3:$J$18,MATCH(TKB_Nhap!E41,PhanCong!$A$3:$A$18,0),MATCH($A41,PhanCong!$B$2:$J$2,0)))="","(chưa PC GV)","GV: "&amp;INDEX(PhanCong!$B$3:$J$18,MATCH(TKB_Nhap!E41,PhanCong!$A$3:$A$18,0),MATCH($A41,PhanCong!$B$2:$J$2,0))))</f>
        <v/>
      </c>
      <c r="F41" s="26">
        <f>IF(TKB_Nhap!F41="","",TKB_Nhap!F41&amp;CHAR(10)&amp;IF(T(INDEX(PhanCong!$B$3:$J$18,MATCH(TKB_Nhap!F41,PhanCong!$A$3:$A$18,0),MATCH($A41,PhanCong!$B$2:$J$2,0)))="","(chưa PC GV)","GV: "&amp;INDEX(PhanCong!$B$3:$J$18,MATCH(TKB_Nhap!F41,PhanCong!$A$3:$A$18,0),MATCH($A41,PhanCong!$B$2:$J$2,0))))</f>
        <v/>
      </c>
      <c r="G41" s="26">
        <f>IF(TKB_Nhap!G41="","",TKB_Nhap!G41&amp;CHAR(10)&amp;IF(T(INDEX(PhanCong!$B$3:$J$18,MATCH(TKB_Nhap!G41,PhanCong!$A$3:$A$18,0),MATCH($A41,PhanCong!$B$2:$J$2,0)))="","(chưa PC GV)","GV: "&amp;INDEX(PhanCong!$B$3:$J$18,MATCH(TKB_Nhap!G41,PhanCong!$A$3:$A$18,0),MATCH($A41,PhanCong!$B$2:$J$2,0))))</f>
        <v/>
      </c>
      <c r="H41" s="26">
        <f>IF(TKB_Nhap!H41="","",TKB_Nhap!H41&amp;CHAR(10)&amp;IF(T(INDEX(PhanCong!$B$3:$J$18,MATCH(TKB_Nhap!H41,PhanCong!$A$3:$A$18,0),MATCH($A41,PhanCong!$B$2:$J$2,0)))="","(chưa PC GV)","GV: "&amp;INDEX(PhanCong!$B$3:$J$18,MATCH(TKB_Nhap!H41,PhanCong!$A$3:$A$18,0),MATCH($A41,PhanCong!$B$2:$J$2,0))))</f>
        <v/>
      </c>
      <c r="I41" s="26">
        <f>IF(TKB_Nhap!I41="","",TKB_Nhap!I41&amp;CHAR(10)&amp;IF(T(INDEX(PhanCong!$B$3:$J$18,MATCH(TKB_Nhap!I41,PhanCong!$A$3:$A$18,0),MATCH($A41,PhanCong!$B$2:$J$2,0)))="","(chưa PC GV)","GV: "&amp;INDEX(PhanCong!$B$3:$J$18,MATCH(TKB_Nhap!I41,PhanCong!$A$3:$A$18,0),MATCH($A41,PhanCong!$B$2:$J$2,0))))</f>
        <v/>
      </c>
      <c r="J41" s="26">
        <f>IF(TKB_Nhap!J41="","",TKB_Nhap!J41&amp;CHAR(10)&amp;IF(T(INDEX(PhanCong!$B$3:$J$18,MATCH(TKB_Nhap!J41,PhanCong!$A$3:$A$18,0),MATCH($A41,PhanCong!$B$2:$J$2,0)))="","(chưa PC GV)","GV: "&amp;INDEX(PhanCong!$B$3:$J$18,MATCH(TKB_Nhap!J41,PhanCong!$A$3:$A$18,0),MATCH($A41,PhanCong!$B$2:$J$2,0))))</f>
        <v/>
      </c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IF(TKB_Nhap!D42="","",TKB_Nhap!D42&amp;CHAR(10)&amp;IF(T(INDEX(PhanCong!$B$3:$J$18,MATCH(TKB_Nhap!D42,PhanCong!$A$3:$A$18,0),MATCH($A42,PhanCong!$B$2:$J$2,0)))="","(chưa PC GV)","GV: "&amp;INDEX(PhanCong!$B$3:$J$18,MATCH(TKB_Nhap!D42,PhanCong!$A$3:$A$18,0),MATCH($A42,PhanCong!$B$2:$J$2,0))))</f>
        <v/>
      </c>
      <c r="E42" s="38">
        <f>IF(TKB_Nhap!E42="","",TKB_Nhap!E42&amp;CHAR(10)&amp;IF(T(INDEX(PhanCong!$B$3:$J$18,MATCH(TKB_Nhap!E42,PhanCong!$A$3:$A$18,0),MATCH($A42,PhanCong!$B$2:$J$2,0)))="","(chưa PC GV)","GV: "&amp;INDEX(PhanCong!$B$3:$J$18,MATCH(TKB_Nhap!E42,PhanCong!$A$3:$A$18,0),MATCH($A42,PhanCong!$B$2:$J$2,0))))</f>
        <v/>
      </c>
      <c r="F42" s="38">
        <f>IF(TKB_Nhap!F42="","",TKB_Nhap!F42&amp;CHAR(10)&amp;IF(T(INDEX(PhanCong!$B$3:$J$18,MATCH(TKB_Nhap!F42,PhanCong!$A$3:$A$18,0),MATCH($A42,PhanCong!$B$2:$J$2,0)))="","(chưa PC GV)","GV: "&amp;INDEX(PhanCong!$B$3:$J$18,MATCH(TKB_Nhap!F42,PhanCong!$A$3:$A$18,0),MATCH($A42,PhanCong!$B$2:$J$2,0))))</f>
        <v/>
      </c>
      <c r="G42" s="38">
        <f>IF(TKB_Nhap!G42="","",TKB_Nhap!G42&amp;CHAR(10)&amp;IF(T(INDEX(PhanCong!$B$3:$J$18,MATCH(TKB_Nhap!G42,PhanCong!$A$3:$A$18,0),MATCH($A42,PhanCong!$B$2:$J$2,0)))="","(chưa PC GV)","GV: "&amp;INDEX(PhanCong!$B$3:$J$18,MATCH(TKB_Nhap!G42,PhanCong!$A$3:$A$18,0),MATCH($A42,PhanCong!$B$2:$J$2,0))))</f>
        <v/>
      </c>
      <c r="H42" s="38">
        <f>IF(TKB_Nhap!H42="","",TKB_Nhap!H42&amp;CHAR(10)&amp;IF(T(INDEX(PhanCong!$B$3:$J$18,MATCH(TKB_Nhap!H42,PhanCong!$A$3:$A$18,0),MATCH($A42,PhanCong!$B$2:$J$2,0)))="","(chưa PC GV)","GV: "&amp;INDEX(PhanCong!$B$3:$J$18,MATCH(TKB_Nhap!H42,PhanCong!$A$3:$A$18,0),MATCH($A42,PhanCong!$B$2:$J$2,0))))</f>
        <v/>
      </c>
      <c r="I42" s="38">
        <f>IF(TKB_Nhap!I42="","",TKB_Nhap!I42&amp;CHAR(10)&amp;IF(T(INDEX(PhanCong!$B$3:$J$18,MATCH(TKB_Nhap!I42,PhanCong!$A$3:$A$18,0),MATCH($A42,PhanCong!$B$2:$J$2,0)))="","(chưa PC GV)","GV: "&amp;INDEX(PhanCong!$B$3:$J$18,MATCH(TKB_Nhap!I42,PhanCong!$A$3:$A$18,0),MATCH($A42,PhanCong!$B$2:$J$2,0))))</f>
        <v/>
      </c>
      <c r="J42" s="38">
        <f>IF(TKB_Nhap!J42="","",TKB_Nhap!J42&amp;CHAR(10)&amp;IF(T(INDEX(PhanCong!$B$3:$J$18,MATCH(TKB_Nhap!J42,PhanCong!$A$3:$A$18,0),MATCH($A42,PhanCong!$B$2:$J$2,0)))="","(chưa PC GV)","GV: "&amp;INDEX(PhanCong!$B$3:$J$18,MATCH(TKB_Nhap!J42,PhanCong!$A$3:$A$18,0),MATCH($A42,PhanCong!$B$2:$J$2,0))))</f>
        <v/>
      </c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IF(TKB_Nhap!D43="","",TKB_Nhap!D43&amp;CHAR(10)&amp;IF(T(INDEX(PhanCong!$B$3:$J$18,MATCH(TKB_Nhap!D43,PhanCong!$A$3:$A$18,0),MATCH($A43,PhanCong!$B$2:$J$2,0)))="","(chưa PC GV)","GV: "&amp;INDEX(PhanCong!$B$3:$J$18,MATCH(TKB_Nhap!D43,PhanCong!$A$3:$A$18,0),MATCH($A43,PhanCong!$B$2:$J$2,0))))</f>
        <v/>
      </c>
      <c r="E43" s="38">
        <f>IF(TKB_Nhap!E43="","",TKB_Nhap!E43&amp;CHAR(10)&amp;IF(T(INDEX(PhanCong!$B$3:$J$18,MATCH(TKB_Nhap!E43,PhanCong!$A$3:$A$18,0),MATCH($A43,PhanCong!$B$2:$J$2,0)))="","(chưa PC GV)","GV: "&amp;INDEX(PhanCong!$B$3:$J$18,MATCH(TKB_Nhap!E43,PhanCong!$A$3:$A$18,0),MATCH($A43,PhanCong!$B$2:$J$2,0))))</f>
        <v/>
      </c>
      <c r="F43" s="38">
        <f>IF(TKB_Nhap!F43="","",TKB_Nhap!F43&amp;CHAR(10)&amp;IF(T(INDEX(PhanCong!$B$3:$J$18,MATCH(TKB_Nhap!F43,PhanCong!$A$3:$A$18,0),MATCH($A43,PhanCong!$B$2:$J$2,0)))="","(chưa PC GV)","GV: "&amp;INDEX(PhanCong!$B$3:$J$18,MATCH(TKB_Nhap!F43,PhanCong!$A$3:$A$18,0),MATCH($A43,PhanCong!$B$2:$J$2,0))))</f>
        <v/>
      </c>
      <c r="G43" s="38">
        <f>IF(TKB_Nhap!G43="","",TKB_Nhap!G43&amp;CHAR(10)&amp;IF(T(INDEX(PhanCong!$B$3:$J$18,MATCH(TKB_Nhap!G43,PhanCong!$A$3:$A$18,0),MATCH($A43,PhanCong!$B$2:$J$2,0)))="","(chưa PC GV)","GV: "&amp;INDEX(PhanCong!$B$3:$J$18,MATCH(TKB_Nhap!G43,PhanCong!$A$3:$A$18,0),MATCH($A43,PhanCong!$B$2:$J$2,0))))</f>
        <v/>
      </c>
      <c r="H43" s="38">
        <f>IF(TKB_Nhap!H43="","",TKB_Nhap!H43&amp;CHAR(10)&amp;IF(T(INDEX(PhanCong!$B$3:$J$18,MATCH(TKB_Nhap!H43,PhanCong!$A$3:$A$18,0),MATCH($A43,PhanCong!$B$2:$J$2,0)))="","(chưa PC GV)","GV: "&amp;INDEX(PhanCong!$B$3:$J$18,MATCH(TKB_Nhap!H43,PhanCong!$A$3:$A$18,0),MATCH($A43,PhanCong!$B$2:$J$2,0))))</f>
        <v/>
      </c>
      <c r="I43" s="38">
        <f>IF(TKB_Nhap!I43="","",TKB_Nhap!I43&amp;CHAR(10)&amp;IF(T(INDEX(PhanCong!$B$3:$J$18,MATCH(TKB_Nhap!I43,PhanCong!$A$3:$A$18,0),MATCH($A43,PhanCong!$B$2:$J$2,0)))="","(chưa PC GV)","GV: "&amp;INDEX(PhanCong!$B$3:$J$18,MATCH(TKB_Nhap!I43,PhanCong!$A$3:$A$18,0),MATCH($A43,PhanCong!$B$2:$J$2,0))))</f>
        <v/>
      </c>
      <c r="J43" s="38">
        <f>IF(TKB_Nhap!J43="","",TKB_Nhap!J43&amp;CHAR(10)&amp;IF(T(INDEX(PhanCong!$B$3:$J$18,MATCH(TKB_Nhap!J43,PhanCong!$A$3:$A$18,0),MATCH($A43,PhanCong!$B$2:$J$2,0)))="","(chưa PC GV)","GV: "&amp;INDEX(PhanCong!$B$3:$J$18,MATCH(TKB_Nhap!J43,PhanCong!$A$3:$A$18,0),MATCH($A43,PhanCong!$B$2:$J$2,0))))</f>
        <v/>
      </c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IF(TKB_Nhap!D44="","",TKB_Nhap!D44&amp;CHAR(10)&amp;IF(T(INDEX(PhanCong!$B$3:$J$18,MATCH(TKB_Nhap!D44,PhanCong!$A$3:$A$18,0),MATCH($A44,PhanCong!$B$2:$J$2,0)))="","(chưa PC GV)","GV: "&amp;INDEX(PhanCong!$B$3:$J$18,MATCH(TKB_Nhap!D44,PhanCong!$A$3:$A$18,0),MATCH($A44,PhanCong!$B$2:$J$2,0))))</f>
        <v/>
      </c>
      <c r="E44" s="38">
        <f>IF(TKB_Nhap!E44="","",TKB_Nhap!E44&amp;CHAR(10)&amp;IF(T(INDEX(PhanCong!$B$3:$J$18,MATCH(TKB_Nhap!E44,PhanCong!$A$3:$A$18,0),MATCH($A44,PhanCong!$B$2:$J$2,0)))="","(chưa PC GV)","GV: "&amp;INDEX(PhanCong!$B$3:$J$18,MATCH(TKB_Nhap!E44,PhanCong!$A$3:$A$18,0),MATCH($A44,PhanCong!$B$2:$J$2,0))))</f>
        <v/>
      </c>
      <c r="F44" s="38">
        <f>IF(TKB_Nhap!F44="","",TKB_Nhap!F44&amp;CHAR(10)&amp;IF(T(INDEX(PhanCong!$B$3:$J$18,MATCH(TKB_Nhap!F44,PhanCong!$A$3:$A$18,0),MATCH($A44,PhanCong!$B$2:$J$2,0)))="","(chưa PC GV)","GV: "&amp;INDEX(PhanCong!$B$3:$J$18,MATCH(TKB_Nhap!F44,PhanCong!$A$3:$A$18,0),MATCH($A44,PhanCong!$B$2:$J$2,0))))</f>
        <v/>
      </c>
      <c r="G44" s="38">
        <f>IF(TKB_Nhap!G44="","",TKB_Nhap!G44&amp;CHAR(10)&amp;IF(T(INDEX(PhanCong!$B$3:$J$18,MATCH(TKB_Nhap!G44,PhanCong!$A$3:$A$18,0),MATCH($A44,PhanCong!$B$2:$J$2,0)))="","(chưa PC GV)","GV: "&amp;INDEX(PhanCong!$B$3:$J$18,MATCH(TKB_Nhap!G44,PhanCong!$A$3:$A$18,0),MATCH($A44,PhanCong!$B$2:$J$2,0))))</f>
        <v/>
      </c>
      <c r="H44" s="38">
        <f>IF(TKB_Nhap!H44="","",TKB_Nhap!H44&amp;CHAR(10)&amp;IF(T(INDEX(PhanCong!$B$3:$J$18,MATCH(TKB_Nhap!H44,PhanCong!$A$3:$A$18,0),MATCH($A44,PhanCong!$B$2:$J$2,0)))="","(chưa PC GV)","GV: "&amp;INDEX(PhanCong!$B$3:$J$18,MATCH(TKB_Nhap!H44,PhanCong!$A$3:$A$18,0),MATCH($A44,PhanCong!$B$2:$J$2,0))))</f>
        <v/>
      </c>
      <c r="I44" s="38">
        <f>IF(TKB_Nhap!I44="","",TKB_Nhap!I44&amp;CHAR(10)&amp;IF(T(INDEX(PhanCong!$B$3:$J$18,MATCH(TKB_Nhap!I44,PhanCong!$A$3:$A$18,0),MATCH($A44,PhanCong!$B$2:$J$2,0)))="","(chưa PC GV)","GV: "&amp;INDEX(PhanCong!$B$3:$J$18,MATCH(TKB_Nhap!I44,PhanCong!$A$3:$A$18,0),MATCH($A44,PhanCong!$B$2:$J$2,0))))</f>
        <v/>
      </c>
      <c r="J44" s="38">
        <f>IF(TKB_Nhap!J44="","",TKB_Nhap!J44&amp;CHAR(10)&amp;IF(T(INDEX(PhanCong!$B$3:$J$18,MATCH(TKB_Nhap!J44,PhanCong!$A$3:$A$18,0),MATCH($A44,PhanCong!$B$2:$J$2,0)))="","(chưa PC GV)","GV: "&amp;INDEX(PhanCong!$B$3:$J$18,MATCH(TKB_Nhap!J44,PhanCong!$A$3:$A$18,0),MATCH($A44,PhanCong!$B$2:$J$2,0))))</f>
        <v/>
      </c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IF(TKB_Nhap!D45="","",TKB_Nhap!D45&amp;CHAR(10)&amp;IF(T(INDEX(PhanCong!$B$3:$J$18,MATCH(TKB_Nhap!D45,PhanCong!$A$3:$A$18,0),MATCH($A45,PhanCong!$B$2:$J$2,0)))="","(chưa PC GV)","GV: "&amp;INDEX(PhanCong!$B$3:$J$18,MATCH(TKB_Nhap!D45,PhanCong!$A$3:$A$18,0),MATCH($A45,PhanCong!$B$2:$J$2,0))))</f>
        <v/>
      </c>
      <c r="E45" s="38">
        <f>IF(TKB_Nhap!E45="","",TKB_Nhap!E45&amp;CHAR(10)&amp;IF(T(INDEX(PhanCong!$B$3:$J$18,MATCH(TKB_Nhap!E45,PhanCong!$A$3:$A$18,0),MATCH($A45,PhanCong!$B$2:$J$2,0)))="","(chưa PC GV)","GV: "&amp;INDEX(PhanCong!$B$3:$J$18,MATCH(TKB_Nhap!E45,PhanCong!$A$3:$A$18,0),MATCH($A45,PhanCong!$B$2:$J$2,0))))</f>
        <v/>
      </c>
      <c r="F45" s="38">
        <f>IF(TKB_Nhap!F45="","",TKB_Nhap!F45&amp;CHAR(10)&amp;IF(T(INDEX(PhanCong!$B$3:$J$18,MATCH(TKB_Nhap!F45,PhanCong!$A$3:$A$18,0),MATCH($A45,PhanCong!$B$2:$J$2,0)))="","(chưa PC GV)","GV: "&amp;INDEX(PhanCong!$B$3:$J$18,MATCH(TKB_Nhap!F45,PhanCong!$A$3:$A$18,0),MATCH($A45,PhanCong!$B$2:$J$2,0))))</f>
        <v/>
      </c>
      <c r="G45" s="38">
        <f>IF(TKB_Nhap!G45="","",TKB_Nhap!G45&amp;CHAR(10)&amp;IF(T(INDEX(PhanCong!$B$3:$J$18,MATCH(TKB_Nhap!G45,PhanCong!$A$3:$A$18,0),MATCH($A45,PhanCong!$B$2:$J$2,0)))="","(chưa PC GV)","GV: "&amp;INDEX(PhanCong!$B$3:$J$18,MATCH(TKB_Nhap!G45,PhanCong!$A$3:$A$18,0),MATCH($A45,PhanCong!$B$2:$J$2,0))))</f>
        <v/>
      </c>
      <c r="H45" s="38">
        <f>IF(TKB_Nhap!H45="","",TKB_Nhap!H45&amp;CHAR(10)&amp;IF(T(INDEX(PhanCong!$B$3:$J$18,MATCH(TKB_Nhap!H45,PhanCong!$A$3:$A$18,0),MATCH($A45,PhanCong!$B$2:$J$2,0)))="","(chưa PC GV)","GV: "&amp;INDEX(PhanCong!$B$3:$J$18,MATCH(TKB_Nhap!H45,PhanCong!$A$3:$A$18,0),MATCH($A45,PhanCong!$B$2:$J$2,0))))</f>
        <v/>
      </c>
      <c r="I45" s="38">
        <f>IF(TKB_Nhap!I45="","",TKB_Nhap!I45&amp;CHAR(10)&amp;IF(T(INDEX(PhanCong!$B$3:$J$18,MATCH(TKB_Nhap!I45,PhanCong!$A$3:$A$18,0),MATCH($A45,PhanCong!$B$2:$J$2,0)))="","(chưa PC GV)","GV: "&amp;INDEX(PhanCong!$B$3:$J$18,MATCH(TKB_Nhap!I45,PhanCong!$A$3:$A$18,0),MATCH($A45,PhanCong!$B$2:$J$2,0))))</f>
        <v/>
      </c>
      <c r="J45" s="38">
        <f>IF(TKB_Nhap!J45="","",TKB_Nhap!J45&amp;CHAR(10)&amp;IF(T(INDEX(PhanCong!$B$3:$J$18,MATCH(TKB_Nhap!J45,PhanCong!$A$3:$A$18,0),MATCH($A45,PhanCong!$B$2:$J$2,0)))="","(chưa PC GV)","GV: "&amp;INDEX(PhanCong!$B$3:$J$18,MATCH(TKB_Nhap!J45,PhanCong!$A$3:$A$18,0),MATCH($A45,PhanCong!$B$2:$J$2,0))))</f>
        <v/>
      </c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IF(TKB_Nhap!D46="","",TKB_Nhap!D46&amp;CHAR(10)&amp;IF(T(INDEX(PhanCong!$B$3:$J$18,MATCH(TKB_Nhap!D46,PhanCong!$A$3:$A$18,0),MATCH($A46,PhanCong!$B$2:$J$2,0)))="","(chưa PC GV)","GV: "&amp;INDEX(PhanCong!$B$3:$J$18,MATCH(TKB_Nhap!D46,PhanCong!$A$3:$A$18,0),MATCH($A46,PhanCong!$B$2:$J$2,0))))</f>
        <v/>
      </c>
      <c r="E46" s="38">
        <f>IF(TKB_Nhap!E46="","",TKB_Nhap!E46&amp;CHAR(10)&amp;IF(T(INDEX(PhanCong!$B$3:$J$18,MATCH(TKB_Nhap!E46,PhanCong!$A$3:$A$18,0),MATCH($A46,PhanCong!$B$2:$J$2,0)))="","(chưa PC GV)","GV: "&amp;INDEX(PhanCong!$B$3:$J$18,MATCH(TKB_Nhap!E46,PhanCong!$A$3:$A$18,0),MATCH($A46,PhanCong!$B$2:$J$2,0))))</f>
        <v/>
      </c>
      <c r="F46" s="38">
        <f>IF(TKB_Nhap!F46="","",TKB_Nhap!F46&amp;CHAR(10)&amp;IF(T(INDEX(PhanCong!$B$3:$J$18,MATCH(TKB_Nhap!F46,PhanCong!$A$3:$A$18,0),MATCH($A46,PhanCong!$B$2:$J$2,0)))="","(chưa PC GV)","GV: "&amp;INDEX(PhanCong!$B$3:$J$18,MATCH(TKB_Nhap!F46,PhanCong!$A$3:$A$18,0),MATCH($A46,PhanCong!$B$2:$J$2,0))))</f>
        <v/>
      </c>
      <c r="G46" s="38">
        <f>IF(TKB_Nhap!G46="","",TKB_Nhap!G46&amp;CHAR(10)&amp;IF(T(INDEX(PhanCong!$B$3:$J$18,MATCH(TKB_Nhap!G46,PhanCong!$A$3:$A$18,0),MATCH($A46,PhanCong!$B$2:$J$2,0)))="","(chưa PC GV)","GV: "&amp;INDEX(PhanCong!$B$3:$J$18,MATCH(TKB_Nhap!G46,PhanCong!$A$3:$A$18,0),MATCH($A46,PhanCong!$B$2:$J$2,0))))</f>
        <v/>
      </c>
      <c r="H46" s="38">
        <f>IF(TKB_Nhap!H46="","",TKB_Nhap!H46&amp;CHAR(10)&amp;IF(T(INDEX(PhanCong!$B$3:$J$18,MATCH(TKB_Nhap!H46,PhanCong!$A$3:$A$18,0),MATCH($A46,PhanCong!$B$2:$J$2,0)))="","(chưa PC GV)","GV: "&amp;INDEX(PhanCong!$B$3:$J$18,MATCH(TKB_Nhap!H46,PhanCong!$A$3:$A$18,0),MATCH($A46,PhanCong!$B$2:$J$2,0))))</f>
        <v/>
      </c>
      <c r="I46" s="38">
        <f>IF(TKB_Nhap!I46="","",TKB_Nhap!I46&amp;CHAR(10)&amp;IF(T(INDEX(PhanCong!$B$3:$J$18,MATCH(TKB_Nhap!I46,PhanCong!$A$3:$A$18,0),MATCH($A46,PhanCong!$B$2:$J$2,0)))="","(chưa PC GV)","GV: "&amp;INDEX(PhanCong!$B$3:$J$18,MATCH(TKB_Nhap!I46,PhanCong!$A$3:$A$18,0),MATCH($A46,PhanCong!$B$2:$J$2,0))))</f>
        <v/>
      </c>
      <c r="J46" s="38">
        <f>IF(TKB_Nhap!J46="","",TKB_Nhap!J46&amp;CHAR(10)&amp;IF(T(INDEX(PhanCong!$B$3:$J$18,MATCH(TKB_Nhap!J46,PhanCong!$A$3:$A$18,0),MATCH($A46,PhanCong!$B$2:$J$2,0)))="","(chưa PC GV)","GV: "&amp;INDEX(PhanCong!$B$3:$J$18,MATCH(TKB_Nhap!J46,PhanCong!$A$3:$A$18,0),MATCH($A46,PhanCong!$B$2:$J$2,0))))</f>
        <v/>
      </c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IF(TKB_Nhap!D47="","",TKB_Nhap!D47&amp;CHAR(10)&amp;IF(T(INDEX(PhanCong!$B$3:$J$18,MATCH(TKB_Nhap!D47,PhanCong!$A$3:$A$18,0),MATCH($A47,PhanCong!$B$2:$J$2,0)))="","(chưa PC GV)","GV: "&amp;INDEX(PhanCong!$B$3:$J$18,MATCH(TKB_Nhap!D47,PhanCong!$A$3:$A$18,0),MATCH($A47,PhanCong!$B$2:$J$2,0))))</f>
        <v/>
      </c>
      <c r="E47" s="38">
        <f>IF(TKB_Nhap!E47="","",TKB_Nhap!E47&amp;CHAR(10)&amp;IF(T(INDEX(PhanCong!$B$3:$J$18,MATCH(TKB_Nhap!E47,PhanCong!$A$3:$A$18,0),MATCH($A47,PhanCong!$B$2:$J$2,0)))="","(chưa PC GV)","GV: "&amp;INDEX(PhanCong!$B$3:$J$18,MATCH(TKB_Nhap!E47,PhanCong!$A$3:$A$18,0),MATCH($A47,PhanCong!$B$2:$J$2,0))))</f>
        <v/>
      </c>
      <c r="F47" s="38">
        <f>IF(TKB_Nhap!F47="","",TKB_Nhap!F47&amp;CHAR(10)&amp;IF(T(INDEX(PhanCong!$B$3:$J$18,MATCH(TKB_Nhap!F47,PhanCong!$A$3:$A$18,0),MATCH($A47,PhanCong!$B$2:$J$2,0)))="","(chưa PC GV)","GV: "&amp;INDEX(PhanCong!$B$3:$J$18,MATCH(TKB_Nhap!F47,PhanCong!$A$3:$A$18,0),MATCH($A47,PhanCong!$B$2:$J$2,0))))</f>
        <v/>
      </c>
      <c r="G47" s="38">
        <f>IF(TKB_Nhap!G47="","",TKB_Nhap!G47&amp;CHAR(10)&amp;IF(T(INDEX(PhanCong!$B$3:$J$18,MATCH(TKB_Nhap!G47,PhanCong!$A$3:$A$18,0),MATCH($A47,PhanCong!$B$2:$J$2,0)))="","(chưa PC GV)","GV: "&amp;INDEX(PhanCong!$B$3:$J$18,MATCH(TKB_Nhap!G47,PhanCong!$A$3:$A$18,0),MATCH($A47,PhanCong!$B$2:$J$2,0))))</f>
        <v/>
      </c>
      <c r="H47" s="38">
        <f>IF(TKB_Nhap!H47="","",TKB_Nhap!H47&amp;CHAR(10)&amp;IF(T(INDEX(PhanCong!$B$3:$J$18,MATCH(TKB_Nhap!H47,PhanCong!$A$3:$A$18,0),MATCH($A47,PhanCong!$B$2:$J$2,0)))="","(chưa PC GV)","GV: "&amp;INDEX(PhanCong!$B$3:$J$18,MATCH(TKB_Nhap!H47,PhanCong!$A$3:$A$18,0),MATCH($A47,PhanCong!$B$2:$J$2,0))))</f>
        <v/>
      </c>
      <c r="I47" s="38">
        <f>IF(TKB_Nhap!I47="","",TKB_Nhap!I47&amp;CHAR(10)&amp;IF(T(INDEX(PhanCong!$B$3:$J$18,MATCH(TKB_Nhap!I47,PhanCong!$A$3:$A$18,0),MATCH($A47,PhanCong!$B$2:$J$2,0)))="","(chưa PC GV)","GV: "&amp;INDEX(PhanCong!$B$3:$J$18,MATCH(TKB_Nhap!I47,PhanCong!$A$3:$A$18,0),MATCH($A47,PhanCong!$B$2:$J$2,0))))</f>
        <v/>
      </c>
      <c r="J47" s="38">
        <f>IF(TKB_Nhap!J47="","",TKB_Nhap!J47&amp;CHAR(10)&amp;IF(T(INDEX(PhanCong!$B$3:$J$18,MATCH(TKB_Nhap!J47,PhanCong!$A$3:$A$18,0),MATCH($A47,PhanCong!$B$2:$J$2,0)))="","(chưa PC GV)","GV: "&amp;INDEX(PhanCong!$B$3:$J$18,MATCH(TKB_Nhap!J47,PhanCong!$A$3:$A$18,0),MATCH($A47,PhanCong!$B$2:$J$2,0))))</f>
        <v/>
      </c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IF(TKB_Nhap!D48="","",TKB_Nhap!D48&amp;CHAR(10)&amp;IF(T(INDEX(PhanCong!$B$3:$J$18,MATCH(TKB_Nhap!D48,PhanCong!$A$3:$A$18,0),MATCH($A48,PhanCong!$B$2:$J$2,0)))="","(chưa PC GV)","GV: "&amp;INDEX(PhanCong!$B$3:$J$18,MATCH(TKB_Nhap!D48,PhanCong!$A$3:$A$18,0),MATCH($A48,PhanCong!$B$2:$J$2,0))))</f>
        <v/>
      </c>
      <c r="E48" s="38">
        <f>IF(TKB_Nhap!E48="","",TKB_Nhap!E48&amp;CHAR(10)&amp;IF(T(INDEX(PhanCong!$B$3:$J$18,MATCH(TKB_Nhap!E48,PhanCong!$A$3:$A$18,0),MATCH($A48,PhanCong!$B$2:$J$2,0)))="","(chưa PC GV)","GV: "&amp;INDEX(PhanCong!$B$3:$J$18,MATCH(TKB_Nhap!E48,PhanCong!$A$3:$A$18,0),MATCH($A48,PhanCong!$B$2:$J$2,0))))</f>
        <v/>
      </c>
      <c r="F48" s="38">
        <f>IF(TKB_Nhap!F48="","",TKB_Nhap!F48&amp;CHAR(10)&amp;IF(T(INDEX(PhanCong!$B$3:$J$18,MATCH(TKB_Nhap!F48,PhanCong!$A$3:$A$18,0),MATCH($A48,PhanCong!$B$2:$J$2,0)))="","(chưa PC GV)","GV: "&amp;INDEX(PhanCong!$B$3:$J$18,MATCH(TKB_Nhap!F48,PhanCong!$A$3:$A$18,0),MATCH($A48,PhanCong!$B$2:$J$2,0))))</f>
        <v/>
      </c>
      <c r="G48" s="38">
        <f>IF(TKB_Nhap!G48="","",TKB_Nhap!G48&amp;CHAR(10)&amp;IF(T(INDEX(PhanCong!$B$3:$J$18,MATCH(TKB_Nhap!G48,PhanCong!$A$3:$A$18,0),MATCH($A48,PhanCong!$B$2:$J$2,0)))="","(chưa PC GV)","GV: "&amp;INDEX(PhanCong!$B$3:$J$18,MATCH(TKB_Nhap!G48,PhanCong!$A$3:$A$18,0),MATCH($A48,PhanCong!$B$2:$J$2,0))))</f>
        <v/>
      </c>
      <c r="H48" s="38">
        <f>IF(TKB_Nhap!H48="","",TKB_Nhap!H48&amp;CHAR(10)&amp;IF(T(INDEX(PhanCong!$B$3:$J$18,MATCH(TKB_Nhap!H48,PhanCong!$A$3:$A$18,0),MATCH($A48,PhanCong!$B$2:$J$2,0)))="","(chưa PC GV)","GV: "&amp;INDEX(PhanCong!$B$3:$J$18,MATCH(TKB_Nhap!H48,PhanCong!$A$3:$A$18,0),MATCH($A48,PhanCong!$B$2:$J$2,0))))</f>
        <v/>
      </c>
      <c r="I48" s="38">
        <f>IF(TKB_Nhap!I48="","",TKB_Nhap!I48&amp;CHAR(10)&amp;IF(T(INDEX(PhanCong!$B$3:$J$18,MATCH(TKB_Nhap!I48,PhanCong!$A$3:$A$18,0),MATCH($A48,PhanCong!$B$2:$J$2,0)))="","(chưa PC GV)","GV: "&amp;INDEX(PhanCong!$B$3:$J$18,MATCH(TKB_Nhap!I48,PhanCong!$A$3:$A$18,0),MATCH($A48,PhanCong!$B$2:$J$2,0))))</f>
        <v/>
      </c>
      <c r="J48" s="38">
        <f>IF(TKB_Nhap!J48="","",TKB_Nhap!J48&amp;CHAR(10)&amp;IF(T(INDEX(PhanCong!$B$3:$J$18,MATCH(TKB_Nhap!J48,PhanCong!$A$3:$A$18,0),MATCH($A48,PhanCong!$B$2:$J$2,0)))="","(chưa PC GV)","GV: "&amp;INDEX(PhanCong!$B$3:$J$18,MATCH(TKB_Nhap!J48,PhanCong!$A$3:$A$18,0),MATCH($A48,PhanCong!$B$2:$J$2,0))))</f>
        <v/>
      </c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IF(TKB_Nhap!D49="","",TKB_Nhap!D49&amp;CHAR(10)&amp;IF(T(INDEX(PhanCong!$B$3:$J$18,MATCH(TKB_Nhap!D49,PhanCong!$A$3:$A$18,0),MATCH($A49,PhanCong!$B$2:$J$2,0)))="","(chưa PC GV)","GV: "&amp;INDEX(PhanCong!$B$3:$J$18,MATCH(TKB_Nhap!D49,PhanCong!$A$3:$A$18,0),MATCH($A49,PhanCong!$B$2:$J$2,0))))</f>
        <v/>
      </c>
      <c r="E49" s="38">
        <f>IF(TKB_Nhap!E49="","",TKB_Nhap!E49&amp;CHAR(10)&amp;IF(T(INDEX(PhanCong!$B$3:$J$18,MATCH(TKB_Nhap!E49,PhanCong!$A$3:$A$18,0),MATCH($A49,PhanCong!$B$2:$J$2,0)))="","(chưa PC GV)","GV: "&amp;INDEX(PhanCong!$B$3:$J$18,MATCH(TKB_Nhap!E49,PhanCong!$A$3:$A$18,0),MATCH($A49,PhanCong!$B$2:$J$2,0))))</f>
        <v/>
      </c>
      <c r="F49" s="38">
        <f>IF(TKB_Nhap!F49="","",TKB_Nhap!F49&amp;CHAR(10)&amp;IF(T(INDEX(PhanCong!$B$3:$J$18,MATCH(TKB_Nhap!F49,PhanCong!$A$3:$A$18,0),MATCH($A49,PhanCong!$B$2:$J$2,0)))="","(chưa PC GV)","GV: "&amp;INDEX(PhanCong!$B$3:$J$18,MATCH(TKB_Nhap!F49,PhanCong!$A$3:$A$18,0),MATCH($A49,PhanCong!$B$2:$J$2,0))))</f>
        <v/>
      </c>
      <c r="G49" s="38">
        <f>IF(TKB_Nhap!G49="","",TKB_Nhap!G49&amp;CHAR(10)&amp;IF(T(INDEX(PhanCong!$B$3:$J$18,MATCH(TKB_Nhap!G49,PhanCong!$A$3:$A$18,0),MATCH($A49,PhanCong!$B$2:$J$2,0)))="","(chưa PC GV)","GV: "&amp;INDEX(PhanCong!$B$3:$J$18,MATCH(TKB_Nhap!G49,PhanCong!$A$3:$A$18,0),MATCH($A49,PhanCong!$B$2:$J$2,0))))</f>
        <v/>
      </c>
      <c r="H49" s="38">
        <f>IF(TKB_Nhap!H49="","",TKB_Nhap!H49&amp;CHAR(10)&amp;IF(T(INDEX(PhanCong!$B$3:$J$18,MATCH(TKB_Nhap!H49,PhanCong!$A$3:$A$18,0),MATCH($A49,PhanCong!$B$2:$J$2,0)))="","(chưa PC GV)","GV: "&amp;INDEX(PhanCong!$B$3:$J$18,MATCH(TKB_Nhap!H49,PhanCong!$A$3:$A$18,0),MATCH($A49,PhanCong!$B$2:$J$2,0))))</f>
        <v/>
      </c>
      <c r="I49" s="38">
        <f>IF(TKB_Nhap!I49="","",TKB_Nhap!I49&amp;CHAR(10)&amp;IF(T(INDEX(PhanCong!$B$3:$J$18,MATCH(TKB_Nhap!I49,PhanCong!$A$3:$A$18,0),MATCH($A49,PhanCong!$B$2:$J$2,0)))="","(chưa PC GV)","GV: "&amp;INDEX(PhanCong!$B$3:$J$18,MATCH(TKB_Nhap!I49,PhanCong!$A$3:$A$18,0),MATCH($A49,PhanCong!$B$2:$J$2,0))))</f>
        <v/>
      </c>
      <c r="J49" s="38">
        <f>IF(TKB_Nhap!J49="","",TKB_Nhap!J49&amp;CHAR(10)&amp;IF(T(INDEX(PhanCong!$B$3:$J$18,MATCH(TKB_Nhap!J49,PhanCong!$A$3:$A$18,0),MATCH($A49,PhanCong!$B$2:$J$2,0)))="","(chưa PC GV)","GV: "&amp;INDEX(PhanCong!$B$3:$J$18,MATCH(TKB_Nhap!J49,PhanCong!$A$3:$A$18,0),MATCH($A49,PhanCong!$B$2:$J$2,0))))</f>
        <v/>
      </c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IF(TKB_Nhap!D50="","",TKB_Nhap!D50&amp;CHAR(10)&amp;IF(T(INDEX(PhanCong!$B$3:$J$18,MATCH(TKB_Nhap!D50,PhanCong!$A$3:$A$18,0),MATCH($A50,PhanCong!$B$2:$J$2,0)))="","(chưa PC GV)","GV: "&amp;INDEX(PhanCong!$B$3:$J$18,MATCH(TKB_Nhap!D50,PhanCong!$A$3:$A$18,0),MATCH($A50,PhanCong!$B$2:$J$2,0))))</f>
        <v/>
      </c>
      <c r="E50" s="26">
        <f>IF(TKB_Nhap!E50="","",TKB_Nhap!E50&amp;CHAR(10)&amp;IF(T(INDEX(PhanCong!$B$3:$J$18,MATCH(TKB_Nhap!E50,PhanCong!$A$3:$A$18,0),MATCH($A50,PhanCong!$B$2:$J$2,0)))="","(chưa PC GV)","GV: "&amp;INDEX(PhanCong!$B$3:$J$18,MATCH(TKB_Nhap!E50,PhanCong!$A$3:$A$18,0),MATCH($A50,PhanCong!$B$2:$J$2,0))))</f>
        <v/>
      </c>
      <c r="F50" s="26">
        <f>IF(TKB_Nhap!F50="","",TKB_Nhap!F50&amp;CHAR(10)&amp;IF(T(INDEX(PhanCong!$B$3:$J$18,MATCH(TKB_Nhap!F50,PhanCong!$A$3:$A$18,0),MATCH($A50,PhanCong!$B$2:$J$2,0)))="","(chưa PC GV)","GV: "&amp;INDEX(PhanCong!$B$3:$J$18,MATCH(TKB_Nhap!F50,PhanCong!$A$3:$A$18,0),MATCH($A50,PhanCong!$B$2:$J$2,0))))</f>
        <v/>
      </c>
      <c r="G50" s="26">
        <f>IF(TKB_Nhap!G50="","",TKB_Nhap!G50&amp;CHAR(10)&amp;IF(T(INDEX(PhanCong!$B$3:$J$18,MATCH(TKB_Nhap!G50,PhanCong!$A$3:$A$18,0),MATCH($A50,PhanCong!$B$2:$J$2,0)))="","(chưa PC GV)","GV: "&amp;INDEX(PhanCong!$B$3:$J$18,MATCH(TKB_Nhap!G50,PhanCong!$A$3:$A$18,0),MATCH($A50,PhanCong!$B$2:$J$2,0))))</f>
        <v/>
      </c>
      <c r="H50" s="26">
        <f>IF(TKB_Nhap!H50="","",TKB_Nhap!H50&amp;CHAR(10)&amp;IF(T(INDEX(PhanCong!$B$3:$J$18,MATCH(TKB_Nhap!H50,PhanCong!$A$3:$A$18,0),MATCH($A50,PhanCong!$B$2:$J$2,0)))="","(chưa PC GV)","GV: "&amp;INDEX(PhanCong!$B$3:$J$18,MATCH(TKB_Nhap!H50,PhanCong!$A$3:$A$18,0),MATCH($A50,PhanCong!$B$2:$J$2,0))))</f>
        <v/>
      </c>
      <c r="I50" s="26">
        <f>IF(TKB_Nhap!I50="","",TKB_Nhap!I50&amp;CHAR(10)&amp;IF(T(INDEX(PhanCong!$B$3:$J$18,MATCH(TKB_Nhap!I50,PhanCong!$A$3:$A$18,0),MATCH($A50,PhanCong!$B$2:$J$2,0)))="","(chưa PC GV)","GV: "&amp;INDEX(PhanCong!$B$3:$J$18,MATCH(TKB_Nhap!I50,PhanCong!$A$3:$A$18,0),MATCH($A50,PhanCong!$B$2:$J$2,0))))</f>
        <v/>
      </c>
      <c r="J50" s="26">
        <f>IF(TKB_Nhap!J50="","",TKB_Nhap!J50&amp;CHAR(10)&amp;IF(T(INDEX(PhanCong!$B$3:$J$18,MATCH(TKB_Nhap!J50,PhanCong!$A$3:$A$18,0),MATCH($A50,PhanCong!$B$2:$J$2,0)))="","(chưa PC GV)","GV: "&amp;INDEX(PhanCong!$B$3:$J$18,MATCH(TKB_Nhap!J50,PhanCong!$A$3:$A$18,0),MATCH($A50,PhanCong!$B$2:$J$2,0))))</f>
        <v/>
      </c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IF(TKB_Nhap!D51="","",TKB_Nhap!D51&amp;CHAR(10)&amp;IF(T(INDEX(PhanCong!$B$3:$J$18,MATCH(TKB_Nhap!D51,PhanCong!$A$3:$A$18,0),MATCH($A51,PhanCong!$B$2:$J$2,0)))="","(chưa PC GV)","GV: "&amp;INDEX(PhanCong!$B$3:$J$18,MATCH(TKB_Nhap!D51,PhanCong!$A$3:$A$18,0),MATCH($A51,PhanCong!$B$2:$J$2,0))))</f>
        <v/>
      </c>
      <c r="E51" s="26">
        <f>IF(TKB_Nhap!E51="","",TKB_Nhap!E51&amp;CHAR(10)&amp;IF(T(INDEX(PhanCong!$B$3:$J$18,MATCH(TKB_Nhap!E51,PhanCong!$A$3:$A$18,0),MATCH($A51,PhanCong!$B$2:$J$2,0)))="","(chưa PC GV)","GV: "&amp;INDEX(PhanCong!$B$3:$J$18,MATCH(TKB_Nhap!E51,PhanCong!$A$3:$A$18,0),MATCH($A51,PhanCong!$B$2:$J$2,0))))</f>
        <v/>
      </c>
      <c r="F51" s="26">
        <f>IF(TKB_Nhap!F51="","",TKB_Nhap!F51&amp;CHAR(10)&amp;IF(T(INDEX(PhanCong!$B$3:$J$18,MATCH(TKB_Nhap!F51,PhanCong!$A$3:$A$18,0),MATCH($A51,PhanCong!$B$2:$J$2,0)))="","(chưa PC GV)","GV: "&amp;INDEX(PhanCong!$B$3:$J$18,MATCH(TKB_Nhap!F51,PhanCong!$A$3:$A$18,0),MATCH($A51,PhanCong!$B$2:$J$2,0))))</f>
        <v/>
      </c>
      <c r="G51" s="26">
        <f>IF(TKB_Nhap!G51="","",TKB_Nhap!G51&amp;CHAR(10)&amp;IF(T(INDEX(PhanCong!$B$3:$J$18,MATCH(TKB_Nhap!G51,PhanCong!$A$3:$A$18,0),MATCH($A51,PhanCong!$B$2:$J$2,0)))="","(chưa PC GV)","GV: "&amp;INDEX(PhanCong!$B$3:$J$18,MATCH(TKB_Nhap!G51,PhanCong!$A$3:$A$18,0),MATCH($A51,PhanCong!$B$2:$J$2,0))))</f>
        <v/>
      </c>
      <c r="H51" s="26">
        <f>IF(TKB_Nhap!H51="","",TKB_Nhap!H51&amp;CHAR(10)&amp;IF(T(INDEX(PhanCong!$B$3:$J$18,MATCH(TKB_Nhap!H51,PhanCong!$A$3:$A$18,0),MATCH($A51,PhanCong!$B$2:$J$2,0)))="","(chưa PC GV)","GV: "&amp;INDEX(PhanCong!$B$3:$J$18,MATCH(TKB_Nhap!H51,PhanCong!$A$3:$A$18,0),MATCH($A51,PhanCong!$B$2:$J$2,0))))</f>
        <v/>
      </c>
      <c r="I51" s="26">
        <f>IF(TKB_Nhap!I51="","",TKB_Nhap!I51&amp;CHAR(10)&amp;IF(T(INDEX(PhanCong!$B$3:$J$18,MATCH(TKB_Nhap!I51,PhanCong!$A$3:$A$18,0),MATCH($A51,PhanCong!$B$2:$J$2,0)))="","(chưa PC GV)","GV: "&amp;INDEX(PhanCong!$B$3:$J$18,MATCH(TKB_Nhap!I51,PhanCong!$A$3:$A$18,0),MATCH($A51,PhanCong!$B$2:$J$2,0))))</f>
        <v/>
      </c>
      <c r="J51" s="26">
        <f>IF(TKB_Nhap!J51="","",TKB_Nhap!J51&amp;CHAR(10)&amp;IF(T(INDEX(PhanCong!$B$3:$J$18,MATCH(TKB_Nhap!J51,PhanCong!$A$3:$A$18,0),MATCH($A51,PhanCong!$B$2:$J$2,0)))="","(chưa PC GV)","GV: "&amp;INDEX(PhanCong!$B$3:$J$18,MATCH(TKB_Nhap!J51,PhanCong!$A$3:$A$18,0),MATCH($A51,PhanCong!$B$2:$J$2,0))))</f>
        <v/>
      </c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IF(TKB_Nhap!D52="","",TKB_Nhap!D52&amp;CHAR(10)&amp;IF(T(INDEX(PhanCong!$B$3:$J$18,MATCH(TKB_Nhap!D52,PhanCong!$A$3:$A$18,0),MATCH($A52,PhanCong!$B$2:$J$2,0)))="","(chưa PC GV)","GV: "&amp;INDEX(PhanCong!$B$3:$J$18,MATCH(TKB_Nhap!D52,PhanCong!$A$3:$A$18,0),MATCH($A52,PhanCong!$B$2:$J$2,0))))</f>
        <v/>
      </c>
      <c r="E52" s="26">
        <f>IF(TKB_Nhap!E52="","",TKB_Nhap!E52&amp;CHAR(10)&amp;IF(T(INDEX(PhanCong!$B$3:$J$18,MATCH(TKB_Nhap!E52,PhanCong!$A$3:$A$18,0),MATCH($A52,PhanCong!$B$2:$J$2,0)))="","(chưa PC GV)","GV: "&amp;INDEX(PhanCong!$B$3:$J$18,MATCH(TKB_Nhap!E52,PhanCong!$A$3:$A$18,0),MATCH($A52,PhanCong!$B$2:$J$2,0))))</f>
        <v/>
      </c>
      <c r="F52" s="26">
        <f>IF(TKB_Nhap!F52="","",TKB_Nhap!F52&amp;CHAR(10)&amp;IF(T(INDEX(PhanCong!$B$3:$J$18,MATCH(TKB_Nhap!F52,PhanCong!$A$3:$A$18,0),MATCH($A52,PhanCong!$B$2:$J$2,0)))="","(chưa PC GV)","GV: "&amp;INDEX(PhanCong!$B$3:$J$18,MATCH(TKB_Nhap!F52,PhanCong!$A$3:$A$18,0),MATCH($A52,PhanCong!$B$2:$J$2,0))))</f>
        <v/>
      </c>
      <c r="G52" s="26">
        <f>IF(TKB_Nhap!G52="","",TKB_Nhap!G52&amp;CHAR(10)&amp;IF(T(INDEX(PhanCong!$B$3:$J$18,MATCH(TKB_Nhap!G52,PhanCong!$A$3:$A$18,0),MATCH($A52,PhanCong!$B$2:$J$2,0)))="","(chưa PC GV)","GV: "&amp;INDEX(PhanCong!$B$3:$J$18,MATCH(TKB_Nhap!G52,PhanCong!$A$3:$A$18,0),MATCH($A52,PhanCong!$B$2:$J$2,0))))</f>
        <v/>
      </c>
      <c r="H52" s="26">
        <f>IF(TKB_Nhap!H52="","",TKB_Nhap!H52&amp;CHAR(10)&amp;IF(T(INDEX(PhanCong!$B$3:$J$18,MATCH(TKB_Nhap!H52,PhanCong!$A$3:$A$18,0),MATCH($A52,PhanCong!$B$2:$J$2,0)))="","(chưa PC GV)","GV: "&amp;INDEX(PhanCong!$B$3:$J$18,MATCH(TKB_Nhap!H52,PhanCong!$A$3:$A$18,0),MATCH($A52,PhanCong!$B$2:$J$2,0))))</f>
        <v/>
      </c>
      <c r="I52" s="26">
        <f>IF(TKB_Nhap!I52="","",TKB_Nhap!I52&amp;CHAR(10)&amp;IF(T(INDEX(PhanCong!$B$3:$J$18,MATCH(TKB_Nhap!I52,PhanCong!$A$3:$A$18,0),MATCH($A52,PhanCong!$B$2:$J$2,0)))="","(chưa PC GV)","GV: "&amp;INDEX(PhanCong!$B$3:$J$18,MATCH(TKB_Nhap!I52,PhanCong!$A$3:$A$18,0),MATCH($A52,PhanCong!$B$2:$J$2,0))))</f>
        <v/>
      </c>
      <c r="J52" s="26">
        <f>IF(TKB_Nhap!J52="","",TKB_Nhap!J52&amp;CHAR(10)&amp;IF(T(INDEX(PhanCong!$B$3:$J$18,MATCH(TKB_Nhap!J52,PhanCong!$A$3:$A$18,0),MATCH($A52,PhanCong!$B$2:$J$2,0)))="","(chưa PC GV)","GV: "&amp;INDEX(PhanCong!$B$3:$J$18,MATCH(TKB_Nhap!J52,PhanCong!$A$3:$A$18,0),MATCH($A52,PhanCong!$B$2:$J$2,0))))</f>
        <v/>
      </c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IF(TKB_Nhap!D53="","",TKB_Nhap!D53&amp;CHAR(10)&amp;IF(T(INDEX(PhanCong!$B$3:$J$18,MATCH(TKB_Nhap!D53,PhanCong!$A$3:$A$18,0),MATCH($A53,PhanCong!$B$2:$J$2,0)))="","(chưa PC GV)","GV: "&amp;INDEX(PhanCong!$B$3:$J$18,MATCH(TKB_Nhap!D53,PhanCong!$A$3:$A$18,0),MATCH($A53,PhanCong!$B$2:$J$2,0))))</f>
        <v/>
      </c>
      <c r="E53" s="26">
        <f>IF(TKB_Nhap!E53="","",TKB_Nhap!E53&amp;CHAR(10)&amp;IF(T(INDEX(PhanCong!$B$3:$J$18,MATCH(TKB_Nhap!E53,PhanCong!$A$3:$A$18,0),MATCH($A53,PhanCong!$B$2:$J$2,0)))="","(chưa PC GV)","GV: "&amp;INDEX(PhanCong!$B$3:$J$18,MATCH(TKB_Nhap!E53,PhanCong!$A$3:$A$18,0),MATCH($A53,PhanCong!$B$2:$J$2,0))))</f>
        <v/>
      </c>
      <c r="F53" s="26">
        <f>IF(TKB_Nhap!F53="","",TKB_Nhap!F53&amp;CHAR(10)&amp;IF(T(INDEX(PhanCong!$B$3:$J$18,MATCH(TKB_Nhap!F53,PhanCong!$A$3:$A$18,0),MATCH($A53,PhanCong!$B$2:$J$2,0)))="","(chưa PC GV)","GV: "&amp;INDEX(PhanCong!$B$3:$J$18,MATCH(TKB_Nhap!F53,PhanCong!$A$3:$A$18,0),MATCH($A53,PhanCong!$B$2:$J$2,0))))</f>
        <v/>
      </c>
      <c r="G53" s="26">
        <f>IF(TKB_Nhap!G53="","",TKB_Nhap!G53&amp;CHAR(10)&amp;IF(T(INDEX(PhanCong!$B$3:$J$18,MATCH(TKB_Nhap!G53,PhanCong!$A$3:$A$18,0),MATCH($A53,PhanCong!$B$2:$J$2,0)))="","(chưa PC GV)","GV: "&amp;INDEX(PhanCong!$B$3:$J$18,MATCH(TKB_Nhap!G53,PhanCong!$A$3:$A$18,0),MATCH($A53,PhanCong!$B$2:$J$2,0))))</f>
        <v/>
      </c>
      <c r="H53" s="26">
        <f>IF(TKB_Nhap!H53="","",TKB_Nhap!H53&amp;CHAR(10)&amp;IF(T(INDEX(PhanCong!$B$3:$J$18,MATCH(TKB_Nhap!H53,PhanCong!$A$3:$A$18,0),MATCH($A53,PhanCong!$B$2:$J$2,0)))="","(chưa PC GV)","GV: "&amp;INDEX(PhanCong!$B$3:$J$18,MATCH(TKB_Nhap!H53,PhanCong!$A$3:$A$18,0),MATCH($A53,PhanCong!$B$2:$J$2,0))))</f>
        <v/>
      </c>
      <c r="I53" s="26">
        <f>IF(TKB_Nhap!I53="","",TKB_Nhap!I53&amp;CHAR(10)&amp;IF(T(INDEX(PhanCong!$B$3:$J$18,MATCH(TKB_Nhap!I53,PhanCong!$A$3:$A$18,0),MATCH($A53,PhanCong!$B$2:$J$2,0)))="","(chưa PC GV)","GV: "&amp;INDEX(PhanCong!$B$3:$J$18,MATCH(TKB_Nhap!I53,PhanCong!$A$3:$A$18,0),MATCH($A53,PhanCong!$B$2:$J$2,0))))</f>
        <v/>
      </c>
      <c r="J53" s="26">
        <f>IF(TKB_Nhap!J53="","",TKB_Nhap!J53&amp;CHAR(10)&amp;IF(T(INDEX(PhanCong!$B$3:$J$18,MATCH(TKB_Nhap!J53,PhanCong!$A$3:$A$18,0),MATCH($A53,PhanCong!$B$2:$J$2,0)))="","(chưa PC GV)","GV: "&amp;INDEX(PhanCong!$B$3:$J$18,MATCH(TKB_Nhap!J53,PhanCong!$A$3:$A$18,0),MATCH($A53,PhanCong!$B$2:$J$2,0))))</f>
        <v/>
      </c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IF(TKB_Nhap!D54="","",TKB_Nhap!D54&amp;CHAR(10)&amp;IF(T(INDEX(PhanCong!$B$3:$J$18,MATCH(TKB_Nhap!D54,PhanCong!$A$3:$A$18,0),MATCH($A54,PhanCong!$B$2:$J$2,0)))="","(chưa PC GV)","GV: "&amp;INDEX(PhanCong!$B$3:$J$18,MATCH(TKB_Nhap!D54,PhanCong!$A$3:$A$18,0),MATCH($A54,PhanCong!$B$2:$J$2,0))))</f>
        <v/>
      </c>
      <c r="E54" s="26">
        <f>IF(TKB_Nhap!E54="","",TKB_Nhap!E54&amp;CHAR(10)&amp;IF(T(INDEX(PhanCong!$B$3:$J$18,MATCH(TKB_Nhap!E54,PhanCong!$A$3:$A$18,0),MATCH($A54,PhanCong!$B$2:$J$2,0)))="","(chưa PC GV)","GV: "&amp;INDEX(PhanCong!$B$3:$J$18,MATCH(TKB_Nhap!E54,PhanCong!$A$3:$A$18,0),MATCH($A54,PhanCong!$B$2:$J$2,0))))</f>
        <v/>
      </c>
      <c r="F54" s="26">
        <f>IF(TKB_Nhap!F54="","",TKB_Nhap!F54&amp;CHAR(10)&amp;IF(T(INDEX(PhanCong!$B$3:$J$18,MATCH(TKB_Nhap!F54,PhanCong!$A$3:$A$18,0),MATCH($A54,PhanCong!$B$2:$J$2,0)))="","(chưa PC GV)","GV: "&amp;INDEX(PhanCong!$B$3:$J$18,MATCH(TKB_Nhap!F54,PhanCong!$A$3:$A$18,0),MATCH($A54,PhanCong!$B$2:$J$2,0))))</f>
        <v/>
      </c>
      <c r="G54" s="26">
        <f>IF(TKB_Nhap!G54="","",TKB_Nhap!G54&amp;CHAR(10)&amp;IF(T(INDEX(PhanCong!$B$3:$J$18,MATCH(TKB_Nhap!G54,PhanCong!$A$3:$A$18,0),MATCH($A54,PhanCong!$B$2:$J$2,0)))="","(chưa PC GV)","GV: "&amp;INDEX(PhanCong!$B$3:$J$18,MATCH(TKB_Nhap!G54,PhanCong!$A$3:$A$18,0),MATCH($A54,PhanCong!$B$2:$J$2,0))))</f>
        <v/>
      </c>
      <c r="H54" s="26">
        <f>IF(TKB_Nhap!H54="","",TKB_Nhap!H54&amp;CHAR(10)&amp;IF(T(INDEX(PhanCong!$B$3:$J$18,MATCH(TKB_Nhap!H54,PhanCong!$A$3:$A$18,0),MATCH($A54,PhanCong!$B$2:$J$2,0)))="","(chưa PC GV)","GV: "&amp;INDEX(PhanCong!$B$3:$J$18,MATCH(TKB_Nhap!H54,PhanCong!$A$3:$A$18,0),MATCH($A54,PhanCong!$B$2:$J$2,0))))</f>
        <v/>
      </c>
      <c r="I54" s="26">
        <f>IF(TKB_Nhap!I54="","",TKB_Nhap!I54&amp;CHAR(10)&amp;IF(T(INDEX(PhanCong!$B$3:$J$18,MATCH(TKB_Nhap!I54,PhanCong!$A$3:$A$18,0),MATCH($A54,PhanCong!$B$2:$J$2,0)))="","(chưa PC GV)","GV: "&amp;INDEX(PhanCong!$B$3:$J$18,MATCH(TKB_Nhap!I54,PhanCong!$A$3:$A$18,0),MATCH($A54,PhanCong!$B$2:$J$2,0))))</f>
        <v/>
      </c>
      <c r="J54" s="26">
        <f>IF(TKB_Nhap!J54="","",TKB_Nhap!J54&amp;CHAR(10)&amp;IF(T(INDEX(PhanCong!$B$3:$J$18,MATCH(TKB_Nhap!J54,PhanCong!$A$3:$A$18,0),MATCH($A54,PhanCong!$B$2:$J$2,0)))="","(chưa PC GV)","GV: "&amp;INDEX(PhanCong!$B$3:$J$18,MATCH(TKB_Nhap!J54,PhanCong!$A$3:$A$18,0),MATCH($A54,PhanCong!$B$2:$J$2,0))))</f>
        <v/>
      </c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IF(TKB_Nhap!D55="","",TKB_Nhap!D55&amp;CHAR(10)&amp;IF(T(INDEX(PhanCong!$B$3:$J$18,MATCH(TKB_Nhap!D55,PhanCong!$A$3:$A$18,0),MATCH($A55,PhanCong!$B$2:$J$2,0)))="","(chưa PC GV)","GV: "&amp;INDEX(PhanCong!$B$3:$J$18,MATCH(TKB_Nhap!D55,PhanCong!$A$3:$A$18,0),MATCH($A55,PhanCong!$B$2:$J$2,0))))</f>
        <v/>
      </c>
      <c r="E55" s="26">
        <f>IF(TKB_Nhap!E55="","",TKB_Nhap!E55&amp;CHAR(10)&amp;IF(T(INDEX(PhanCong!$B$3:$J$18,MATCH(TKB_Nhap!E55,PhanCong!$A$3:$A$18,0),MATCH($A55,PhanCong!$B$2:$J$2,0)))="","(chưa PC GV)","GV: "&amp;INDEX(PhanCong!$B$3:$J$18,MATCH(TKB_Nhap!E55,PhanCong!$A$3:$A$18,0),MATCH($A55,PhanCong!$B$2:$J$2,0))))</f>
        <v/>
      </c>
      <c r="F55" s="26">
        <f>IF(TKB_Nhap!F55="","",TKB_Nhap!F55&amp;CHAR(10)&amp;IF(T(INDEX(PhanCong!$B$3:$J$18,MATCH(TKB_Nhap!F55,PhanCong!$A$3:$A$18,0),MATCH($A55,PhanCong!$B$2:$J$2,0)))="","(chưa PC GV)","GV: "&amp;INDEX(PhanCong!$B$3:$J$18,MATCH(TKB_Nhap!F55,PhanCong!$A$3:$A$18,0),MATCH($A55,PhanCong!$B$2:$J$2,0))))</f>
        <v/>
      </c>
      <c r="G55" s="26">
        <f>IF(TKB_Nhap!G55="","",TKB_Nhap!G55&amp;CHAR(10)&amp;IF(T(INDEX(PhanCong!$B$3:$J$18,MATCH(TKB_Nhap!G55,PhanCong!$A$3:$A$18,0),MATCH($A55,PhanCong!$B$2:$J$2,0)))="","(chưa PC GV)","GV: "&amp;INDEX(PhanCong!$B$3:$J$18,MATCH(TKB_Nhap!G55,PhanCong!$A$3:$A$18,0),MATCH($A55,PhanCong!$B$2:$J$2,0))))</f>
        <v/>
      </c>
      <c r="H55" s="26">
        <f>IF(TKB_Nhap!H55="","",TKB_Nhap!H55&amp;CHAR(10)&amp;IF(T(INDEX(PhanCong!$B$3:$J$18,MATCH(TKB_Nhap!H55,PhanCong!$A$3:$A$18,0),MATCH($A55,PhanCong!$B$2:$J$2,0)))="","(chưa PC GV)","GV: "&amp;INDEX(PhanCong!$B$3:$J$18,MATCH(TKB_Nhap!H55,PhanCong!$A$3:$A$18,0),MATCH($A55,PhanCong!$B$2:$J$2,0))))</f>
        <v/>
      </c>
      <c r="I55" s="26">
        <f>IF(TKB_Nhap!I55="","",TKB_Nhap!I55&amp;CHAR(10)&amp;IF(T(INDEX(PhanCong!$B$3:$J$18,MATCH(TKB_Nhap!I55,PhanCong!$A$3:$A$18,0),MATCH($A55,PhanCong!$B$2:$J$2,0)))="","(chưa PC GV)","GV: "&amp;INDEX(PhanCong!$B$3:$J$18,MATCH(TKB_Nhap!I55,PhanCong!$A$3:$A$18,0),MATCH($A55,PhanCong!$B$2:$J$2,0))))</f>
        <v/>
      </c>
      <c r="J55" s="26">
        <f>IF(TKB_Nhap!J55="","",TKB_Nhap!J55&amp;CHAR(10)&amp;IF(T(INDEX(PhanCong!$B$3:$J$18,MATCH(TKB_Nhap!J55,PhanCong!$A$3:$A$18,0),MATCH($A55,PhanCong!$B$2:$J$2,0)))="","(chưa PC GV)","GV: "&amp;INDEX(PhanCong!$B$3:$J$18,MATCH(TKB_Nhap!J55,PhanCong!$A$3:$A$18,0),MATCH($A55,PhanCong!$B$2:$J$2,0))))</f>
        <v/>
      </c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IF(TKB_Nhap!D56="","",TKB_Nhap!D56&amp;CHAR(10)&amp;IF(T(INDEX(PhanCong!$B$3:$J$18,MATCH(TKB_Nhap!D56,PhanCong!$A$3:$A$18,0),MATCH($A56,PhanCong!$B$2:$J$2,0)))="","(chưa PC GV)","GV: "&amp;INDEX(PhanCong!$B$3:$J$18,MATCH(TKB_Nhap!D56,PhanCong!$A$3:$A$18,0),MATCH($A56,PhanCong!$B$2:$J$2,0))))</f>
        <v/>
      </c>
      <c r="E56" s="26">
        <f>IF(TKB_Nhap!E56="","",TKB_Nhap!E56&amp;CHAR(10)&amp;IF(T(INDEX(PhanCong!$B$3:$J$18,MATCH(TKB_Nhap!E56,PhanCong!$A$3:$A$18,0),MATCH($A56,PhanCong!$B$2:$J$2,0)))="","(chưa PC GV)","GV: "&amp;INDEX(PhanCong!$B$3:$J$18,MATCH(TKB_Nhap!E56,PhanCong!$A$3:$A$18,0),MATCH($A56,PhanCong!$B$2:$J$2,0))))</f>
        <v/>
      </c>
      <c r="F56" s="26">
        <f>IF(TKB_Nhap!F56="","",TKB_Nhap!F56&amp;CHAR(10)&amp;IF(T(INDEX(PhanCong!$B$3:$J$18,MATCH(TKB_Nhap!F56,PhanCong!$A$3:$A$18,0),MATCH($A56,PhanCong!$B$2:$J$2,0)))="","(chưa PC GV)","GV: "&amp;INDEX(PhanCong!$B$3:$J$18,MATCH(TKB_Nhap!F56,PhanCong!$A$3:$A$18,0),MATCH($A56,PhanCong!$B$2:$J$2,0))))</f>
        <v/>
      </c>
      <c r="G56" s="26">
        <f>IF(TKB_Nhap!G56="","",TKB_Nhap!G56&amp;CHAR(10)&amp;IF(T(INDEX(PhanCong!$B$3:$J$18,MATCH(TKB_Nhap!G56,PhanCong!$A$3:$A$18,0),MATCH($A56,PhanCong!$B$2:$J$2,0)))="","(chưa PC GV)","GV: "&amp;INDEX(PhanCong!$B$3:$J$18,MATCH(TKB_Nhap!G56,PhanCong!$A$3:$A$18,0),MATCH($A56,PhanCong!$B$2:$J$2,0))))</f>
        <v/>
      </c>
      <c r="H56" s="26">
        <f>IF(TKB_Nhap!H56="","",TKB_Nhap!H56&amp;CHAR(10)&amp;IF(T(INDEX(PhanCong!$B$3:$J$18,MATCH(TKB_Nhap!H56,PhanCong!$A$3:$A$18,0),MATCH($A56,PhanCong!$B$2:$J$2,0)))="","(chưa PC GV)","GV: "&amp;INDEX(PhanCong!$B$3:$J$18,MATCH(TKB_Nhap!H56,PhanCong!$A$3:$A$18,0),MATCH($A56,PhanCong!$B$2:$J$2,0))))</f>
        <v/>
      </c>
      <c r="I56" s="26">
        <f>IF(TKB_Nhap!I56="","",TKB_Nhap!I56&amp;CHAR(10)&amp;IF(T(INDEX(PhanCong!$B$3:$J$18,MATCH(TKB_Nhap!I56,PhanCong!$A$3:$A$18,0),MATCH($A56,PhanCong!$B$2:$J$2,0)))="","(chưa PC GV)","GV: "&amp;INDEX(PhanCong!$B$3:$J$18,MATCH(TKB_Nhap!I56,PhanCong!$A$3:$A$18,0),MATCH($A56,PhanCong!$B$2:$J$2,0))))</f>
        <v/>
      </c>
      <c r="J56" s="26">
        <f>IF(TKB_Nhap!J56="","",TKB_Nhap!J56&amp;CHAR(10)&amp;IF(T(INDEX(PhanCong!$B$3:$J$18,MATCH(TKB_Nhap!J56,PhanCong!$A$3:$A$18,0),MATCH($A56,PhanCong!$B$2:$J$2,0)))="","(chưa PC GV)","GV: "&amp;INDEX(PhanCong!$B$3:$J$18,MATCH(TKB_Nhap!J56,PhanCong!$A$3:$A$18,0),MATCH($A56,PhanCong!$B$2:$J$2,0))))</f>
        <v/>
      </c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IF(TKB_Nhap!D57="","",TKB_Nhap!D57&amp;CHAR(10)&amp;IF(T(INDEX(PhanCong!$B$3:$J$18,MATCH(TKB_Nhap!D57,PhanCong!$A$3:$A$18,0),MATCH($A57,PhanCong!$B$2:$J$2,0)))="","(chưa PC GV)","GV: "&amp;INDEX(PhanCong!$B$3:$J$18,MATCH(TKB_Nhap!D57,PhanCong!$A$3:$A$18,0),MATCH($A57,PhanCong!$B$2:$J$2,0))))</f>
        <v/>
      </c>
      <c r="E57" s="26">
        <f>IF(TKB_Nhap!E57="","",TKB_Nhap!E57&amp;CHAR(10)&amp;IF(T(INDEX(PhanCong!$B$3:$J$18,MATCH(TKB_Nhap!E57,PhanCong!$A$3:$A$18,0),MATCH($A57,PhanCong!$B$2:$J$2,0)))="","(chưa PC GV)","GV: "&amp;INDEX(PhanCong!$B$3:$J$18,MATCH(TKB_Nhap!E57,PhanCong!$A$3:$A$18,0),MATCH($A57,PhanCong!$B$2:$J$2,0))))</f>
        <v/>
      </c>
      <c r="F57" s="26">
        <f>IF(TKB_Nhap!F57="","",TKB_Nhap!F57&amp;CHAR(10)&amp;IF(T(INDEX(PhanCong!$B$3:$J$18,MATCH(TKB_Nhap!F57,PhanCong!$A$3:$A$18,0),MATCH($A57,PhanCong!$B$2:$J$2,0)))="","(chưa PC GV)","GV: "&amp;INDEX(PhanCong!$B$3:$J$18,MATCH(TKB_Nhap!F57,PhanCong!$A$3:$A$18,0),MATCH($A57,PhanCong!$B$2:$J$2,0))))</f>
        <v/>
      </c>
      <c r="G57" s="26">
        <f>IF(TKB_Nhap!G57="","",TKB_Nhap!G57&amp;CHAR(10)&amp;IF(T(INDEX(PhanCong!$B$3:$J$18,MATCH(TKB_Nhap!G57,PhanCong!$A$3:$A$18,0),MATCH($A57,PhanCong!$B$2:$J$2,0)))="","(chưa PC GV)","GV: "&amp;INDEX(PhanCong!$B$3:$J$18,MATCH(TKB_Nhap!G57,PhanCong!$A$3:$A$18,0),MATCH($A57,PhanCong!$B$2:$J$2,0))))</f>
        <v/>
      </c>
      <c r="H57" s="26">
        <f>IF(TKB_Nhap!H57="","",TKB_Nhap!H57&amp;CHAR(10)&amp;IF(T(INDEX(PhanCong!$B$3:$J$18,MATCH(TKB_Nhap!H57,PhanCong!$A$3:$A$18,0),MATCH($A57,PhanCong!$B$2:$J$2,0)))="","(chưa PC GV)","GV: "&amp;INDEX(PhanCong!$B$3:$J$18,MATCH(TKB_Nhap!H57,PhanCong!$A$3:$A$18,0),MATCH($A57,PhanCong!$B$2:$J$2,0))))</f>
        <v/>
      </c>
      <c r="I57" s="26">
        <f>IF(TKB_Nhap!I57="","",TKB_Nhap!I57&amp;CHAR(10)&amp;IF(T(INDEX(PhanCong!$B$3:$J$18,MATCH(TKB_Nhap!I57,PhanCong!$A$3:$A$18,0),MATCH($A57,PhanCong!$B$2:$J$2,0)))="","(chưa PC GV)","GV: "&amp;INDEX(PhanCong!$B$3:$J$18,MATCH(TKB_Nhap!I57,PhanCong!$A$3:$A$18,0),MATCH($A57,PhanCong!$B$2:$J$2,0))))</f>
        <v/>
      </c>
      <c r="J57" s="26">
        <f>IF(TKB_Nhap!J57="","",TKB_Nhap!J57&amp;CHAR(10)&amp;IF(T(INDEX(PhanCong!$B$3:$J$18,MATCH(TKB_Nhap!J57,PhanCong!$A$3:$A$18,0),MATCH($A57,PhanCong!$B$2:$J$2,0)))="","(chưa PC GV)","GV: "&amp;INDEX(PhanCong!$B$3:$J$18,MATCH(TKB_Nhap!J57,PhanCong!$A$3:$A$18,0),MATCH($A57,PhanCong!$B$2:$J$2,0))))</f>
        <v/>
      </c>
    </row>
    <row r="58" ht="27.75" customHeight="1">
      <c r="A58" s="36">
        <f>TKB_Nhap!A58</f>
        <v/>
      </c>
      <c r="B58" s="36">
        <f>TKB_Nhap!B58</f>
        <v/>
      </c>
      <c r="C58" s="36">
        <f>TKB_Nhap!C58</f>
        <v/>
      </c>
      <c r="D58" s="38">
        <f>IF(TKB_Nhap!D58="","",TKB_Nhap!D58&amp;CHAR(10)&amp;IF(T(INDEX(PhanCong!$B$3:$J$18,MATCH(TKB_Nhap!D58,PhanCong!$A$3:$A$18,0),MATCH($A58,PhanCong!$B$2:$J$2,0)))="","(chưa PC GV)","GV: "&amp;INDEX(PhanCong!$B$3:$J$18,MATCH(TKB_Nhap!D58,PhanCong!$A$3:$A$18,0),MATCH($A58,PhanCong!$B$2:$J$2,0))))</f>
        <v/>
      </c>
      <c r="E58" s="38">
        <f>IF(TKB_Nhap!E58="","",TKB_Nhap!E58&amp;CHAR(10)&amp;IF(T(INDEX(PhanCong!$B$3:$J$18,MATCH(TKB_Nhap!E58,PhanCong!$A$3:$A$18,0),MATCH($A58,PhanCong!$B$2:$J$2,0)))="","(chưa PC GV)","GV: "&amp;INDEX(PhanCong!$B$3:$J$18,MATCH(TKB_Nhap!E58,PhanCong!$A$3:$A$18,0),MATCH($A58,PhanCong!$B$2:$J$2,0))))</f>
        <v/>
      </c>
      <c r="F58" s="38">
        <f>IF(TKB_Nhap!F58="","",TKB_Nhap!F58&amp;CHAR(10)&amp;IF(T(INDEX(PhanCong!$B$3:$J$18,MATCH(TKB_Nhap!F58,PhanCong!$A$3:$A$18,0),MATCH($A58,PhanCong!$B$2:$J$2,0)))="","(chưa PC GV)","GV: "&amp;INDEX(PhanCong!$B$3:$J$18,MATCH(TKB_Nhap!F58,PhanCong!$A$3:$A$18,0),MATCH($A58,PhanCong!$B$2:$J$2,0))))</f>
        <v/>
      </c>
      <c r="G58" s="38">
        <f>IF(TKB_Nhap!G58="","",TKB_Nhap!G58&amp;CHAR(10)&amp;IF(T(INDEX(PhanCong!$B$3:$J$18,MATCH(TKB_Nhap!G58,PhanCong!$A$3:$A$18,0),MATCH($A58,PhanCong!$B$2:$J$2,0)))="","(chưa PC GV)","GV: "&amp;INDEX(PhanCong!$B$3:$J$18,MATCH(TKB_Nhap!G58,PhanCong!$A$3:$A$18,0),MATCH($A58,PhanCong!$B$2:$J$2,0))))</f>
        <v/>
      </c>
      <c r="H58" s="38">
        <f>IF(TKB_Nhap!H58="","",TKB_Nhap!H58&amp;CHAR(10)&amp;IF(T(INDEX(PhanCong!$B$3:$J$18,MATCH(TKB_Nhap!H58,PhanCong!$A$3:$A$18,0),MATCH($A58,PhanCong!$B$2:$J$2,0)))="","(chưa PC GV)","GV: "&amp;INDEX(PhanCong!$B$3:$J$18,MATCH(TKB_Nhap!H58,PhanCong!$A$3:$A$18,0),MATCH($A58,PhanCong!$B$2:$J$2,0))))</f>
        <v/>
      </c>
      <c r="I58" s="38">
        <f>IF(TKB_Nhap!I58="","",TKB_Nhap!I58&amp;CHAR(10)&amp;IF(T(INDEX(PhanCong!$B$3:$J$18,MATCH(TKB_Nhap!I58,PhanCong!$A$3:$A$18,0),MATCH($A58,PhanCong!$B$2:$J$2,0)))="","(chưa PC GV)","GV: "&amp;INDEX(PhanCong!$B$3:$J$18,MATCH(TKB_Nhap!I58,PhanCong!$A$3:$A$18,0),MATCH($A58,PhanCong!$B$2:$J$2,0))))</f>
        <v/>
      </c>
      <c r="J58" s="38">
        <f>IF(TKB_Nhap!J58="","",TKB_Nhap!J58&amp;CHAR(10)&amp;IF(T(INDEX(PhanCong!$B$3:$J$18,MATCH(TKB_Nhap!J58,PhanCong!$A$3:$A$18,0),MATCH($A58,PhanCong!$B$2:$J$2,0)))="","(chưa PC GV)","GV: "&amp;INDEX(PhanCong!$B$3:$J$18,MATCH(TKB_Nhap!J58,PhanCong!$A$3:$A$18,0),MATCH($A58,PhanCong!$B$2:$J$2,0))))</f>
        <v/>
      </c>
    </row>
    <row r="59" ht="27.75" customHeight="1">
      <c r="A59" s="36">
        <f>TKB_Nhap!A59</f>
        <v/>
      </c>
      <c r="B59" s="36">
        <f>TKB_Nhap!B59</f>
        <v/>
      </c>
      <c r="C59" s="36">
        <f>TKB_Nhap!C59</f>
        <v/>
      </c>
      <c r="D59" s="38">
        <f>IF(TKB_Nhap!D59="","",TKB_Nhap!D59&amp;CHAR(10)&amp;IF(T(INDEX(PhanCong!$B$3:$J$18,MATCH(TKB_Nhap!D59,PhanCong!$A$3:$A$18,0),MATCH($A59,PhanCong!$B$2:$J$2,0)))="","(chưa PC GV)","GV: "&amp;INDEX(PhanCong!$B$3:$J$18,MATCH(TKB_Nhap!D59,PhanCong!$A$3:$A$18,0),MATCH($A59,PhanCong!$B$2:$J$2,0))))</f>
        <v/>
      </c>
      <c r="E59" s="38">
        <f>IF(TKB_Nhap!E59="","",TKB_Nhap!E59&amp;CHAR(10)&amp;IF(T(INDEX(PhanCong!$B$3:$J$18,MATCH(TKB_Nhap!E59,PhanCong!$A$3:$A$18,0),MATCH($A59,PhanCong!$B$2:$J$2,0)))="","(chưa PC GV)","GV: "&amp;INDEX(PhanCong!$B$3:$J$18,MATCH(TKB_Nhap!E59,PhanCong!$A$3:$A$18,0),MATCH($A59,PhanCong!$B$2:$J$2,0))))</f>
        <v/>
      </c>
      <c r="F59" s="38">
        <f>IF(TKB_Nhap!F59="","",TKB_Nhap!F59&amp;CHAR(10)&amp;IF(T(INDEX(PhanCong!$B$3:$J$18,MATCH(TKB_Nhap!F59,PhanCong!$A$3:$A$18,0),MATCH($A59,PhanCong!$B$2:$J$2,0)))="","(chưa PC GV)","GV: "&amp;INDEX(PhanCong!$B$3:$J$18,MATCH(TKB_Nhap!F59,PhanCong!$A$3:$A$18,0),MATCH($A59,PhanCong!$B$2:$J$2,0))))</f>
        <v/>
      </c>
      <c r="G59" s="38">
        <f>IF(TKB_Nhap!G59="","",TKB_Nhap!G59&amp;CHAR(10)&amp;IF(T(INDEX(PhanCong!$B$3:$J$18,MATCH(TKB_Nhap!G59,PhanCong!$A$3:$A$18,0),MATCH($A59,PhanCong!$B$2:$J$2,0)))="","(chưa PC GV)","GV: "&amp;INDEX(PhanCong!$B$3:$J$18,MATCH(TKB_Nhap!G59,PhanCong!$A$3:$A$18,0),MATCH($A59,PhanCong!$B$2:$J$2,0))))</f>
        <v/>
      </c>
      <c r="H59" s="38">
        <f>IF(TKB_Nhap!H59="","",TKB_Nhap!H59&amp;CHAR(10)&amp;IF(T(INDEX(PhanCong!$B$3:$J$18,MATCH(TKB_Nhap!H59,PhanCong!$A$3:$A$18,0),MATCH($A59,PhanCong!$B$2:$J$2,0)))="","(chưa PC GV)","GV: "&amp;INDEX(PhanCong!$B$3:$J$18,MATCH(TKB_Nhap!H59,PhanCong!$A$3:$A$18,0),MATCH($A59,PhanCong!$B$2:$J$2,0))))</f>
        <v/>
      </c>
      <c r="I59" s="38">
        <f>IF(TKB_Nhap!I59="","",TKB_Nhap!I59&amp;CHAR(10)&amp;IF(T(INDEX(PhanCong!$B$3:$J$18,MATCH(TKB_Nhap!I59,PhanCong!$A$3:$A$18,0),MATCH($A59,PhanCong!$B$2:$J$2,0)))="","(chưa PC GV)","GV: "&amp;INDEX(PhanCong!$B$3:$J$18,MATCH(TKB_Nhap!I59,PhanCong!$A$3:$A$18,0),MATCH($A59,PhanCong!$B$2:$J$2,0))))</f>
        <v/>
      </c>
      <c r="J59" s="38">
        <f>IF(TKB_Nhap!J59="","",TKB_Nhap!J59&amp;CHAR(10)&amp;IF(T(INDEX(PhanCong!$B$3:$J$18,MATCH(TKB_Nhap!J59,PhanCong!$A$3:$A$18,0),MATCH($A59,PhanCong!$B$2:$J$2,0)))="","(chưa PC GV)","GV: "&amp;INDEX(PhanCong!$B$3:$J$18,MATCH(TKB_Nhap!J59,PhanCong!$A$3:$A$18,0),MATCH($A59,PhanCong!$B$2:$J$2,0))))</f>
        <v/>
      </c>
    </row>
    <row r="60" ht="27.75" customHeight="1">
      <c r="A60" s="36">
        <f>TKB_Nhap!A60</f>
        <v/>
      </c>
      <c r="B60" s="36">
        <f>TKB_Nhap!B60</f>
        <v/>
      </c>
      <c r="C60" s="36">
        <f>TKB_Nhap!C60</f>
        <v/>
      </c>
      <c r="D60" s="38">
        <f>IF(TKB_Nhap!D60="","",TKB_Nhap!D60&amp;CHAR(10)&amp;IF(T(INDEX(PhanCong!$B$3:$J$18,MATCH(TKB_Nhap!D60,PhanCong!$A$3:$A$18,0),MATCH($A60,PhanCong!$B$2:$J$2,0)))="","(chưa PC GV)","GV: "&amp;INDEX(PhanCong!$B$3:$J$18,MATCH(TKB_Nhap!D60,PhanCong!$A$3:$A$18,0),MATCH($A60,PhanCong!$B$2:$J$2,0))))</f>
        <v/>
      </c>
      <c r="E60" s="38">
        <f>IF(TKB_Nhap!E60="","",TKB_Nhap!E60&amp;CHAR(10)&amp;IF(T(INDEX(PhanCong!$B$3:$J$18,MATCH(TKB_Nhap!E60,PhanCong!$A$3:$A$18,0),MATCH($A60,PhanCong!$B$2:$J$2,0)))="","(chưa PC GV)","GV: "&amp;INDEX(PhanCong!$B$3:$J$18,MATCH(TKB_Nhap!E60,PhanCong!$A$3:$A$18,0),MATCH($A60,PhanCong!$B$2:$J$2,0))))</f>
        <v/>
      </c>
      <c r="F60" s="38">
        <f>IF(TKB_Nhap!F60="","",TKB_Nhap!F60&amp;CHAR(10)&amp;IF(T(INDEX(PhanCong!$B$3:$J$18,MATCH(TKB_Nhap!F60,PhanCong!$A$3:$A$18,0),MATCH($A60,PhanCong!$B$2:$J$2,0)))="","(chưa PC GV)","GV: "&amp;INDEX(PhanCong!$B$3:$J$18,MATCH(TKB_Nhap!F60,PhanCong!$A$3:$A$18,0),MATCH($A60,PhanCong!$B$2:$J$2,0))))</f>
        <v/>
      </c>
      <c r="G60" s="38">
        <f>IF(TKB_Nhap!G60="","",TKB_Nhap!G60&amp;CHAR(10)&amp;IF(T(INDEX(PhanCong!$B$3:$J$18,MATCH(TKB_Nhap!G60,PhanCong!$A$3:$A$18,0),MATCH($A60,PhanCong!$B$2:$J$2,0)))="","(chưa PC GV)","GV: "&amp;INDEX(PhanCong!$B$3:$J$18,MATCH(TKB_Nhap!G60,PhanCong!$A$3:$A$18,0),MATCH($A60,PhanCong!$B$2:$J$2,0))))</f>
        <v/>
      </c>
      <c r="H60" s="38">
        <f>IF(TKB_Nhap!H60="","",TKB_Nhap!H60&amp;CHAR(10)&amp;IF(T(INDEX(PhanCong!$B$3:$J$18,MATCH(TKB_Nhap!H60,PhanCong!$A$3:$A$18,0),MATCH($A60,PhanCong!$B$2:$J$2,0)))="","(chưa PC GV)","GV: "&amp;INDEX(PhanCong!$B$3:$J$18,MATCH(TKB_Nhap!H60,PhanCong!$A$3:$A$18,0),MATCH($A60,PhanCong!$B$2:$J$2,0))))</f>
        <v/>
      </c>
      <c r="I60" s="38">
        <f>IF(TKB_Nhap!I60="","",TKB_Nhap!I60&amp;CHAR(10)&amp;IF(T(INDEX(PhanCong!$B$3:$J$18,MATCH(TKB_Nhap!I60,PhanCong!$A$3:$A$18,0),MATCH($A60,PhanCong!$B$2:$J$2,0)))="","(chưa PC GV)","GV: "&amp;INDEX(PhanCong!$B$3:$J$18,MATCH(TKB_Nhap!I60,PhanCong!$A$3:$A$18,0),MATCH($A60,PhanCong!$B$2:$J$2,0))))</f>
        <v/>
      </c>
      <c r="J60" s="38">
        <f>IF(TKB_Nhap!J60="","",TKB_Nhap!J60&amp;CHAR(10)&amp;IF(T(INDEX(PhanCong!$B$3:$J$18,MATCH(TKB_Nhap!J60,PhanCong!$A$3:$A$18,0),MATCH($A60,PhanCong!$B$2:$J$2,0)))="","(chưa PC GV)","GV: "&amp;INDEX(PhanCong!$B$3:$J$18,MATCH(TKB_Nhap!J60,PhanCong!$A$3:$A$18,0),MATCH($A60,PhanCong!$B$2:$J$2,0))))</f>
        <v/>
      </c>
    </row>
    <row r="61" ht="27.75" customHeight="1">
      <c r="A61" s="36">
        <f>TKB_Nhap!A61</f>
        <v/>
      </c>
      <c r="B61" s="36">
        <f>TKB_Nhap!B61</f>
        <v/>
      </c>
      <c r="C61" s="36">
        <f>TKB_Nhap!C61</f>
        <v/>
      </c>
      <c r="D61" s="38">
        <f>IF(TKB_Nhap!D61="","",TKB_Nhap!D61&amp;CHAR(10)&amp;IF(T(INDEX(PhanCong!$B$3:$J$18,MATCH(TKB_Nhap!D61,PhanCong!$A$3:$A$18,0),MATCH($A61,PhanCong!$B$2:$J$2,0)))="","(chưa PC GV)","GV: "&amp;INDEX(PhanCong!$B$3:$J$18,MATCH(TKB_Nhap!D61,PhanCong!$A$3:$A$18,0),MATCH($A61,PhanCong!$B$2:$J$2,0))))</f>
        <v/>
      </c>
      <c r="E61" s="38">
        <f>IF(TKB_Nhap!E61="","",TKB_Nhap!E61&amp;CHAR(10)&amp;IF(T(INDEX(PhanCong!$B$3:$J$18,MATCH(TKB_Nhap!E61,PhanCong!$A$3:$A$18,0),MATCH($A61,PhanCong!$B$2:$J$2,0)))="","(chưa PC GV)","GV: "&amp;INDEX(PhanCong!$B$3:$J$18,MATCH(TKB_Nhap!E61,PhanCong!$A$3:$A$18,0),MATCH($A61,PhanCong!$B$2:$J$2,0))))</f>
        <v/>
      </c>
      <c r="F61" s="38">
        <f>IF(TKB_Nhap!F61="","",TKB_Nhap!F61&amp;CHAR(10)&amp;IF(T(INDEX(PhanCong!$B$3:$J$18,MATCH(TKB_Nhap!F61,PhanCong!$A$3:$A$18,0),MATCH($A61,PhanCong!$B$2:$J$2,0)))="","(chưa PC GV)","GV: "&amp;INDEX(PhanCong!$B$3:$J$18,MATCH(TKB_Nhap!F61,PhanCong!$A$3:$A$18,0),MATCH($A61,PhanCong!$B$2:$J$2,0))))</f>
        <v/>
      </c>
      <c r="G61" s="38">
        <f>IF(TKB_Nhap!G61="","",TKB_Nhap!G61&amp;CHAR(10)&amp;IF(T(INDEX(PhanCong!$B$3:$J$18,MATCH(TKB_Nhap!G61,PhanCong!$A$3:$A$18,0),MATCH($A61,PhanCong!$B$2:$J$2,0)))="","(chưa PC GV)","GV: "&amp;INDEX(PhanCong!$B$3:$J$18,MATCH(TKB_Nhap!G61,PhanCong!$A$3:$A$18,0),MATCH($A61,PhanCong!$B$2:$J$2,0))))</f>
        <v/>
      </c>
      <c r="H61" s="38">
        <f>IF(TKB_Nhap!H61="","",TKB_Nhap!H61&amp;CHAR(10)&amp;IF(T(INDEX(PhanCong!$B$3:$J$18,MATCH(TKB_Nhap!H61,PhanCong!$A$3:$A$18,0),MATCH($A61,PhanCong!$B$2:$J$2,0)))="","(chưa PC GV)","GV: "&amp;INDEX(PhanCong!$B$3:$J$18,MATCH(TKB_Nhap!H61,PhanCong!$A$3:$A$18,0),MATCH($A61,PhanCong!$B$2:$J$2,0))))</f>
        <v/>
      </c>
      <c r="I61" s="38">
        <f>IF(TKB_Nhap!I61="","",TKB_Nhap!I61&amp;CHAR(10)&amp;IF(T(INDEX(PhanCong!$B$3:$J$18,MATCH(TKB_Nhap!I61,PhanCong!$A$3:$A$18,0),MATCH($A61,PhanCong!$B$2:$J$2,0)))="","(chưa PC GV)","GV: "&amp;INDEX(PhanCong!$B$3:$J$18,MATCH(TKB_Nhap!I61,PhanCong!$A$3:$A$18,0),MATCH($A61,PhanCong!$B$2:$J$2,0))))</f>
        <v/>
      </c>
      <c r="J61" s="38">
        <f>IF(TKB_Nhap!J61="","",TKB_Nhap!J61&amp;CHAR(10)&amp;IF(T(INDEX(PhanCong!$B$3:$J$18,MATCH(TKB_Nhap!J61,PhanCong!$A$3:$A$18,0),MATCH($A61,PhanCong!$B$2:$J$2,0)))="","(chưa PC GV)","GV: "&amp;INDEX(PhanCong!$B$3:$J$18,MATCH(TKB_Nhap!J61,PhanCong!$A$3:$A$18,0),MATCH($A61,PhanCong!$B$2:$J$2,0))))</f>
        <v/>
      </c>
    </row>
    <row r="62" ht="27.75" customHeight="1">
      <c r="A62" s="36">
        <f>TKB_Nhap!A62</f>
        <v/>
      </c>
      <c r="B62" s="36">
        <f>TKB_Nhap!B62</f>
        <v/>
      </c>
      <c r="C62" s="36">
        <f>TKB_Nhap!C62</f>
        <v/>
      </c>
      <c r="D62" s="38">
        <f>IF(TKB_Nhap!D62="","",TKB_Nhap!D62&amp;CHAR(10)&amp;IF(T(INDEX(PhanCong!$B$3:$J$18,MATCH(TKB_Nhap!D62,PhanCong!$A$3:$A$18,0),MATCH($A62,PhanCong!$B$2:$J$2,0)))="","(chưa PC GV)","GV: "&amp;INDEX(PhanCong!$B$3:$J$18,MATCH(TKB_Nhap!D62,PhanCong!$A$3:$A$18,0),MATCH($A62,PhanCong!$B$2:$J$2,0))))</f>
        <v/>
      </c>
      <c r="E62" s="38">
        <f>IF(TKB_Nhap!E62="","",TKB_Nhap!E62&amp;CHAR(10)&amp;IF(T(INDEX(PhanCong!$B$3:$J$18,MATCH(TKB_Nhap!E62,PhanCong!$A$3:$A$18,0),MATCH($A62,PhanCong!$B$2:$J$2,0)))="","(chưa PC GV)","GV: "&amp;INDEX(PhanCong!$B$3:$J$18,MATCH(TKB_Nhap!E62,PhanCong!$A$3:$A$18,0),MATCH($A62,PhanCong!$B$2:$J$2,0))))</f>
        <v/>
      </c>
      <c r="F62" s="38">
        <f>IF(TKB_Nhap!F62="","",TKB_Nhap!F62&amp;CHAR(10)&amp;IF(T(INDEX(PhanCong!$B$3:$J$18,MATCH(TKB_Nhap!F62,PhanCong!$A$3:$A$18,0),MATCH($A62,PhanCong!$B$2:$J$2,0)))="","(chưa PC GV)","GV: "&amp;INDEX(PhanCong!$B$3:$J$18,MATCH(TKB_Nhap!F62,PhanCong!$A$3:$A$18,0),MATCH($A62,PhanCong!$B$2:$J$2,0))))</f>
        <v/>
      </c>
      <c r="G62" s="38">
        <f>IF(TKB_Nhap!G62="","",TKB_Nhap!G62&amp;CHAR(10)&amp;IF(T(INDEX(PhanCong!$B$3:$J$18,MATCH(TKB_Nhap!G62,PhanCong!$A$3:$A$18,0),MATCH($A62,PhanCong!$B$2:$J$2,0)))="","(chưa PC GV)","GV: "&amp;INDEX(PhanCong!$B$3:$J$18,MATCH(TKB_Nhap!G62,PhanCong!$A$3:$A$18,0),MATCH($A62,PhanCong!$B$2:$J$2,0))))</f>
        <v/>
      </c>
      <c r="H62" s="38">
        <f>IF(TKB_Nhap!H62="","",TKB_Nhap!H62&amp;CHAR(10)&amp;IF(T(INDEX(PhanCong!$B$3:$J$18,MATCH(TKB_Nhap!H62,PhanCong!$A$3:$A$18,0),MATCH($A62,PhanCong!$B$2:$J$2,0)))="","(chưa PC GV)","GV: "&amp;INDEX(PhanCong!$B$3:$J$18,MATCH(TKB_Nhap!H62,PhanCong!$A$3:$A$18,0),MATCH($A62,PhanCong!$B$2:$J$2,0))))</f>
        <v/>
      </c>
      <c r="I62" s="38">
        <f>IF(TKB_Nhap!I62="","",TKB_Nhap!I62&amp;CHAR(10)&amp;IF(T(INDEX(PhanCong!$B$3:$J$18,MATCH(TKB_Nhap!I62,PhanCong!$A$3:$A$18,0),MATCH($A62,PhanCong!$B$2:$J$2,0)))="","(chưa PC GV)","GV: "&amp;INDEX(PhanCong!$B$3:$J$18,MATCH(TKB_Nhap!I62,PhanCong!$A$3:$A$18,0),MATCH($A62,PhanCong!$B$2:$J$2,0))))</f>
        <v/>
      </c>
      <c r="J62" s="38">
        <f>IF(TKB_Nhap!J62="","",TKB_Nhap!J62&amp;CHAR(10)&amp;IF(T(INDEX(PhanCong!$B$3:$J$18,MATCH(TKB_Nhap!J62,PhanCong!$A$3:$A$18,0),MATCH($A62,PhanCong!$B$2:$J$2,0)))="","(chưa PC GV)","GV: "&amp;INDEX(PhanCong!$B$3:$J$18,MATCH(TKB_Nhap!J62,PhanCong!$A$3:$A$18,0),MATCH($A62,PhanCong!$B$2:$J$2,0))))</f>
        <v/>
      </c>
    </row>
    <row r="63" ht="27.75" customHeight="1">
      <c r="A63" s="36">
        <f>TKB_Nhap!A63</f>
        <v/>
      </c>
      <c r="B63" s="36">
        <f>TKB_Nhap!B63</f>
        <v/>
      </c>
      <c r="C63" s="36">
        <f>TKB_Nhap!C63</f>
        <v/>
      </c>
      <c r="D63" s="38">
        <f>IF(TKB_Nhap!D63="","",TKB_Nhap!D63&amp;CHAR(10)&amp;IF(T(INDEX(PhanCong!$B$3:$J$18,MATCH(TKB_Nhap!D63,PhanCong!$A$3:$A$18,0),MATCH($A63,PhanCong!$B$2:$J$2,0)))="","(chưa PC GV)","GV: "&amp;INDEX(PhanCong!$B$3:$J$18,MATCH(TKB_Nhap!D63,PhanCong!$A$3:$A$18,0),MATCH($A63,PhanCong!$B$2:$J$2,0))))</f>
        <v/>
      </c>
      <c r="E63" s="38">
        <f>IF(TKB_Nhap!E63="","",TKB_Nhap!E63&amp;CHAR(10)&amp;IF(T(INDEX(PhanCong!$B$3:$J$18,MATCH(TKB_Nhap!E63,PhanCong!$A$3:$A$18,0),MATCH($A63,PhanCong!$B$2:$J$2,0)))="","(chưa PC GV)","GV: "&amp;INDEX(PhanCong!$B$3:$J$18,MATCH(TKB_Nhap!E63,PhanCong!$A$3:$A$18,0),MATCH($A63,PhanCong!$B$2:$J$2,0))))</f>
        <v/>
      </c>
      <c r="F63" s="38">
        <f>IF(TKB_Nhap!F63="","",TKB_Nhap!F63&amp;CHAR(10)&amp;IF(T(INDEX(PhanCong!$B$3:$J$18,MATCH(TKB_Nhap!F63,PhanCong!$A$3:$A$18,0),MATCH($A63,PhanCong!$B$2:$J$2,0)))="","(chưa PC GV)","GV: "&amp;INDEX(PhanCong!$B$3:$J$18,MATCH(TKB_Nhap!F63,PhanCong!$A$3:$A$18,0),MATCH($A63,PhanCong!$B$2:$J$2,0))))</f>
        <v/>
      </c>
      <c r="G63" s="38">
        <f>IF(TKB_Nhap!G63="","",TKB_Nhap!G63&amp;CHAR(10)&amp;IF(T(INDEX(PhanCong!$B$3:$J$18,MATCH(TKB_Nhap!G63,PhanCong!$A$3:$A$18,0),MATCH($A63,PhanCong!$B$2:$J$2,0)))="","(chưa PC GV)","GV: "&amp;INDEX(PhanCong!$B$3:$J$18,MATCH(TKB_Nhap!G63,PhanCong!$A$3:$A$18,0),MATCH($A63,PhanCong!$B$2:$J$2,0))))</f>
        <v/>
      </c>
      <c r="H63" s="38">
        <f>IF(TKB_Nhap!H63="","",TKB_Nhap!H63&amp;CHAR(10)&amp;IF(T(INDEX(PhanCong!$B$3:$J$18,MATCH(TKB_Nhap!H63,PhanCong!$A$3:$A$18,0),MATCH($A63,PhanCong!$B$2:$J$2,0)))="","(chưa PC GV)","GV: "&amp;INDEX(PhanCong!$B$3:$J$18,MATCH(TKB_Nhap!H63,PhanCong!$A$3:$A$18,0),MATCH($A63,PhanCong!$B$2:$J$2,0))))</f>
        <v/>
      </c>
      <c r="I63" s="38">
        <f>IF(TKB_Nhap!I63="","",TKB_Nhap!I63&amp;CHAR(10)&amp;IF(T(INDEX(PhanCong!$B$3:$J$18,MATCH(TKB_Nhap!I63,PhanCong!$A$3:$A$18,0),MATCH($A63,PhanCong!$B$2:$J$2,0)))="","(chưa PC GV)","GV: "&amp;INDEX(PhanCong!$B$3:$J$18,MATCH(TKB_Nhap!I63,PhanCong!$A$3:$A$18,0),MATCH($A63,PhanCong!$B$2:$J$2,0))))</f>
        <v/>
      </c>
      <c r="J63" s="38">
        <f>IF(TKB_Nhap!J63="","",TKB_Nhap!J63&amp;CHAR(10)&amp;IF(T(INDEX(PhanCong!$B$3:$J$18,MATCH(TKB_Nhap!J63,PhanCong!$A$3:$A$18,0),MATCH($A63,PhanCong!$B$2:$J$2,0)))="","(chưa PC GV)","GV: "&amp;INDEX(PhanCong!$B$3:$J$18,MATCH(TKB_Nhap!J63,PhanCong!$A$3:$A$18,0),MATCH($A63,PhanCong!$B$2:$J$2,0))))</f>
        <v/>
      </c>
    </row>
    <row r="64" ht="27.75" customHeight="1">
      <c r="A64" s="36">
        <f>TKB_Nhap!A64</f>
        <v/>
      </c>
      <c r="B64" s="36">
        <f>TKB_Nhap!B64</f>
        <v/>
      </c>
      <c r="C64" s="36">
        <f>TKB_Nhap!C64</f>
        <v/>
      </c>
      <c r="D64" s="38">
        <f>IF(TKB_Nhap!D64="","",TKB_Nhap!D64&amp;CHAR(10)&amp;IF(T(INDEX(PhanCong!$B$3:$J$18,MATCH(TKB_Nhap!D64,PhanCong!$A$3:$A$18,0),MATCH($A64,PhanCong!$B$2:$J$2,0)))="","(chưa PC GV)","GV: "&amp;INDEX(PhanCong!$B$3:$J$18,MATCH(TKB_Nhap!D64,PhanCong!$A$3:$A$18,0),MATCH($A64,PhanCong!$B$2:$J$2,0))))</f>
        <v/>
      </c>
      <c r="E64" s="38">
        <f>IF(TKB_Nhap!E64="","",TKB_Nhap!E64&amp;CHAR(10)&amp;IF(T(INDEX(PhanCong!$B$3:$J$18,MATCH(TKB_Nhap!E64,PhanCong!$A$3:$A$18,0),MATCH($A64,PhanCong!$B$2:$J$2,0)))="","(chưa PC GV)","GV: "&amp;INDEX(PhanCong!$B$3:$J$18,MATCH(TKB_Nhap!E64,PhanCong!$A$3:$A$18,0),MATCH($A64,PhanCong!$B$2:$J$2,0))))</f>
        <v/>
      </c>
      <c r="F64" s="38">
        <f>IF(TKB_Nhap!F64="","",TKB_Nhap!F64&amp;CHAR(10)&amp;IF(T(INDEX(PhanCong!$B$3:$J$18,MATCH(TKB_Nhap!F64,PhanCong!$A$3:$A$18,0),MATCH($A64,PhanCong!$B$2:$J$2,0)))="","(chưa PC GV)","GV: "&amp;INDEX(PhanCong!$B$3:$J$18,MATCH(TKB_Nhap!F64,PhanCong!$A$3:$A$18,0),MATCH($A64,PhanCong!$B$2:$J$2,0))))</f>
        <v/>
      </c>
      <c r="G64" s="38">
        <f>IF(TKB_Nhap!G64="","",TKB_Nhap!G64&amp;CHAR(10)&amp;IF(T(INDEX(PhanCong!$B$3:$J$18,MATCH(TKB_Nhap!G64,PhanCong!$A$3:$A$18,0),MATCH($A64,PhanCong!$B$2:$J$2,0)))="","(chưa PC GV)","GV: "&amp;INDEX(PhanCong!$B$3:$J$18,MATCH(TKB_Nhap!G64,PhanCong!$A$3:$A$18,0),MATCH($A64,PhanCong!$B$2:$J$2,0))))</f>
        <v/>
      </c>
      <c r="H64" s="38">
        <f>IF(TKB_Nhap!H64="","",TKB_Nhap!H64&amp;CHAR(10)&amp;IF(T(INDEX(PhanCong!$B$3:$J$18,MATCH(TKB_Nhap!H64,PhanCong!$A$3:$A$18,0),MATCH($A64,PhanCong!$B$2:$J$2,0)))="","(chưa PC GV)","GV: "&amp;INDEX(PhanCong!$B$3:$J$18,MATCH(TKB_Nhap!H64,PhanCong!$A$3:$A$18,0),MATCH($A64,PhanCong!$B$2:$J$2,0))))</f>
        <v/>
      </c>
      <c r="I64" s="38">
        <f>IF(TKB_Nhap!I64="","",TKB_Nhap!I64&amp;CHAR(10)&amp;IF(T(INDEX(PhanCong!$B$3:$J$18,MATCH(TKB_Nhap!I64,PhanCong!$A$3:$A$18,0),MATCH($A64,PhanCong!$B$2:$J$2,0)))="","(chưa PC GV)","GV: "&amp;INDEX(PhanCong!$B$3:$J$18,MATCH(TKB_Nhap!I64,PhanCong!$A$3:$A$18,0),MATCH($A64,PhanCong!$B$2:$J$2,0))))</f>
        <v/>
      </c>
      <c r="J64" s="38">
        <f>IF(TKB_Nhap!J64="","",TKB_Nhap!J64&amp;CHAR(10)&amp;IF(T(INDEX(PhanCong!$B$3:$J$18,MATCH(TKB_Nhap!J64,PhanCong!$A$3:$A$18,0),MATCH($A64,PhanCong!$B$2:$J$2,0)))="","(chưa PC GV)","GV: "&amp;INDEX(PhanCong!$B$3:$J$18,MATCH(TKB_Nhap!J64,PhanCong!$A$3:$A$18,0),MATCH($A64,PhanCong!$B$2:$J$2,0))))</f>
        <v/>
      </c>
    </row>
    <row r="65" ht="27.75" customHeight="1">
      <c r="A65" s="36">
        <f>TKB_Nhap!A65</f>
        <v/>
      </c>
      <c r="B65" s="36">
        <f>TKB_Nhap!B65</f>
        <v/>
      </c>
      <c r="C65" s="36">
        <f>TKB_Nhap!C65</f>
        <v/>
      </c>
      <c r="D65" s="38">
        <f>IF(TKB_Nhap!D65="","",TKB_Nhap!D65&amp;CHAR(10)&amp;IF(T(INDEX(PhanCong!$B$3:$J$18,MATCH(TKB_Nhap!D65,PhanCong!$A$3:$A$18,0),MATCH($A65,PhanCong!$B$2:$J$2,0)))="","(chưa PC GV)","GV: "&amp;INDEX(PhanCong!$B$3:$J$18,MATCH(TKB_Nhap!D65,PhanCong!$A$3:$A$18,0),MATCH($A65,PhanCong!$B$2:$J$2,0))))</f>
        <v/>
      </c>
      <c r="E65" s="38">
        <f>IF(TKB_Nhap!E65="","",TKB_Nhap!E65&amp;CHAR(10)&amp;IF(T(INDEX(PhanCong!$B$3:$J$18,MATCH(TKB_Nhap!E65,PhanCong!$A$3:$A$18,0),MATCH($A65,PhanCong!$B$2:$J$2,0)))="","(chưa PC GV)","GV: "&amp;INDEX(PhanCong!$B$3:$J$18,MATCH(TKB_Nhap!E65,PhanCong!$A$3:$A$18,0),MATCH($A65,PhanCong!$B$2:$J$2,0))))</f>
        <v/>
      </c>
      <c r="F65" s="38">
        <f>IF(TKB_Nhap!F65="","",TKB_Nhap!F65&amp;CHAR(10)&amp;IF(T(INDEX(PhanCong!$B$3:$J$18,MATCH(TKB_Nhap!F65,PhanCong!$A$3:$A$18,0),MATCH($A65,PhanCong!$B$2:$J$2,0)))="","(chưa PC GV)","GV: "&amp;INDEX(PhanCong!$B$3:$J$18,MATCH(TKB_Nhap!F65,PhanCong!$A$3:$A$18,0),MATCH($A65,PhanCong!$B$2:$J$2,0))))</f>
        <v/>
      </c>
      <c r="G65" s="38">
        <f>IF(TKB_Nhap!G65="","",TKB_Nhap!G65&amp;CHAR(10)&amp;IF(T(INDEX(PhanCong!$B$3:$J$18,MATCH(TKB_Nhap!G65,PhanCong!$A$3:$A$18,0),MATCH($A65,PhanCong!$B$2:$J$2,0)))="","(chưa PC GV)","GV: "&amp;INDEX(PhanCong!$B$3:$J$18,MATCH(TKB_Nhap!G65,PhanCong!$A$3:$A$18,0),MATCH($A65,PhanCong!$B$2:$J$2,0))))</f>
        <v/>
      </c>
      <c r="H65" s="38">
        <f>IF(TKB_Nhap!H65="","",TKB_Nhap!H65&amp;CHAR(10)&amp;IF(T(INDEX(PhanCong!$B$3:$J$18,MATCH(TKB_Nhap!H65,PhanCong!$A$3:$A$18,0),MATCH($A65,PhanCong!$B$2:$J$2,0)))="","(chưa PC GV)","GV: "&amp;INDEX(PhanCong!$B$3:$J$18,MATCH(TKB_Nhap!H65,PhanCong!$A$3:$A$18,0),MATCH($A65,PhanCong!$B$2:$J$2,0))))</f>
        <v/>
      </c>
      <c r="I65" s="38">
        <f>IF(TKB_Nhap!I65="","",TKB_Nhap!I65&amp;CHAR(10)&amp;IF(T(INDEX(PhanCong!$B$3:$J$18,MATCH(TKB_Nhap!I65,PhanCong!$A$3:$A$18,0),MATCH($A65,PhanCong!$B$2:$J$2,0)))="","(chưa PC GV)","GV: "&amp;INDEX(PhanCong!$B$3:$J$18,MATCH(TKB_Nhap!I65,PhanCong!$A$3:$A$18,0),MATCH($A65,PhanCong!$B$2:$J$2,0))))</f>
        <v/>
      </c>
      <c r="J65" s="38">
        <f>IF(TKB_Nhap!J65="","",TKB_Nhap!J65&amp;CHAR(10)&amp;IF(T(INDEX(PhanCong!$B$3:$J$18,MATCH(TKB_Nhap!J65,PhanCong!$A$3:$A$18,0),MATCH($A65,PhanCong!$B$2:$J$2,0)))="","(chưa PC GV)","GV: "&amp;INDEX(PhanCong!$B$3:$J$18,MATCH(TKB_Nhap!J65,PhanCong!$A$3:$A$18,0),MATCH($A65,PhanCong!$B$2:$J$2,0))))</f>
        <v/>
      </c>
    </row>
    <row r="66" ht="27.75" customHeight="1">
      <c r="A66" s="30">
        <f>TKB_Nhap!A66</f>
        <v/>
      </c>
      <c r="B66" s="30">
        <f>TKB_Nhap!B66</f>
        <v/>
      </c>
      <c r="C66" s="30">
        <f>TKB_Nhap!C66</f>
        <v/>
      </c>
      <c r="D66" s="26">
        <f>IF(TKB_Nhap!D66="","",TKB_Nhap!D66&amp;CHAR(10)&amp;IF(T(INDEX(PhanCong!$B$3:$J$18,MATCH(TKB_Nhap!D66,PhanCong!$A$3:$A$18,0),MATCH($A66,PhanCong!$B$2:$J$2,0)))="","(chưa PC GV)","GV: "&amp;INDEX(PhanCong!$B$3:$J$18,MATCH(TKB_Nhap!D66,PhanCong!$A$3:$A$18,0),MATCH($A66,PhanCong!$B$2:$J$2,0))))</f>
        <v/>
      </c>
      <c r="E66" s="26">
        <f>IF(TKB_Nhap!E66="","",TKB_Nhap!E66&amp;CHAR(10)&amp;IF(T(INDEX(PhanCong!$B$3:$J$18,MATCH(TKB_Nhap!E66,PhanCong!$A$3:$A$18,0),MATCH($A66,PhanCong!$B$2:$J$2,0)))="","(chưa PC GV)","GV: "&amp;INDEX(PhanCong!$B$3:$J$18,MATCH(TKB_Nhap!E66,PhanCong!$A$3:$A$18,0),MATCH($A66,PhanCong!$B$2:$J$2,0))))</f>
        <v/>
      </c>
      <c r="F66" s="26">
        <f>IF(TKB_Nhap!F66="","",TKB_Nhap!F66&amp;CHAR(10)&amp;IF(T(INDEX(PhanCong!$B$3:$J$18,MATCH(TKB_Nhap!F66,PhanCong!$A$3:$A$18,0),MATCH($A66,PhanCong!$B$2:$J$2,0)))="","(chưa PC GV)","GV: "&amp;INDEX(PhanCong!$B$3:$J$18,MATCH(TKB_Nhap!F66,PhanCong!$A$3:$A$18,0),MATCH($A66,PhanCong!$B$2:$J$2,0))))</f>
        <v/>
      </c>
      <c r="G66" s="26">
        <f>IF(TKB_Nhap!G66="","",TKB_Nhap!G66&amp;CHAR(10)&amp;IF(T(INDEX(PhanCong!$B$3:$J$18,MATCH(TKB_Nhap!G66,PhanCong!$A$3:$A$18,0),MATCH($A66,PhanCong!$B$2:$J$2,0)))="","(chưa PC GV)","GV: "&amp;INDEX(PhanCong!$B$3:$J$18,MATCH(TKB_Nhap!G66,PhanCong!$A$3:$A$18,0),MATCH($A66,PhanCong!$B$2:$J$2,0))))</f>
        <v/>
      </c>
      <c r="H66" s="26">
        <f>IF(TKB_Nhap!H66="","",TKB_Nhap!H66&amp;CHAR(10)&amp;IF(T(INDEX(PhanCong!$B$3:$J$18,MATCH(TKB_Nhap!H66,PhanCong!$A$3:$A$18,0),MATCH($A66,PhanCong!$B$2:$J$2,0)))="","(chưa PC GV)","GV: "&amp;INDEX(PhanCong!$B$3:$J$18,MATCH(TKB_Nhap!H66,PhanCong!$A$3:$A$18,0),MATCH($A66,PhanCong!$B$2:$J$2,0))))</f>
        <v/>
      </c>
      <c r="I66" s="26">
        <f>IF(TKB_Nhap!I66="","",TKB_Nhap!I66&amp;CHAR(10)&amp;IF(T(INDEX(PhanCong!$B$3:$J$18,MATCH(TKB_Nhap!I66,PhanCong!$A$3:$A$18,0),MATCH($A66,PhanCong!$B$2:$J$2,0)))="","(chưa PC GV)","GV: "&amp;INDEX(PhanCong!$B$3:$J$18,MATCH(TKB_Nhap!I66,PhanCong!$A$3:$A$18,0),MATCH($A66,PhanCong!$B$2:$J$2,0))))</f>
        <v/>
      </c>
      <c r="J66" s="26">
        <f>IF(TKB_Nhap!J66="","",TKB_Nhap!J66&amp;CHAR(10)&amp;IF(T(INDEX(PhanCong!$B$3:$J$18,MATCH(TKB_Nhap!J66,PhanCong!$A$3:$A$18,0),MATCH($A66,PhanCong!$B$2:$J$2,0)))="","(chưa PC GV)","GV: "&amp;INDEX(PhanCong!$B$3:$J$18,MATCH(TKB_Nhap!J66,PhanCong!$A$3:$A$18,0),MATCH($A66,PhanCong!$B$2:$J$2,0))))</f>
        <v/>
      </c>
    </row>
    <row r="67" ht="27.75" customHeight="1">
      <c r="A67" s="30">
        <f>TKB_Nhap!A67</f>
        <v/>
      </c>
      <c r="B67" s="30">
        <f>TKB_Nhap!B67</f>
        <v/>
      </c>
      <c r="C67" s="30">
        <f>TKB_Nhap!C67</f>
        <v/>
      </c>
      <c r="D67" s="26">
        <f>IF(TKB_Nhap!D67="","",TKB_Nhap!D67&amp;CHAR(10)&amp;IF(T(INDEX(PhanCong!$B$3:$J$18,MATCH(TKB_Nhap!D67,PhanCong!$A$3:$A$18,0),MATCH($A67,PhanCong!$B$2:$J$2,0)))="","(chưa PC GV)","GV: "&amp;INDEX(PhanCong!$B$3:$J$18,MATCH(TKB_Nhap!D67,PhanCong!$A$3:$A$18,0),MATCH($A67,PhanCong!$B$2:$J$2,0))))</f>
        <v/>
      </c>
      <c r="E67" s="26">
        <f>IF(TKB_Nhap!E67="","",TKB_Nhap!E67&amp;CHAR(10)&amp;IF(T(INDEX(PhanCong!$B$3:$J$18,MATCH(TKB_Nhap!E67,PhanCong!$A$3:$A$18,0),MATCH($A67,PhanCong!$B$2:$J$2,0)))="","(chưa PC GV)","GV: "&amp;INDEX(PhanCong!$B$3:$J$18,MATCH(TKB_Nhap!E67,PhanCong!$A$3:$A$18,0),MATCH($A67,PhanCong!$B$2:$J$2,0))))</f>
        <v/>
      </c>
      <c r="F67" s="26">
        <f>IF(TKB_Nhap!F67="","",TKB_Nhap!F67&amp;CHAR(10)&amp;IF(T(INDEX(PhanCong!$B$3:$J$18,MATCH(TKB_Nhap!F67,PhanCong!$A$3:$A$18,0),MATCH($A67,PhanCong!$B$2:$J$2,0)))="","(chưa PC GV)","GV: "&amp;INDEX(PhanCong!$B$3:$J$18,MATCH(TKB_Nhap!F67,PhanCong!$A$3:$A$18,0),MATCH($A67,PhanCong!$B$2:$J$2,0))))</f>
        <v/>
      </c>
      <c r="G67" s="26">
        <f>IF(TKB_Nhap!G67="","",TKB_Nhap!G67&amp;CHAR(10)&amp;IF(T(INDEX(PhanCong!$B$3:$J$18,MATCH(TKB_Nhap!G67,PhanCong!$A$3:$A$18,0),MATCH($A67,PhanCong!$B$2:$J$2,0)))="","(chưa PC GV)","GV: "&amp;INDEX(PhanCong!$B$3:$J$18,MATCH(TKB_Nhap!G67,PhanCong!$A$3:$A$18,0),MATCH($A67,PhanCong!$B$2:$J$2,0))))</f>
        <v/>
      </c>
      <c r="H67" s="26">
        <f>IF(TKB_Nhap!H67="","",TKB_Nhap!H67&amp;CHAR(10)&amp;IF(T(INDEX(PhanCong!$B$3:$J$18,MATCH(TKB_Nhap!H67,PhanCong!$A$3:$A$18,0),MATCH($A67,PhanCong!$B$2:$J$2,0)))="","(chưa PC GV)","GV: "&amp;INDEX(PhanCong!$B$3:$J$18,MATCH(TKB_Nhap!H67,PhanCong!$A$3:$A$18,0),MATCH($A67,PhanCong!$B$2:$J$2,0))))</f>
        <v/>
      </c>
      <c r="I67" s="26">
        <f>IF(TKB_Nhap!I67="","",TKB_Nhap!I67&amp;CHAR(10)&amp;IF(T(INDEX(PhanCong!$B$3:$J$18,MATCH(TKB_Nhap!I67,PhanCong!$A$3:$A$18,0),MATCH($A67,PhanCong!$B$2:$J$2,0)))="","(chưa PC GV)","GV: "&amp;INDEX(PhanCong!$B$3:$J$18,MATCH(TKB_Nhap!I67,PhanCong!$A$3:$A$18,0),MATCH($A67,PhanCong!$B$2:$J$2,0))))</f>
        <v/>
      </c>
      <c r="J67" s="26">
        <f>IF(TKB_Nhap!J67="","",TKB_Nhap!J67&amp;CHAR(10)&amp;IF(T(INDEX(PhanCong!$B$3:$J$18,MATCH(TKB_Nhap!J67,PhanCong!$A$3:$A$18,0),MATCH($A67,PhanCong!$B$2:$J$2,0)))="","(chưa PC GV)","GV: "&amp;INDEX(PhanCong!$B$3:$J$18,MATCH(TKB_Nhap!J67,PhanCong!$A$3:$A$18,0),MATCH($A67,PhanCong!$B$2:$J$2,0))))</f>
        <v/>
      </c>
    </row>
    <row r="68" ht="27.75" customHeight="1">
      <c r="A68" s="30">
        <f>TKB_Nhap!A68</f>
        <v/>
      </c>
      <c r="B68" s="30">
        <f>TKB_Nhap!B68</f>
        <v/>
      </c>
      <c r="C68" s="30">
        <f>TKB_Nhap!C68</f>
        <v/>
      </c>
      <c r="D68" s="26">
        <f>IF(TKB_Nhap!D68="","",TKB_Nhap!D68&amp;CHAR(10)&amp;IF(T(INDEX(PhanCong!$B$3:$J$18,MATCH(TKB_Nhap!D68,PhanCong!$A$3:$A$18,0),MATCH($A68,PhanCong!$B$2:$J$2,0)))="","(chưa PC GV)","GV: "&amp;INDEX(PhanCong!$B$3:$J$18,MATCH(TKB_Nhap!D68,PhanCong!$A$3:$A$18,0),MATCH($A68,PhanCong!$B$2:$J$2,0))))</f>
        <v/>
      </c>
      <c r="E68" s="26">
        <f>IF(TKB_Nhap!E68="","",TKB_Nhap!E68&amp;CHAR(10)&amp;IF(T(INDEX(PhanCong!$B$3:$J$18,MATCH(TKB_Nhap!E68,PhanCong!$A$3:$A$18,0),MATCH($A68,PhanCong!$B$2:$J$2,0)))="","(chưa PC GV)","GV: "&amp;INDEX(PhanCong!$B$3:$J$18,MATCH(TKB_Nhap!E68,PhanCong!$A$3:$A$18,0),MATCH($A68,PhanCong!$B$2:$J$2,0))))</f>
        <v/>
      </c>
      <c r="F68" s="26">
        <f>IF(TKB_Nhap!F68="","",TKB_Nhap!F68&amp;CHAR(10)&amp;IF(T(INDEX(PhanCong!$B$3:$J$18,MATCH(TKB_Nhap!F68,PhanCong!$A$3:$A$18,0),MATCH($A68,PhanCong!$B$2:$J$2,0)))="","(chưa PC GV)","GV: "&amp;INDEX(PhanCong!$B$3:$J$18,MATCH(TKB_Nhap!F68,PhanCong!$A$3:$A$18,0),MATCH($A68,PhanCong!$B$2:$J$2,0))))</f>
        <v/>
      </c>
      <c r="G68" s="26">
        <f>IF(TKB_Nhap!G68="","",TKB_Nhap!G68&amp;CHAR(10)&amp;IF(T(INDEX(PhanCong!$B$3:$J$18,MATCH(TKB_Nhap!G68,PhanCong!$A$3:$A$18,0),MATCH($A68,PhanCong!$B$2:$J$2,0)))="","(chưa PC GV)","GV: "&amp;INDEX(PhanCong!$B$3:$J$18,MATCH(TKB_Nhap!G68,PhanCong!$A$3:$A$18,0),MATCH($A68,PhanCong!$B$2:$J$2,0))))</f>
        <v/>
      </c>
      <c r="H68" s="26">
        <f>IF(TKB_Nhap!H68="","",TKB_Nhap!H68&amp;CHAR(10)&amp;IF(T(INDEX(PhanCong!$B$3:$J$18,MATCH(TKB_Nhap!H68,PhanCong!$A$3:$A$18,0),MATCH($A68,PhanCong!$B$2:$J$2,0)))="","(chưa PC GV)","GV: "&amp;INDEX(PhanCong!$B$3:$J$18,MATCH(TKB_Nhap!H68,PhanCong!$A$3:$A$18,0),MATCH($A68,PhanCong!$B$2:$J$2,0))))</f>
        <v/>
      </c>
      <c r="I68" s="26">
        <f>IF(TKB_Nhap!I68="","",TKB_Nhap!I68&amp;CHAR(10)&amp;IF(T(INDEX(PhanCong!$B$3:$J$18,MATCH(TKB_Nhap!I68,PhanCong!$A$3:$A$18,0),MATCH($A68,PhanCong!$B$2:$J$2,0)))="","(chưa PC GV)","GV: "&amp;INDEX(PhanCong!$B$3:$J$18,MATCH(TKB_Nhap!I68,PhanCong!$A$3:$A$18,0),MATCH($A68,PhanCong!$B$2:$J$2,0))))</f>
        <v/>
      </c>
      <c r="J68" s="26">
        <f>IF(TKB_Nhap!J68="","",TKB_Nhap!J68&amp;CHAR(10)&amp;IF(T(INDEX(PhanCong!$B$3:$J$18,MATCH(TKB_Nhap!J68,PhanCong!$A$3:$A$18,0),MATCH($A68,PhanCong!$B$2:$J$2,0)))="","(chưa PC GV)","GV: "&amp;INDEX(PhanCong!$B$3:$J$18,MATCH(TKB_Nhap!J68,PhanCong!$A$3:$A$18,0),MATCH($A68,PhanCong!$B$2:$J$2,0))))</f>
        <v/>
      </c>
    </row>
    <row r="69" ht="27.75" customHeight="1">
      <c r="A69" s="30">
        <f>TKB_Nhap!A69</f>
        <v/>
      </c>
      <c r="B69" s="30">
        <f>TKB_Nhap!B69</f>
        <v/>
      </c>
      <c r="C69" s="30">
        <f>TKB_Nhap!C69</f>
        <v/>
      </c>
      <c r="D69" s="26">
        <f>IF(TKB_Nhap!D69="","",TKB_Nhap!D69&amp;CHAR(10)&amp;IF(T(INDEX(PhanCong!$B$3:$J$18,MATCH(TKB_Nhap!D69,PhanCong!$A$3:$A$18,0),MATCH($A69,PhanCong!$B$2:$J$2,0)))="","(chưa PC GV)","GV: "&amp;INDEX(PhanCong!$B$3:$J$18,MATCH(TKB_Nhap!D69,PhanCong!$A$3:$A$18,0),MATCH($A69,PhanCong!$B$2:$J$2,0))))</f>
        <v/>
      </c>
      <c r="E69" s="26">
        <f>IF(TKB_Nhap!E69="","",TKB_Nhap!E69&amp;CHAR(10)&amp;IF(T(INDEX(PhanCong!$B$3:$J$18,MATCH(TKB_Nhap!E69,PhanCong!$A$3:$A$18,0),MATCH($A69,PhanCong!$B$2:$J$2,0)))="","(chưa PC GV)","GV: "&amp;INDEX(PhanCong!$B$3:$J$18,MATCH(TKB_Nhap!E69,PhanCong!$A$3:$A$18,0),MATCH($A69,PhanCong!$B$2:$J$2,0))))</f>
        <v/>
      </c>
      <c r="F69" s="26">
        <f>IF(TKB_Nhap!F69="","",TKB_Nhap!F69&amp;CHAR(10)&amp;IF(T(INDEX(PhanCong!$B$3:$J$18,MATCH(TKB_Nhap!F69,PhanCong!$A$3:$A$18,0),MATCH($A69,PhanCong!$B$2:$J$2,0)))="","(chưa PC GV)","GV: "&amp;INDEX(PhanCong!$B$3:$J$18,MATCH(TKB_Nhap!F69,PhanCong!$A$3:$A$18,0),MATCH($A69,PhanCong!$B$2:$J$2,0))))</f>
        <v/>
      </c>
      <c r="G69" s="26">
        <f>IF(TKB_Nhap!G69="","",TKB_Nhap!G69&amp;CHAR(10)&amp;IF(T(INDEX(PhanCong!$B$3:$J$18,MATCH(TKB_Nhap!G69,PhanCong!$A$3:$A$18,0),MATCH($A69,PhanCong!$B$2:$J$2,0)))="","(chưa PC GV)","GV: "&amp;INDEX(PhanCong!$B$3:$J$18,MATCH(TKB_Nhap!G69,PhanCong!$A$3:$A$18,0),MATCH($A69,PhanCong!$B$2:$J$2,0))))</f>
        <v/>
      </c>
      <c r="H69" s="26">
        <f>IF(TKB_Nhap!H69="","",TKB_Nhap!H69&amp;CHAR(10)&amp;IF(T(INDEX(PhanCong!$B$3:$J$18,MATCH(TKB_Nhap!H69,PhanCong!$A$3:$A$18,0),MATCH($A69,PhanCong!$B$2:$J$2,0)))="","(chưa PC GV)","GV: "&amp;INDEX(PhanCong!$B$3:$J$18,MATCH(TKB_Nhap!H69,PhanCong!$A$3:$A$18,0),MATCH($A69,PhanCong!$B$2:$J$2,0))))</f>
        <v/>
      </c>
      <c r="I69" s="26">
        <f>IF(TKB_Nhap!I69="","",TKB_Nhap!I69&amp;CHAR(10)&amp;IF(T(INDEX(PhanCong!$B$3:$J$18,MATCH(TKB_Nhap!I69,PhanCong!$A$3:$A$18,0),MATCH($A69,PhanCong!$B$2:$J$2,0)))="","(chưa PC GV)","GV: "&amp;INDEX(PhanCong!$B$3:$J$18,MATCH(TKB_Nhap!I69,PhanCong!$A$3:$A$18,0),MATCH($A69,PhanCong!$B$2:$J$2,0))))</f>
        <v/>
      </c>
      <c r="J69" s="26">
        <f>IF(TKB_Nhap!J69="","",TKB_Nhap!J69&amp;CHAR(10)&amp;IF(T(INDEX(PhanCong!$B$3:$J$18,MATCH(TKB_Nhap!J69,PhanCong!$A$3:$A$18,0),MATCH($A69,PhanCong!$B$2:$J$2,0)))="","(chưa PC GV)","GV: "&amp;INDEX(PhanCong!$B$3:$J$18,MATCH(TKB_Nhap!J69,PhanCong!$A$3:$A$18,0),MATCH($A69,PhanCong!$B$2:$J$2,0))))</f>
        <v/>
      </c>
    </row>
    <row r="70" ht="27.75" customHeight="1">
      <c r="A70" s="30">
        <f>TKB_Nhap!A70</f>
        <v/>
      </c>
      <c r="B70" s="30">
        <f>TKB_Nhap!B70</f>
        <v/>
      </c>
      <c r="C70" s="30">
        <f>TKB_Nhap!C70</f>
        <v/>
      </c>
      <c r="D70" s="26">
        <f>IF(TKB_Nhap!D70="","",TKB_Nhap!D70&amp;CHAR(10)&amp;IF(T(INDEX(PhanCong!$B$3:$J$18,MATCH(TKB_Nhap!D70,PhanCong!$A$3:$A$18,0),MATCH($A70,PhanCong!$B$2:$J$2,0)))="","(chưa PC GV)","GV: "&amp;INDEX(PhanCong!$B$3:$J$18,MATCH(TKB_Nhap!D70,PhanCong!$A$3:$A$18,0),MATCH($A70,PhanCong!$B$2:$J$2,0))))</f>
        <v/>
      </c>
      <c r="E70" s="26">
        <f>IF(TKB_Nhap!E70="","",TKB_Nhap!E70&amp;CHAR(10)&amp;IF(T(INDEX(PhanCong!$B$3:$J$18,MATCH(TKB_Nhap!E70,PhanCong!$A$3:$A$18,0),MATCH($A70,PhanCong!$B$2:$J$2,0)))="","(chưa PC GV)","GV: "&amp;INDEX(PhanCong!$B$3:$J$18,MATCH(TKB_Nhap!E70,PhanCong!$A$3:$A$18,0),MATCH($A70,PhanCong!$B$2:$J$2,0))))</f>
        <v/>
      </c>
      <c r="F70" s="26">
        <f>IF(TKB_Nhap!F70="","",TKB_Nhap!F70&amp;CHAR(10)&amp;IF(T(INDEX(PhanCong!$B$3:$J$18,MATCH(TKB_Nhap!F70,PhanCong!$A$3:$A$18,0),MATCH($A70,PhanCong!$B$2:$J$2,0)))="","(chưa PC GV)","GV: "&amp;INDEX(PhanCong!$B$3:$J$18,MATCH(TKB_Nhap!F70,PhanCong!$A$3:$A$18,0),MATCH($A70,PhanCong!$B$2:$J$2,0))))</f>
        <v/>
      </c>
      <c r="G70" s="26">
        <f>IF(TKB_Nhap!G70="","",TKB_Nhap!G70&amp;CHAR(10)&amp;IF(T(INDEX(PhanCong!$B$3:$J$18,MATCH(TKB_Nhap!G70,PhanCong!$A$3:$A$18,0),MATCH($A70,PhanCong!$B$2:$J$2,0)))="","(chưa PC GV)","GV: "&amp;INDEX(PhanCong!$B$3:$J$18,MATCH(TKB_Nhap!G70,PhanCong!$A$3:$A$18,0),MATCH($A70,PhanCong!$B$2:$J$2,0))))</f>
        <v/>
      </c>
      <c r="H70" s="26">
        <f>IF(TKB_Nhap!H70="","",TKB_Nhap!H70&amp;CHAR(10)&amp;IF(T(INDEX(PhanCong!$B$3:$J$18,MATCH(TKB_Nhap!H70,PhanCong!$A$3:$A$18,0),MATCH($A70,PhanCong!$B$2:$J$2,0)))="","(chưa PC GV)","GV: "&amp;INDEX(PhanCong!$B$3:$J$18,MATCH(TKB_Nhap!H70,PhanCong!$A$3:$A$18,0),MATCH($A70,PhanCong!$B$2:$J$2,0))))</f>
        <v/>
      </c>
      <c r="I70" s="26">
        <f>IF(TKB_Nhap!I70="","",TKB_Nhap!I70&amp;CHAR(10)&amp;IF(T(INDEX(PhanCong!$B$3:$J$18,MATCH(TKB_Nhap!I70,PhanCong!$A$3:$A$18,0),MATCH($A70,PhanCong!$B$2:$J$2,0)))="","(chưa PC GV)","GV: "&amp;INDEX(PhanCong!$B$3:$J$18,MATCH(TKB_Nhap!I70,PhanCong!$A$3:$A$18,0),MATCH($A70,PhanCong!$B$2:$J$2,0))))</f>
        <v/>
      </c>
      <c r="J70" s="26">
        <f>IF(TKB_Nhap!J70="","",TKB_Nhap!J70&amp;CHAR(10)&amp;IF(T(INDEX(PhanCong!$B$3:$J$18,MATCH(TKB_Nhap!J70,PhanCong!$A$3:$A$18,0),MATCH($A70,PhanCong!$B$2:$J$2,0)))="","(chưa PC GV)","GV: "&amp;INDEX(PhanCong!$B$3:$J$18,MATCH(TKB_Nhap!J70,PhanCong!$A$3:$A$18,0),MATCH($A70,PhanCong!$B$2:$J$2,0))))</f>
        <v/>
      </c>
    </row>
    <row r="71" ht="27.75" customHeight="1">
      <c r="A71" s="30">
        <f>TKB_Nhap!A71</f>
        <v/>
      </c>
      <c r="B71" s="30">
        <f>TKB_Nhap!B71</f>
        <v/>
      </c>
      <c r="C71" s="30">
        <f>TKB_Nhap!C71</f>
        <v/>
      </c>
      <c r="D71" s="26">
        <f>IF(TKB_Nhap!D71="","",TKB_Nhap!D71&amp;CHAR(10)&amp;IF(T(INDEX(PhanCong!$B$3:$J$18,MATCH(TKB_Nhap!D71,PhanCong!$A$3:$A$18,0),MATCH($A71,PhanCong!$B$2:$J$2,0)))="","(chưa PC GV)","GV: "&amp;INDEX(PhanCong!$B$3:$J$18,MATCH(TKB_Nhap!D71,PhanCong!$A$3:$A$18,0),MATCH($A71,PhanCong!$B$2:$J$2,0))))</f>
        <v/>
      </c>
      <c r="E71" s="26">
        <f>IF(TKB_Nhap!E71="","",TKB_Nhap!E71&amp;CHAR(10)&amp;IF(T(INDEX(PhanCong!$B$3:$J$18,MATCH(TKB_Nhap!E71,PhanCong!$A$3:$A$18,0),MATCH($A71,PhanCong!$B$2:$J$2,0)))="","(chưa PC GV)","GV: "&amp;INDEX(PhanCong!$B$3:$J$18,MATCH(TKB_Nhap!E71,PhanCong!$A$3:$A$18,0),MATCH($A71,PhanCong!$B$2:$J$2,0))))</f>
        <v/>
      </c>
      <c r="F71" s="26">
        <f>IF(TKB_Nhap!F71="","",TKB_Nhap!F71&amp;CHAR(10)&amp;IF(T(INDEX(PhanCong!$B$3:$J$18,MATCH(TKB_Nhap!F71,PhanCong!$A$3:$A$18,0),MATCH($A71,PhanCong!$B$2:$J$2,0)))="","(chưa PC GV)","GV: "&amp;INDEX(PhanCong!$B$3:$J$18,MATCH(TKB_Nhap!F71,PhanCong!$A$3:$A$18,0),MATCH($A71,PhanCong!$B$2:$J$2,0))))</f>
        <v/>
      </c>
      <c r="G71" s="26">
        <f>IF(TKB_Nhap!G71="","",TKB_Nhap!G71&amp;CHAR(10)&amp;IF(T(INDEX(PhanCong!$B$3:$J$18,MATCH(TKB_Nhap!G71,PhanCong!$A$3:$A$18,0),MATCH($A71,PhanCong!$B$2:$J$2,0)))="","(chưa PC GV)","GV: "&amp;INDEX(PhanCong!$B$3:$J$18,MATCH(TKB_Nhap!G71,PhanCong!$A$3:$A$18,0),MATCH($A71,PhanCong!$B$2:$J$2,0))))</f>
        <v/>
      </c>
      <c r="H71" s="26">
        <f>IF(TKB_Nhap!H71="","",TKB_Nhap!H71&amp;CHAR(10)&amp;IF(T(INDEX(PhanCong!$B$3:$J$18,MATCH(TKB_Nhap!H71,PhanCong!$A$3:$A$18,0),MATCH($A71,PhanCong!$B$2:$J$2,0)))="","(chưa PC GV)","GV: "&amp;INDEX(PhanCong!$B$3:$J$18,MATCH(TKB_Nhap!H71,PhanCong!$A$3:$A$18,0),MATCH($A71,PhanCong!$B$2:$J$2,0))))</f>
        <v/>
      </c>
      <c r="I71" s="26">
        <f>IF(TKB_Nhap!I71="","",TKB_Nhap!I71&amp;CHAR(10)&amp;IF(T(INDEX(PhanCong!$B$3:$J$18,MATCH(TKB_Nhap!I71,PhanCong!$A$3:$A$18,0),MATCH($A71,PhanCong!$B$2:$J$2,0)))="","(chưa PC GV)","GV: "&amp;INDEX(PhanCong!$B$3:$J$18,MATCH(TKB_Nhap!I71,PhanCong!$A$3:$A$18,0),MATCH($A71,PhanCong!$B$2:$J$2,0))))</f>
        <v/>
      </c>
      <c r="J71" s="26">
        <f>IF(TKB_Nhap!J71="","",TKB_Nhap!J71&amp;CHAR(10)&amp;IF(T(INDEX(PhanCong!$B$3:$J$18,MATCH(TKB_Nhap!J71,PhanCong!$A$3:$A$18,0),MATCH($A71,PhanCong!$B$2:$J$2,0)))="","(chưa PC GV)","GV: "&amp;INDEX(PhanCong!$B$3:$J$18,MATCH(TKB_Nhap!J71,PhanCong!$A$3:$A$18,0),MATCH($A71,PhanCong!$B$2:$J$2,0))))</f>
        <v/>
      </c>
    </row>
    <row r="72" ht="27.75" customHeight="1">
      <c r="A72" s="30">
        <f>TKB_Nhap!A72</f>
        <v/>
      </c>
      <c r="B72" s="30">
        <f>TKB_Nhap!B72</f>
        <v/>
      </c>
      <c r="C72" s="30">
        <f>TKB_Nhap!C72</f>
        <v/>
      </c>
      <c r="D72" s="26">
        <f>IF(TKB_Nhap!D72="","",TKB_Nhap!D72&amp;CHAR(10)&amp;IF(T(INDEX(PhanCong!$B$3:$J$18,MATCH(TKB_Nhap!D72,PhanCong!$A$3:$A$18,0),MATCH($A72,PhanCong!$B$2:$J$2,0)))="","(chưa PC GV)","GV: "&amp;INDEX(PhanCong!$B$3:$J$18,MATCH(TKB_Nhap!D72,PhanCong!$A$3:$A$18,0),MATCH($A72,PhanCong!$B$2:$J$2,0))))</f>
        <v/>
      </c>
      <c r="E72" s="26">
        <f>IF(TKB_Nhap!E72="","",TKB_Nhap!E72&amp;CHAR(10)&amp;IF(T(INDEX(PhanCong!$B$3:$J$18,MATCH(TKB_Nhap!E72,PhanCong!$A$3:$A$18,0),MATCH($A72,PhanCong!$B$2:$J$2,0)))="","(chưa PC GV)","GV: "&amp;INDEX(PhanCong!$B$3:$J$18,MATCH(TKB_Nhap!E72,PhanCong!$A$3:$A$18,0),MATCH($A72,PhanCong!$B$2:$J$2,0))))</f>
        <v/>
      </c>
      <c r="F72" s="26">
        <f>IF(TKB_Nhap!F72="","",TKB_Nhap!F72&amp;CHAR(10)&amp;IF(T(INDEX(PhanCong!$B$3:$J$18,MATCH(TKB_Nhap!F72,PhanCong!$A$3:$A$18,0),MATCH($A72,PhanCong!$B$2:$J$2,0)))="","(chưa PC GV)","GV: "&amp;INDEX(PhanCong!$B$3:$J$18,MATCH(TKB_Nhap!F72,PhanCong!$A$3:$A$18,0),MATCH($A72,PhanCong!$B$2:$J$2,0))))</f>
        <v/>
      </c>
      <c r="G72" s="26">
        <f>IF(TKB_Nhap!G72="","",TKB_Nhap!G72&amp;CHAR(10)&amp;IF(T(INDEX(PhanCong!$B$3:$J$18,MATCH(TKB_Nhap!G72,PhanCong!$A$3:$A$18,0),MATCH($A72,PhanCong!$B$2:$J$2,0)))="","(chưa PC GV)","GV: "&amp;INDEX(PhanCong!$B$3:$J$18,MATCH(TKB_Nhap!G72,PhanCong!$A$3:$A$18,0),MATCH($A72,PhanCong!$B$2:$J$2,0))))</f>
        <v/>
      </c>
      <c r="H72" s="26">
        <f>IF(TKB_Nhap!H72="","",TKB_Nhap!H72&amp;CHAR(10)&amp;IF(T(INDEX(PhanCong!$B$3:$J$18,MATCH(TKB_Nhap!H72,PhanCong!$A$3:$A$18,0),MATCH($A72,PhanCong!$B$2:$J$2,0)))="","(chưa PC GV)","GV: "&amp;INDEX(PhanCong!$B$3:$J$18,MATCH(TKB_Nhap!H72,PhanCong!$A$3:$A$18,0),MATCH($A72,PhanCong!$B$2:$J$2,0))))</f>
        <v/>
      </c>
      <c r="I72" s="26">
        <f>IF(TKB_Nhap!I72="","",TKB_Nhap!I72&amp;CHAR(10)&amp;IF(T(INDEX(PhanCong!$B$3:$J$18,MATCH(TKB_Nhap!I72,PhanCong!$A$3:$A$18,0),MATCH($A72,PhanCong!$B$2:$J$2,0)))="","(chưa PC GV)","GV: "&amp;INDEX(PhanCong!$B$3:$J$18,MATCH(TKB_Nhap!I72,PhanCong!$A$3:$A$18,0),MATCH($A72,PhanCong!$B$2:$J$2,0))))</f>
        <v/>
      </c>
      <c r="J72" s="26">
        <f>IF(TKB_Nhap!J72="","",TKB_Nhap!J72&amp;CHAR(10)&amp;IF(T(INDEX(PhanCong!$B$3:$J$18,MATCH(TKB_Nhap!J72,PhanCong!$A$3:$A$18,0),MATCH($A72,PhanCong!$B$2:$J$2,0)))="","(chưa PC GV)","GV: "&amp;INDEX(PhanCong!$B$3:$J$18,MATCH(TKB_Nhap!J72,PhanCong!$A$3:$A$18,0),MATCH($A72,PhanCong!$B$2:$J$2,0))))</f>
        <v/>
      </c>
    </row>
    <row r="73" ht="27.75" customHeight="1">
      <c r="A73" s="30">
        <f>TKB_Nhap!A73</f>
        <v/>
      </c>
      <c r="B73" s="30">
        <f>TKB_Nhap!B73</f>
        <v/>
      </c>
      <c r="C73" s="30">
        <f>TKB_Nhap!C73</f>
        <v/>
      </c>
      <c r="D73" s="26">
        <f>IF(TKB_Nhap!D73="","",TKB_Nhap!D73&amp;CHAR(10)&amp;IF(T(INDEX(PhanCong!$B$3:$J$18,MATCH(TKB_Nhap!D73,PhanCong!$A$3:$A$18,0),MATCH($A73,PhanCong!$B$2:$J$2,0)))="","(chưa PC GV)","GV: "&amp;INDEX(PhanCong!$B$3:$J$18,MATCH(TKB_Nhap!D73,PhanCong!$A$3:$A$18,0),MATCH($A73,PhanCong!$B$2:$J$2,0))))</f>
        <v/>
      </c>
      <c r="E73" s="26">
        <f>IF(TKB_Nhap!E73="","",TKB_Nhap!E73&amp;CHAR(10)&amp;IF(T(INDEX(PhanCong!$B$3:$J$18,MATCH(TKB_Nhap!E73,PhanCong!$A$3:$A$18,0),MATCH($A73,PhanCong!$B$2:$J$2,0)))="","(chưa PC GV)","GV: "&amp;INDEX(PhanCong!$B$3:$J$18,MATCH(TKB_Nhap!E73,PhanCong!$A$3:$A$18,0),MATCH($A73,PhanCong!$B$2:$J$2,0))))</f>
        <v/>
      </c>
      <c r="F73" s="26">
        <f>IF(TKB_Nhap!F73="","",TKB_Nhap!F73&amp;CHAR(10)&amp;IF(T(INDEX(PhanCong!$B$3:$J$18,MATCH(TKB_Nhap!F73,PhanCong!$A$3:$A$18,0),MATCH($A73,PhanCong!$B$2:$J$2,0)))="","(chưa PC GV)","GV: "&amp;INDEX(PhanCong!$B$3:$J$18,MATCH(TKB_Nhap!F73,PhanCong!$A$3:$A$18,0),MATCH($A73,PhanCong!$B$2:$J$2,0))))</f>
        <v/>
      </c>
      <c r="G73" s="26">
        <f>IF(TKB_Nhap!G73="","",TKB_Nhap!G73&amp;CHAR(10)&amp;IF(T(INDEX(PhanCong!$B$3:$J$18,MATCH(TKB_Nhap!G73,PhanCong!$A$3:$A$18,0),MATCH($A73,PhanCong!$B$2:$J$2,0)))="","(chưa PC GV)","GV: "&amp;INDEX(PhanCong!$B$3:$J$18,MATCH(TKB_Nhap!G73,PhanCong!$A$3:$A$18,0),MATCH($A73,PhanCong!$B$2:$J$2,0))))</f>
        <v/>
      </c>
      <c r="H73" s="26">
        <f>IF(TKB_Nhap!H73="","",TKB_Nhap!H73&amp;CHAR(10)&amp;IF(T(INDEX(PhanCong!$B$3:$J$18,MATCH(TKB_Nhap!H73,PhanCong!$A$3:$A$18,0),MATCH($A73,PhanCong!$B$2:$J$2,0)))="","(chưa PC GV)","GV: "&amp;INDEX(PhanCong!$B$3:$J$18,MATCH(TKB_Nhap!H73,PhanCong!$A$3:$A$18,0),MATCH($A73,PhanCong!$B$2:$J$2,0))))</f>
        <v/>
      </c>
      <c r="I73" s="26">
        <f>IF(TKB_Nhap!I73="","",TKB_Nhap!I73&amp;CHAR(10)&amp;IF(T(INDEX(PhanCong!$B$3:$J$18,MATCH(TKB_Nhap!I73,PhanCong!$A$3:$A$18,0),MATCH($A73,PhanCong!$B$2:$J$2,0)))="","(chưa PC GV)","GV: "&amp;INDEX(PhanCong!$B$3:$J$18,MATCH(TKB_Nhap!I73,PhanCong!$A$3:$A$18,0),MATCH($A73,PhanCong!$B$2:$J$2,0))))</f>
        <v/>
      </c>
      <c r="J73" s="26">
        <f>IF(TKB_Nhap!J73="","",TKB_Nhap!J73&amp;CHAR(10)&amp;IF(T(INDEX(PhanCong!$B$3:$J$18,MATCH(TKB_Nhap!J73,PhanCong!$A$3:$A$18,0),MATCH($A73,PhanCong!$B$2:$J$2,0)))="","(chưa PC GV)","GV: "&amp;INDEX(PhanCong!$B$3:$J$18,MATCH(TKB_Nhap!J73,PhanCong!$A$3:$A$18,0),MATCH($A73,PhanCong!$B$2:$J$2,0))))</f>
        <v/>
      </c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IF(TKB_Nhap!D2="","",IFERROR(T(INDEX(PhanCong!$B$3:$J$18,MATCH(TKB_Nhap!D2,PhanCong!$A$3:$A$18,0),MATCH($A2,PhanCong!$B$2:$J$2,0))),""))</f>
        <v/>
      </c>
      <c r="E2" s="30">
        <f>IF(TKB_Nhap!E2="","",IFERROR(T(INDEX(PhanCong!$B$3:$J$18,MATCH(TKB_Nhap!E2,PhanCong!$A$3:$A$18,0),MATCH($A2,PhanCong!$B$2:$J$2,0))),""))</f>
        <v/>
      </c>
      <c r="F2" s="30">
        <f>IF(TKB_Nhap!F2="","",IFERROR(T(INDEX(PhanCong!$B$3:$J$18,MATCH(TKB_Nhap!F2,PhanCong!$A$3:$A$18,0),MATCH($A2,PhanCong!$B$2:$J$2,0))),""))</f>
        <v/>
      </c>
      <c r="G2" s="30">
        <f>IF(TKB_Nhap!G2="","",IFERROR(T(INDEX(PhanCong!$B$3:$J$18,MATCH(TKB_Nhap!G2,PhanCong!$A$3:$A$18,0),MATCH($A2,PhanCong!$B$2:$J$2,0))),""))</f>
        <v/>
      </c>
      <c r="H2" s="30">
        <f>IF(TKB_Nhap!H2="","",IFERROR(T(INDEX(PhanCong!$B$3:$J$18,MATCH(TKB_Nhap!H2,PhanCong!$A$3:$A$18,0),MATCH($A2,PhanCong!$B$2:$J$2,0))),""))</f>
        <v/>
      </c>
      <c r="I2" s="30">
        <f>IF(TKB_Nhap!I2="","",IFERROR(T(INDEX(PhanCong!$B$3:$J$18,MATCH(TKB_Nhap!I2,PhanCong!$A$3:$A$18,0),MATCH($A2,PhanCong!$B$2:$J$2,0))),""))</f>
        <v/>
      </c>
      <c r="J2" s="30">
        <f>IF(TKB_Nhap!J2="","",IFERROR(T(INDEX(PhanCong!$B$3:$J$18,MATCH(TKB_Nhap!J2,PhanCong!$A$3:$A$18,0),MATCH($A2,PhanCong!$B$2:$J$2,0))),""))</f>
        <v/>
      </c>
      <c r="L2" s="39">
        <f>IF(D2="",0,IF(COUNTIFS($B$2:$B$73,$B2,$C$2:$C$73,$C2,D$2:D$73,D2)&gt;1,1,0))</f>
        <v/>
      </c>
      <c r="M2" s="39">
        <f>IF(E2="",0,IF(COUNTIFS($B$2:$B$73,$B2,$C$2:$C$73,$C2,E$2:E$73,E2)&gt;1,1,0))</f>
        <v/>
      </c>
      <c r="N2" s="39">
        <f>IF(F2="",0,IF(COUNTIFS($B$2:$B$73,$B2,$C$2:$C$73,$C2,F$2:F$73,F2)&gt;1,1,0))</f>
        <v/>
      </c>
      <c r="O2" s="39">
        <f>IF(G2="",0,IF(COUNTIFS($B$2:$B$73,$B2,$C$2:$C$73,$C2,G$2:G$73,G2)&gt;1,1,0))</f>
        <v/>
      </c>
      <c r="P2" s="39">
        <f>IF(H2="",0,IF(COUNTIFS($B$2:$B$73,$B2,$C$2:$C$73,$C2,H$2:H$73,H2)&gt;1,1,0))</f>
        <v/>
      </c>
      <c r="Q2" s="39">
        <f>IF(I2="",0,IF(COUNTIFS($B$2:$B$73,$B2,$C$2:$C$73,$C2,I$2:I$73,I2)&gt;1,1,0))</f>
        <v/>
      </c>
      <c r="R2" s="39">
        <f>IF(J2="",0,IF(COUNTIFS($B$2:$B$73,$B2,$C$2:$C$73,$C2,J$2:J$73,J2)&gt;1,1,0))</f>
        <v/>
      </c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IF(TKB_Nhap!D3="","",IFERROR(T(INDEX(PhanCong!$B$3:$J$18,MATCH(TKB_Nhap!D3,PhanCong!$A$3:$A$18,0),MATCH($A3,PhanCong!$B$2:$J$2,0))),""))</f>
        <v/>
      </c>
      <c r="E3" s="30">
        <f>IF(TKB_Nhap!E3="","",IFERROR(T(INDEX(PhanCong!$B$3:$J$18,MATCH(TKB_Nhap!E3,PhanCong!$A$3:$A$18,0),MATCH($A3,PhanCong!$B$2:$J$2,0))),""))</f>
        <v/>
      </c>
      <c r="F3" s="30">
        <f>IF(TKB_Nhap!F3="","",IFERROR(T(INDEX(PhanCong!$B$3:$J$18,MATCH(TKB_Nhap!F3,PhanCong!$A$3:$A$18,0),MATCH($A3,PhanCong!$B$2:$J$2,0))),""))</f>
        <v/>
      </c>
      <c r="G3" s="30">
        <f>IF(TKB_Nhap!G3="","",IFERROR(T(INDEX(PhanCong!$B$3:$J$18,MATCH(TKB_Nhap!G3,PhanCong!$A$3:$A$18,0),MATCH($A3,PhanCong!$B$2:$J$2,0))),""))</f>
        <v/>
      </c>
      <c r="H3" s="30">
        <f>IF(TKB_Nhap!H3="","",IFERROR(T(INDEX(PhanCong!$B$3:$J$18,MATCH(TKB_Nhap!H3,PhanCong!$A$3:$A$18,0),MATCH($A3,PhanCong!$B$2:$J$2,0))),""))</f>
        <v/>
      </c>
      <c r="I3" s="30">
        <f>IF(TKB_Nhap!I3="","",IFERROR(T(INDEX(PhanCong!$B$3:$J$18,MATCH(TKB_Nhap!I3,PhanCong!$A$3:$A$18,0),MATCH($A3,PhanCong!$B$2:$J$2,0))),""))</f>
        <v/>
      </c>
      <c r="J3" s="30">
        <f>IF(TKB_Nhap!J3="","",IFERROR(T(INDEX(PhanCong!$B$3:$J$18,MATCH(TKB_Nhap!J3,PhanCong!$A$3:$A$18,0),MATCH($A3,PhanCong!$B$2:$J$2,0))),""))</f>
        <v/>
      </c>
      <c r="L3" s="39">
        <f>IF(D3="",0,IF(COUNTIFS($B$2:$B$73,$B3,$C$2:$C$73,$C3,D$2:D$73,D3)&gt;1,1,0))</f>
        <v/>
      </c>
      <c r="M3" s="39">
        <f>IF(E3="",0,IF(COUNTIFS($B$2:$B$73,$B3,$C$2:$C$73,$C3,E$2:E$73,E3)&gt;1,1,0))</f>
        <v/>
      </c>
      <c r="N3" s="39">
        <f>IF(F3="",0,IF(COUNTIFS($B$2:$B$73,$B3,$C$2:$C$73,$C3,F$2:F$73,F3)&gt;1,1,0))</f>
        <v/>
      </c>
      <c r="O3" s="39">
        <f>IF(G3="",0,IF(COUNTIFS($B$2:$B$73,$B3,$C$2:$C$73,$C3,G$2:G$73,G3)&gt;1,1,0))</f>
        <v/>
      </c>
      <c r="P3" s="39">
        <f>IF(H3="",0,IF(COUNTIFS($B$2:$B$73,$B3,$C$2:$C$73,$C3,H$2:H$73,H3)&gt;1,1,0))</f>
        <v/>
      </c>
      <c r="Q3" s="39">
        <f>IF(I3="",0,IF(COUNTIFS($B$2:$B$73,$B3,$C$2:$C$73,$C3,I$2:I$73,I3)&gt;1,1,0))</f>
        <v/>
      </c>
      <c r="R3" s="39">
        <f>IF(J3="",0,IF(COUNTIFS($B$2:$B$73,$B3,$C$2:$C$73,$C3,J$2:J$73,J3)&gt;1,1,0))</f>
        <v/>
      </c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IF(TKB_Nhap!D4="","",IFERROR(T(INDEX(PhanCong!$B$3:$J$18,MATCH(TKB_Nhap!D4,PhanCong!$A$3:$A$18,0),MATCH($A4,PhanCong!$B$2:$J$2,0))),""))</f>
        <v/>
      </c>
      <c r="E4" s="30">
        <f>IF(TKB_Nhap!E4="","",IFERROR(T(INDEX(PhanCong!$B$3:$J$18,MATCH(TKB_Nhap!E4,PhanCong!$A$3:$A$18,0),MATCH($A4,PhanCong!$B$2:$J$2,0))),""))</f>
        <v/>
      </c>
      <c r="F4" s="30">
        <f>IF(TKB_Nhap!F4="","",IFERROR(T(INDEX(PhanCong!$B$3:$J$18,MATCH(TKB_Nhap!F4,PhanCong!$A$3:$A$18,0),MATCH($A4,PhanCong!$B$2:$J$2,0))),""))</f>
        <v/>
      </c>
      <c r="G4" s="30">
        <f>IF(TKB_Nhap!G4="","",IFERROR(T(INDEX(PhanCong!$B$3:$J$18,MATCH(TKB_Nhap!G4,PhanCong!$A$3:$A$18,0),MATCH($A4,PhanCong!$B$2:$J$2,0))),""))</f>
        <v/>
      </c>
      <c r="H4" s="30">
        <f>IF(TKB_Nhap!H4="","",IFERROR(T(INDEX(PhanCong!$B$3:$J$18,MATCH(TKB_Nhap!H4,PhanCong!$A$3:$A$18,0),MATCH($A4,PhanCong!$B$2:$J$2,0))),""))</f>
        <v/>
      </c>
      <c r="I4" s="30">
        <f>IF(TKB_Nhap!I4="","",IFERROR(T(INDEX(PhanCong!$B$3:$J$18,MATCH(TKB_Nhap!I4,PhanCong!$A$3:$A$18,0),MATCH($A4,PhanCong!$B$2:$J$2,0))),""))</f>
        <v/>
      </c>
      <c r="J4" s="30">
        <f>IF(TKB_Nhap!J4="","",IFERROR(T(INDEX(PhanCong!$B$3:$J$18,MATCH(TKB_Nhap!J4,PhanCong!$A$3:$A$18,0),MATCH($A4,PhanCong!$B$2:$J$2,0))),""))</f>
        <v/>
      </c>
      <c r="L4" s="39">
        <f>IF(D4="",0,IF(COUNTIFS($B$2:$B$73,$B4,$C$2:$C$73,$C4,D$2:D$73,D4)&gt;1,1,0))</f>
        <v/>
      </c>
      <c r="M4" s="39">
        <f>IF(E4="",0,IF(COUNTIFS($B$2:$B$73,$B4,$C$2:$C$73,$C4,E$2:E$73,E4)&gt;1,1,0))</f>
        <v/>
      </c>
      <c r="N4" s="39">
        <f>IF(F4="",0,IF(COUNTIFS($B$2:$B$73,$B4,$C$2:$C$73,$C4,F$2:F$73,F4)&gt;1,1,0))</f>
        <v/>
      </c>
      <c r="O4" s="39">
        <f>IF(G4="",0,IF(COUNTIFS($B$2:$B$73,$B4,$C$2:$C$73,$C4,G$2:G$73,G4)&gt;1,1,0))</f>
        <v/>
      </c>
      <c r="P4" s="39">
        <f>IF(H4="",0,IF(COUNTIFS($B$2:$B$73,$B4,$C$2:$C$73,$C4,H$2:H$73,H4)&gt;1,1,0))</f>
        <v/>
      </c>
      <c r="Q4" s="39">
        <f>IF(I4="",0,IF(COUNTIFS($B$2:$B$73,$B4,$C$2:$C$73,$C4,I$2:I$73,I4)&gt;1,1,0))</f>
        <v/>
      </c>
      <c r="R4" s="39">
        <f>IF(J4="",0,IF(COUNTIFS($B$2:$B$73,$B4,$C$2:$C$73,$C4,J$2:J$73,J4)&gt;1,1,0))</f>
        <v/>
      </c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IF(TKB_Nhap!D5="","",IFERROR(T(INDEX(PhanCong!$B$3:$J$18,MATCH(TKB_Nhap!D5,PhanCong!$A$3:$A$18,0),MATCH($A5,PhanCong!$B$2:$J$2,0))),""))</f>
        <v/>
      </c>
      <c r="E5" s="30">
        <f>IF(TKB_Nhap!E5="","",IFERROR(T(INDEX(PhanCong!$B$3:$J$18,MATCH(TKB_Nhap!E5,PhanCong!$A$3:$A$18,0),MATCH($A5,PhanCong!$B$2:$J$2,0))),""))</f>
        <v/>
      </c>
      <c r="F5" s="30">
        <f>IF(TKB_Nhap!F5="","",IFERROR(T(INDEX(PhanCong!$B$3:$J$18,MATCH(TKB_Nhap!F5,PhanCong!$A$3:$A$18,0),MATCH($A5,PhanCong!$B$2:$J$2,0))),""))</f>
        <v/>
      </c>
      <c r="G5" s="30">
        <f>IF(TKB_Nhap!G5="","",IFERROR(T(INDEX(PhanCong!$B$3:$J$18,MATCH(TKB_Nhap!G5,PhanCong!$A$3:$A$18,0),MATCH($A5,PhanCong!$B$2:$J$2,0))),""))</f>
        <v/>
      </c>
      <c r="H5" s="30">
        <f>IF(TKB_Nhap!H5="","",IFERROR(T(INDEX(PhanCong!$B$3:$J$18,MATCH(TKB_Nhap!H5,PhanCong!$A$3:$A$18,0),MATCH($A5,PhanCong!$B$2:$J$2,0))),""))</f>
        <v/>
      </c>
      <c r="I5" s="30">
        <f>IF(TKB_Nhap!I5="","",IFERROR(T(INDEX(PhanCong!$B$3:$J$18,MATCH(TKB_Nhap!I5,PhanCong!$A$3:$A$18,0),MATCH($A5,PhanCong!$B$2:$J$2,0))),""))</f>
        <v/>
      </c>
      <c r="J5" s="30">
        <f>IF(TKB_Nhap!J5="","",IFERROR(T(INDEX(PhanCong!$B$3:$J$18,MATCH(TKB_Nhap!J5,PhanCong!$A$3:$A$18,0),MATCH($A5,PhanCong!$B$2:$J$2,0))),""))</f>
        <v/>
      </c>
      <c r="L5" s="39">
        <f>IF(D5="",0,IF(COUNTIFS($B$2:$B$73,$B5,$C$2:$C$73,$C5,D$2:D$73,D5)&gt;1,1,0))</f>
        <v/>
      </c>
      <c r="M5" s="39">
        <f>IF(E5="",0,IF(COUNTIFS($B$2:$B$73,$B5,$C$2:$C$73,$C5,E$2:E$73,E5)&gt;1,1,0))</f>
        <v/>
      </c>
      <c r="N5" s="39">
        <f>IF(F5="",0,IF(COUNTIFS($B$2:$B$73,$B5,$C$2:$C$73,$C5,F$2:F$73,F5)&gt;1,1,0))</f>
        <v/>
      </c>
      <c r="O5" s="39">
        <f>IF(G5="",0,IF(COUNTIFS($B$2:$B$73,$B5,$C$2:$C$73,$C5,G$2:G$73,G5)&gt;1,1,0))</f>
        <v/>
      </c>
      <c r="P5" s="39">
        <f>IF(H5="",0,IF(COUNTIFS($B$2:$B$73,$B5,$C$2:$C$73,$C5,H$2:H$73,H5)&gt;1,1,0))</f>
        <v/>
      </c>
      <c r="Q5" s="39">
        <f>IF(I5="",0,IF(COUNTIFS($B$2:$B$73,$B5,$C$2:$C$73,$C5,I$2:I$73,I5)&gt;1,1,0))</f>
        <v/>
      </c>
      <c r="R5" s="39">
        <f>IF(J5="",0,IF(COUNTIFS($B$2:$B$73,$B5,$C$2:$C$73,$C5,J$2:J$73,J5)&gt;1,1,0))</f>
        <v/>
      </c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IF(TKB_Nhap!D6="","",IFERROR(T(INDEX(PhanCong!$B$3:$J$18,MATCH(TKB_Nhap!D6,PhanCong!$A$3:$A$18,0),MATCH($A6,PhanCong!$B$2:$J$2,0))),""))</f>
        <v/>
      </c>
      <c r="E6" s="30">
        <f>IF(TKB_Nhap!E6="","",IFERROR(T(INDEX(PhanCong!$B$3:$J$18,MATCH(TKB_Nhap!E6,PhanCong!$A$3:$A$18,0),MATCH($A6,PhanCong!$B$2:$J$2,0))),""))</f>
        <v/>
      </c>
      <c r="F6" s="30">
        <f>IF(TKB_Nhap!F6="","",IFERROR(T(INDEX(PhanCong!$B$3:$J$18,MATCH(TKB_Nhap!F6,PhanCong!$A$3:$A$18,0),MATCH($A6,PhanCong!$B$2:$J$2,0))),""))</f>
        <v/>
      </c>
      <c r="G6" s="30">
        <f>IF(TKB_Nhap!G6="","",IFERROR(T(INDEX(PhanCong!$B$3:$J$18,MATCH(TKB_Nhap!G6,PhanCong!$A$3:$A$18,0),MATCH($A6,PhanCong!$B$2:$J$2,0))),""))</f>
        <v/>
      </c>
      <c r="H6" s="30">
        <f>IF(TKB_Nhap!H6="","",IFERROR(T(INDEX(PhanCong!$B$3:$J$18,MATCH(TKB_Nhap!H6,PhanCong!$A$3:$A$18,0),MATCH($A6,PhanCong!$B$2:$J$2,0))),""))</f>
        <v/>
      </c>
      <c r="I6" s="30">
        <f>IF(TKB_Nhap!I6="","",IFERROR(T(INDEX(PhanCong!$B$3:$J$18,MATCH(TKB_Nhap!I6,PhanCong!$A$3:$A$18,0),MATCH($A6,PhanCong!$B$2:$J$2,0))),""))</f>
        <v/>
      </c>
      <c r="J6" s="30">
        <f>IF(TKB_Nhap!J6="","",IFERROR(T(INDEX(PhanCong!$B$3:$J$18,MATCH(TKB_Nhap!J6,PhanCong!$A$3:$A$18,0),MATCH($A6,PhanCong!$B$2:$J$2,0))),""))</f>
        <v/>
      </c>
      <c r="L6" s="39">
        <f>IF(D6="",0,IF(COUNTIFS($B$2:$B$73,$B6,$C$2:$C$73,$C6,D$2:D$73,D6)&gt;1,1,0))</f>
        <v/>
      </c>
      <c r="M6" s="39">
        <f>IF(E6="",0,IF(COUNTIFS($B$2:$B$73,$B6,$C$2:$C$73,$C6,E$2:E$73,E6)&gt;1,1,0))</f>
        <v/>
      </c>
      <c r="N6" s="39">
        <f>IF(F6="",0,IF(COUNTIFS($B$2:$B$73,$B6,$C$2:$C$73,$C6,F$2:F$73,F6)&gt;1,1,0))</f>
        <v/>
      </c>
      <c r="O6" s="39">
        <f>IF(G6="",0,IF(COUNTIFS($B$2:$B$73,$B6,$C$2:$C$73,$C6,G$2:G$73,G6)&gt;1,1,0))</f>
        <v/>
      </c>
      <c r="P6" s="39">
        <f>IF(H6="",0,IF(COUNTIFS($B$2:$B$73,$B6,$C$2:$C$73,$C6,H$2:H$73,H6)&gt;1,1,0))</f>
        <v/>
      </c>
      <c r="Q6" s="39">
        <f>IF(I6="",0,IF(COUNTIFS($B$2:$B$73,$B6,$C$2:$C$73,$C6,I$2:I$73,I6)&gt;1,1,0))</f>
        <v/>
      </c>
      <c r="R6" s="39">
        <f>IF(J6="",0,IF(COUNTIFS($B$2:$B$73,$B6,$C$2:$C$73,$C6,J$2:J$73,J6)&gt;1,1,0))</f>
        <v/>
      </c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IF(TKB_Nhap!D7="","",IFERROR(T(INDEX(PhanCong!$B$3:$J$18,MATCH(TKB_Nhap!D7,PhanCong!$A$3:$A$18,0),MATCH($A7,PhanCong!$B$2:$J$2,0))),""))</f>
        <v/>
      </c>
      <c r="E7" s="30">
        <f>IF(TKB_Nhap!E7="","",IFERROR(T(INDEX(PhanCong!$B$3:$J$18,MATCH(TKB_Nhap!E7,PhanCong!$A$3:$A$18,0),MATCH($A7,PhanCong!$B$2:$J$2,0))),""))</f>
        <v/>
      </c>
      <c r="F7" s="30">
        <f>IF(TKB_Nhap!F7="","",IFERROR(T(INDEX(PhanCong!$B$3:$J$18,MATCH(TKB_Nhap!F7,PhanCong!$A$3:$A$18,0),MATCH($A7,PhanCong!$B$2:$J$2,0))),""))</f>
        <v/>
      </c>
      <c r="G7" s="30">
        <f>IF(TKB_Nhap!G7="","",IFERROR(T(INDEX(PhanCong!$B$3:$J$18,MATCH(TKB_Nhap!G7,PhanCong!$A$3:$A$18,0),MATCH($A7,PhanCong!$B$2:$J$2,0))),""))</f>
        <v/>
      </c>
      <c r="H7" s="30">
        <f>IF(TKB_Nhap!H7="","",IFERROR(T(INDEX(PhanCong!$B$3:$J$18,MATCH(TKB_Nhap!H7,PhanCong!$A$3:$A$18,0),MATCH($A7,PhanCong!$B$2:$J$2,0))),""))</f>
        <v/>
      </c>
      <c r="I7" s="30">
        <f>IF(TKB_Nhap!I7="","",IFERROR(T(INDEX(PhanCong!$B$3:$J$18,MATCH(TKB_Nhap!I7,PhanCong!$A$3:$A$18,0),MATCH($A7,PhanCong!$B$2:$J$2,0))),""))</f>
        <v/>
      </c>
      <c r="J7" s="30">
        <f>IF(TKB_Nhap!J7="","",IFERROR(T(INDEX(PhanCong!$B$3:$J$18,MATCH(TKB_Nhap!J7,PhanCong!$A$3:$A$18,0),MATCH($A7,PhanCong!$B$2:$J$2,0))),""))</f>
        <v/>
      </c>
      <c r="L7" s="39">
        <f>IF(D7="",0,IF(COUNTIFS($B$2:$B$73,$B7,$C$2:$C$73,$C7,D$2:D$73,D7)&gt;1,1,0))</f>
        <v/>
      </c>
      <c r="M7" s="39">
        <f>IF(E7="",0,IF(COUNTIFS($B$2:$B$73,$B7,$C$2:$C$73,$C7,E$2:E$73,E7)&gt;1,1,0))</f>
        <v/>
      </c>
      <c r="N7" s="39">
        <f>IF(F7="",0,IF(COUNTIFS($B$2:$B$73,$B7,$C$2:$C$73,$C7,F$2:F$73,F7)&gt;1,1,0))</f>
        <v/>
      </c>
      <c r="O7" s="39">
        <f>IF(G7="",0,IF(COUNTIFS($B$2:$B$73,$B7,$C$2:$C$73,$C7,G$2:G$73,G7)&gt;1,1,0))</f>
        <v/>
      </c>
      <c r="P7" s="39">
        <f>IF(H7="",0,IF(COUNTIFS($B$2:$B$73,$B7,$C$2:$C$73,$C7,H$2:H$73,H7)&gt;1,1,0))</f>
        <v/>
      </c>
      <c r="Q7" s="39">
        <f>IF(I7="",0,IF(COUNTIFS($B$2:$B$73,$B7,$C$2:$C$73,$C7,I$2:I$73,I7)&gt;1,1,0))</f>
        <v/>
      </c>
      <c r="R7" s="39">
        <f>IF(J7="",0,IF(COUNTIFS($B$2:$B$73,$B7,$C$2:$C$73,$C7,J$2:J$73,J7)&gt;1,1,0))</f>
        <v/>
      </c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IF(TKB_Nhap!D8="","",IFERROR(T(INDEX(PhanCong!$B$3:$J$18,MATCH(TKB_Nhap!D8,PhanCong!$A$3:$A$18,0),MATCH($A8,PhanCong!$B$2:$J$2,0))),""))</f>
        <v/>
      </c>
      <c r="E8" s="30">
        <f>IF(TKB_Nhap!E8="","",IFERROR(T(INDEX(PhanCong!$B$3:$J$18,MATCH(TKB_Nhap!E8,PhanCong!$A$3:$A$18,0),MATCH($A8,PhanCong!$B$2:$J$2,0))),""))</f>
        <v/>
      </c>
      <c r="F8" s="30">
        <f>IF(TKB_Nhap!F8="","",IFERROR(T(INDEX(PhanCong!$B$3:$J$18,MATCH(TKB_Nhap!F8,PhanCong!$A$3:$A$18,0),MATCH($A8,PhanCong!$B$2:$J$2,0))),""))</f>
        <v/>
      </c>
      <c r="G8" s="30">
        <f>IF(TKB_Nhap!G8="","",IFERROR(T(INDEX(PhanCong!$B$3:$J$18,MATCH(TKB_Nhap!G8,PhanCong!$A$3:$A$18,0),MATCH($A8,PhanCong!$B$2:$J$2,0))),""))</f>
        <v/>
      </c>
      <c r="H8" s="30">
        <f>IF(TKB_Nhap!H8="","",IFERROR(T(INDEX(PhanCong!$B$3:$J$18,MATCH(TKB_Nhap!H8,PhanCong!$A$3:$A$18,0),MATCH($A8,PhanCong!$B$2:$J$2,0))),""))</f>
        <v/>
      </c>
      <c r="I8" s="30">
        <f>IF(TKB_Nhap!I8="","",IFERROR(T(INDEX(PhanCong!$B$3:$J$18,MATCH(TKB_Nhap!I8,PhanCong!$A$3:$A$18,0),MATCH($A8,PhanCong!$B$2:$J$2,0))),""))</f>
        <v/>
      </c>
      <c r="J8" s="30">
        <f>IF(TKB_Nhap!J8="","",IFERROR(T(INDEX(PhanCong!$B$3:$J$18,MATCH(TKB_Nhap!J8,PhanCong!$A$3:$A$18,0),MATCH($A8,PhanCong!$B$2:$J$2,0))),""))</f>
        <v/>
      </c>
      <c r="L8" s="39">
        <f>IF(D8="",0,IF(COUNTIFS($B$2:$B$73,$B8,$C$2:$C$73,$C8,D$2:D$73,D8)&gt;1,1,0))</f>
        <v/>
      </c>
      <c r="M8" s="39">
        <f>IF(E8="",0,IF(COUNTIFS($B$2:$B$73,$B8,$C$2:$C$73,$C8,E$2:E$73,E8)&gt;1,1,0))</f>
        <v/>
      </c>
      <c r="N8" s="39">
        <f>IF(F8="",0,IF(COUNTIFS($B$2:$B$73,$B8,$C$2:$C$73,$C8,F$2:F$73,F8)&gt;1,1,0))</f>
        <v/>
      </c>
      <c r="O8" s="39">
        <f>IF(G8="",0,IF(COUNTIFS($B$2:$B$73,$B8,$C$2:$C$73,$C8,G$2:G$73,G8)&gt;1,1,0))</f>
        <v/>
      </c>
      <c r="P8" s="39">
        <f>IF(H8="",0,IF(COUNTIFS($B$2:$B$73,$B8,$C$2:$C$73,$C8,H$2:H$73,H8)&gt;1,1,0))</f>
        <v/>
      </c>
      <c r="Q8" s="39">
        <f>IF(I8="",0,IF(COUNTIFS($B$2:$B$73,$B8,$C$2:$C$73,$C8,I$2:I$73,I8)&gt;1,1,0))</f>
        <v/>
      </c>
      <c r="R8" s="39">
        <f>IF(J8="",0,IF(COUNTIFS($B$2:$B$73,$B8,$C$2:$C$73,$C8,J$2:J$73,J8)&gt;1,1,0))</f>
        <v/>
      </c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IF(TKB_Nhap!D9="","",IFERROR(T(INDEX(PhanCong!$B$3:$J$18,MATCH(TKB_Nhap!D9,PhanCong!$A$3:$A$18,0),MATCH($A9,PhanCong!$B$2:$J$2,0))),""))</f>
        <v/>
      </c>
      <c r="E9" s="30">
        <f>IF(TKB_Nhap!E9="","",IFERROR(T(INDEX(PhanCong!$B$3:$J$18,MATCH(TKB_Nhap!E9,PhanCong!$A$3:$A$18,0),MATCH($A9,PhanCong!$B$2:$J$2,0))),""))</f>
        <v/>
      </c>
      <c r="F9" s="30">
        <f>IF(TKB_Nhap!F9="","",IFERROR(T(INDEX(PhanCong!$B$3:$J$18,MATCH(TKB_Nhap!F9,PhanCong!$A$3:$A$18,0),MATCH($A9,PhanCong!$B$2:$J$2,0))),""))</f>
        <v/>
      </c>
      <c r="G9" s="30">
        <f>IF(TKB_Nhap!G9="","",IFERROR(T(INDEX(PhanCong!$B$3:$J$18,MATCH(TKB_Nhap!G9,PhanCong!$A$3:$A$18,0),MATCH($A9,PhanCong!$B$2:$J$2,0))),""))</f>
        <v/>
      </c>
      <c r="H9" s="30">
        <f>IF(TKB_Nhap!H9="","",IFERROR(T(INDEX(PhanCong!$B$3:$J$18,MATCH(TKB_Nhap!H9,PhanCong!$A$3:$A$18,0),MATCH($A9,PhanCong!$B$2:$J$2,0))),""))</f>
        <v/>
      </c>
      <c r="I9" s="30">
        <f>IF(TKB_Nhap!I9="","",IFERROR(T(INDEX(PhanCong!$B$3:$J$18,MATCH(TKB_Nhap!I9,PhanCong!$A$3:$A$18,0),MATCH($A9,PhanCong!$B$2:$J$2,0))),""))</f>
        <v/>
      </c>
      <c r="J9" s="30">
        <f>IF(TKB_Nhap!J9="","",IFERROR(T(INDEX(PhanCong!$B$3:$J$18,MATCH(TKB_Nhap!J9,PhanCong!$A$3:$A$18,0),MATCH($A9,PhanCong!$B$2:$J$2,0))),""))</f>
        <v/>
      </c>
      <c r="L9" s="39">
        <f>IF(D9="",0,IF(COUNTIFS($B$2:$B$73,$B9,$C$2:$C$73,$C9,D$2:D$73,D9)&gt;1,1,0))</f>
        <v/>
      </c>
      <c r="M9" s="39">
        <f>IF(E9="",0,IF(COUNTIFS($B$2:$B$73,$B9,$C$2:$C$73,$C9,E$2:E$73,E9)&gt;1,1,0))</f>
        <v/>
      </c>
      <c r="N9" s="39">
        <f>IF(F9="",0,IF(COUNTIFS($B$2:$B$73,$B9,$C$2:$C$73,$C9,F$2:F$73,F9)&gt;1,1,0))</f>
        <v/>
      </c>
      <c r="O9" s="39">
        <f>IF(G9="",0,IF(COUNTIFS($B$2:$B$73,$B9,$C$2:$C$73,$C9,G$2:G$73,G9)&gt;1,1,0))</f>
        <v/>
      </c>
      <c r="P9" s="39">
        <f>IF(H9="",0,IF(COUNTIFS($B$2:$B$73,$B9,$C$2:$C$73,$C9,H$2:H$73,H9)&gt;1,1,0))</f>
        <v/>
      </c>
      <c r="Q9" s="39">
        <f>IF(I9="",0,IF(COUNTIFS($B$2:$B$73,$B9,$C$2:$C$73,$C9,I$2:I$73,I9)&gt;1,1,0))</f>
        <v/>
      </c>
      <c r="R9" s="39">
        <f>IF(J9="",0,IF(COUNTIFS($B$2:$B$73,$B9,$C$2:$C$73,$C9,J$2:J$73,J9)&gt;1,1,0))</f>
        <v/>
      </c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IF(TKB_Nhap!D10="","",IFERROR(T(INDEX(PhanCong!$B$3:$J$18,MATCH(TKB_Nhap!D10,PhanCong!$A$3:$A$18,0),MATCH($A10,PhanCong!$B$2:$J$2,0))),""))</f>
        <v/>
      </c>
      <c r="E10" s="36">
        <f>IF(TKB_Nhap!E10="","",IFERROR(T(INDEX(PhanCong!$B$3:$J$18,MATCH(TKB_Nhap!E10,PhanCong!$A$3:$A$18,0),MATCH($A10,PhanCong!$B$2:$J$2,0))),""))</f>
        <v/>
      </c>
      <c r="F10" s="36">
        <f>IF(TKB_Nhap!F10="","",IFERROR(T(INDEX(PhanCong!$B$3:$J$18,MATCH(TKB_Nhap!F10,PhanCong!$A$3:$A$18,0),MATCH($A10,PhanCong!$B$2:$J$2,0))),""))</f>
        <v/>
      </c>
      <c r="G10" s="36">
        <f>IF(TKB_Nhap!G10="","",IFERROR(T(INDEX(PhanCong!$B$3:$J$18,MATCH(TKB_Nhap!G10,PhanCong!$A$3:$A$18,0),MATCH($A10,PhanCong!$B$2:$J$2,0))),""))</f>
        <v/>
      </c>
      <c r="H10" s="36">
        <f>IF(TKB_Nhap!H10="","",IFERROR(T(INDEX(PhanCong!$B$3:$J$18,MATCH(TKB_Nhap!H10,PhanCong!$A$3:$A$18,0),MATCH($A10,PhanCong!$B$2:$J$2,0))),""))</f>
        <v/>
      </c>
      <c r="I10" s="36">
        <f>IF(TKB_Nhap!I10="","",IFERROR(T(INDEX(PhanCong!$B$3:$J$18,MATCH(TKB_Nhap!I10,PhanCong!$A$3:$A$18,0),MATCH($A10,PhanCong!$B$2:$J$2,0))),""))</f>
        <v/>
      </c>
      <c r="J10" s="36">
        <f>IF(TKB_Nhap!J10="","",IFERROR(T(INDEX(PhanCong!$B$3:$J$18,MATCH(TKB_Nhap!J10,PhanCong!$A$3:$A$18,0),MATCH($A10,PhanCong!$B$2:$J$2,0))),""))</f>
        <v/>
      </c>
      <c r="L10" s="39">
        <f>IF(D10="",0,IF(COUNTIFS($B$2:$B$73,$B10,$C$2:$C$73,$C10,D$2:D$73,D10)&gt;1,1,0))</f>
        <v/>
      </c>
      <c r="M10" s="39">
        <f>IF(E10="",0,IF(COUNTIFS($B$2:$B$73,$B10,$C$2:$C$73,$C10,E$2:E$73,E10)&gt;1,1,0))</f>
        <v/>
      </c>
      <c r="N10" s="39">
        <f>IF(F10="",0,IF(COUNTIFS($B$2:$B$73,$B10,$C$2:$C$73,$C10,F$2:F$73,F10)&gt;1,1,0))</f>
        <v/>
      </c>
      <c r="O10" s="39">
        <f>IF(G10="",0,IF(COUNTIFS($B$2:$B$73,$B10,$C$2:$C$73,$C10,G$2:G$73,G10)&gt;1,1,0))</f>
        <v/>
      </c>
      <c r="P10" s="39">
        <f>IF(H10="",0,IF(COUNTIFS($B$2:$B$73,$B10,$C$2:$C$73,$C10,H$2:H$73,H10)&gt;1,1,0))</f>
        <v/>
      </c>
      <c r="Q10" s="39">
        <f>IF(I10="",0,IF(COUNTIFS($B$2:$B$73,$B10,$C$2:$C$73,$C10,I$2:I$73,I10)&gt;1,1,0))</f>
        <v/>
      </c>
      <c r="R10" s="39">
        <f>IF(J10="",0,IF(COUNTIFS($B$2:$B$73,$B10,$C$2:$C$73,$C10,J$2:J$73,J10)&gt;1,1,0))</f>
        <v/>
      </c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IF(TKB_Nhap!D11="","",IFERROR(T(INDEX(PhanCong!$B$3:$J$18,MATCH(TKB_Nhap!D11,PhanCong!$A$3:$A$18,0),MATCH($A11,PhanCong!$B$2:$J$2,0))),""))</f>
        <v/>
      </c>
      <c r="E11" s="36">
        <f>IF(TKB_Nhap!E11="","",IFERROR(T(INDEX(PhanCong!$B$3:$J$18,MATCH(TKB_Nhap!E11,PhanCong!$A$3:$A$18,0),MATCH($A11,PhanCong!$B$2:$J$2,0))),""))</f>
        <v/>
      </c>
      <c r="F11" s="36">
        <f>IF(TKB_Nhap!F11="","",IFERROR(T(INDEX(PhanCong!$B$3:$J$18,MATCH(TKB_Nhap!F11,PhanCong!$A$3:$A$18,0),MATCH($A11,PhanCong!$B$2:$J$2,0))),""))</f>
        <v/>
      </c>
      <c r="G11" s="36">
        <f>IF(TKB_Nhap!G11="","",IFERROR(T(INDEX(PhanCong!$B$3:$J$18,MATCH(TKB_Nhap!G11,PhanCong!$A$3:$A$18,0),MATCH($A11,PhanCong!$B$2:$J$2,0))),""))</f>
        <v/>
      </c>
      <c r="H11" s="36">
        <f>IF(TKB_Nhap!H11="","",IFERROR(T(INDEX(PhanCong!$B$3:$J$18,MATCH(TKB_Nhap!H11,PhanCong!$A$3:$A$18,0),MATCH($A11,PhanCong!$B$2:$J$2,0))),""))</f>
        <v/>
      </c>
      <c r="I11" s="36">
        <f>IF(TKB_Nhap!I11="","",IFERROR(T(INDEX(PhanCong!$B$3:$J$18,MATCH(TKB_Nhap!I11,PhanCong!$A$3:$A$18,0),MATCH($A11,PhanCong!$B$2:$J$2,0))),""))</f>
        <v/>
      </c>
      <c r="J11" s="36">
        <f>IF(TKB_Nhap!J11="","",IFERROR(T(INDEX(PhanCong!$B$3:$J$18,MATCH(TKB_Nhap!J11,PhanCong!$A$3:$A$18,0),MATCH($A11,PhanCong!$B$2:$J$2,0))),""))</f>
        <v/>
      </c>
      <c r="L11" s="39">
        <f>IF(D11="",0,IF(COUNTIFS($B$2:$B$73,$B11,$C$2:$C$73,$C11,D$2:D$73,D11)&gt;1,1,0))</f>
        <v/>
      </c>
      <c r="M11" s="39">
        <f>IF(E11="",0,IF(COUNTIFS($B$2:$B$73,$B11,$C$2:$C$73,$C11,E$2:E$73,E11)&gt;1,1,0))</f>
        <v/>
      </c>
      <c r="N11" s="39">
        <f>IF(F11="",0,IF(COUNTIFS($B$2:$B$73,$B11,$C$2:$C$73,$C11,F$2:F$73,F11)&gt;1,1,0))</f>
        <v/>
      </c>
      <c r="O11" s="39">
        <f>IF(G11="",0,IF(COUNTIFS($B$2:$B$73,$B11,$C$2:$C$73,$C11,G$2:G$73,G11)&gt;1,1,0))</f>
        <v/>
      </c>
      <c r="P11" s="39">
        <f>IF(H11="",0,IF(COUNTIFS($B$2:$B$73,$B11,$C$2:$C$73,$C11,H$2:H$73,H11)&gt;1,1,0))</f>
        <v/>
      </c>
      <c r="Q11" s="39">
        <f>IF(I11="",0,IF(COUNTIFS($B$2:$B$73,$B11,$C$2:$C$73,$C11,I$2:I$73,I11)&gt;1,1,0))</f>
        <v/>
      </c>
      <c r="R11" s="39">
        <f>IF(J11="",0,IF(COUNTIFS($B$2:$B$73,$B11,$C$2:$C$73,$C11,J$2:J$73,J11)&gt;1,1,0))</f>
        <v/>
      </c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IF(TKB_Nhap!D12="","",IFERROR(T(INDEX(PhanCong!$B$3:$J$18,MATCH(TKB_Nhap!D12,PhanCong!$A$3:$A$18,0),MATCH($A12,PhanCong!$B$2:$J$2,0))),""))</f>
        <v/>
      </c>
      <c r="E12" s="36">
        <f>IF(TKB_Nhap!E12="","",IFERROR(T(INDEX(PhanCong!$B$3:$J$18,MATCH(TKB_Nhap!E12,PhanCong!$A$3:$A$18,0),MATCH($A12,PhanCong!$B$2:$J$2,0))),""))</f>
        <v/>
      </c>
      <c r="F12" s="36">
        <f>IF(TKB_Nhap!F12="","",IFERROR(T(INDEX(PhanCong!$B$3:$J$18,MATCH(TKB_Nhap!F12,PhanCong!$A$3:$A$18,0),MATCH($A12,PhanCong!$B$2:$J$2,0))),""))</f>
        <v/>
      </c>
      <c r="G12" s="36">
        <f>IF(TKB_Nhap!G12="","",IFERROR(T(INDEX(PhanCong!$B$3:$J$18,MATCH(TKB_Nhap!G12,PhanCong!$A$3:$A$18,0),MATCH($A12,PhanCong!$B$2:$J$2,0))),""))</f>
        <v/>
      </c>
      <c r="H12" s="36">
        <f>IF(TKB_Nhap!H12="","",IFERROR(T(INDEX(PhanCong!$B$3:$J$18,MATCH(TKB_Nhap!H12,PhanCong!$A$3:$A$18,0),MATCH($A12,PhanCong!$B$2:$J$2,0))),""))</f>
        <v/>
      </c>
      <c r="I12" s="36">
        <f>IF(TKB_Nhap!I12="","",IFERROR(T(INDEX(PhanCong!$B$3:$J$18,MATCH(TKB_Nhap!I12,PhanCong!$A$3:$A$18,0),MATCH($A12,PhanCong!$B$2:$J$2,0))),""))</f>
        <v/>
      </c>
      <c r="J12" s="36">
        <f>IF(TKB_Nhap!J12="","",IFERROR(T(INDEX(PhanCong!$B$3:$J$18,MATCH(TKB_Nhap!J12,PhanCong!$A$3:$A$18,0),MATCH($A12,PhanCong!$B$2:$J$2,0))),""))</f>
        <v/>
      </c>
      <c r="L12" s="39">
        <f>IF(D12="",0,IF(COUNTIFS($B$2:$B$73,$B12,$C$2:$C$73,$C12,D$2:D$73,D12)&gt;1,1,0))</f>
        <v/>
      </c>
      <c r="M12" s="39">
        <f>IF(E12="",0,IF(COUNTIFS($B$2:$B$73,$B12,$C$2:$C$73,$C12,E$2:E$73,E12)&gt;1,1,0))</f>
        <v/>
      </c>
      <c r="N12" s="39">
        <f>IF(F12="",0,IF(COUNTIFS($B$2:$B$73,$B12,$C$2:$C$73,$C12,F$2:F$73,F12)&gt;1,1,0))</f>
        <v/>
      </c>
      <c r="O12" s="39">
        <f>IF(G12="",0,IF(COUNTIFS($B$2:$B$73,$B12,$C$2:$C$73,$C12,G$2:G$73,G12)&gt;1,1,0))</f>
        <v/>
      </c>
      <c r="P12" s="39">
        <f>IF(H12="",0,IF(COUNTIFS($B$2:$B$73,$B12,$C$2:$C$73,$C12,H$2:H$73,H12)&gt;1,1,0))</f>
        <v/>
      </c>
      <c r="Q12" s="39">
        <f>IF(I12="",0,IF(COUNTIFS($B$2:$B$73,$B12,$C$2:$C$73,$C12,I$2:I$73,I12)&gt;1,1,0))</f>
        <v/>
      </c>
      <c r="R12" s="39">
        <f>IF(J12="",0,IF(COUNTIFS($B$2:$B$73,$B12,$C$2:$C$73,$C12,J$2:J$73,J12)&gt;1,1,0))</f>
        <v/>
      </c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IF(TKB_Nhap!D13="","",IFERROR(T(INDEX(PhanCong!$B$3:$J$18,MATCH(TKB_Nhap!D13,PhanCong!$A$3:$A$18,0),MATCH($A13,PhanCong!$B$2:$J$2,0))),""))</f>
        <v/>
      </c>
      <c r="E13" s="36">
        <f>IF(TKB_Nhap!E13="","",IFERROR(T(INDEX(PhanCong!$B$3:$J$18,MATCH(TKB_Nhap!E13,PhanCong!$A$3:$A$18,0),MATCH($A13,PhanCong!$B$2:$J$2,0))),""))</f>
        <v/>
      </c>
      <c r="F13" s="36">
        <f>IF(TKB_Nhap!F13="","",IFERROR(T(INDEX(PhanCong!$B$3:$J$18,MATCH(TKB_Nhap!F13,PhanCong!$A$3:$A$18,0),MATCH($A13,PhanCong!$B$2:$J$2,0))),""))</f>
        <v/>
      </c>
      <c r="G13" s="36">
        <f>IF(TKB_Nhap!G13="","",IFERROR(T(INDEX(PhanCong!$B$3:$J$18,MATCH(TKB_Nhap!G13,PhanCong!$A$3:$A$18,0),MATCH($A13,PhanCong!$B$2:$J$2,0))),""))</f>
        <v/>
      </c>
      <c r="H13" s="36">
        <f>IF(TKB_Nhap!H13="","",IFERROR(T(INDEX(PhanCong!$B$3:$J$18,MATCH(TKB_Nhap!H13,PhanCong!$A$3:$A$18,0),MATCH($A13,PhanCong!$B$2:$J$2,0))),""))</f>
        <v/>
      </c>
      <c r="I13" s="36">
        <f>IF(TKB_Nhap!I13="","",IFERROR(T(INDEX(PhanCong!$B$3:$J$18,MATCH(TKB_Nhap!I13,PhanCong!$A$3:$A$18,0),MATCH($A13,PhanCong!$B$2:$J$2,0))),""))</f>
        <v/>
      </c>
      <c r="J13" s="36">
        <f>IF(TKB_Nhap!J13="","",IFERROR(T(INDEX(PhanCong!$B$3:$J$18,MATCH(TKB_Nhap!J13,PhanCong!$A$3:$A$18,0),MATCH($A13,PhanCong!$B$2:$J$2,0))),""))</f>
        <v/>
      </c>
      <c r="L13" s="39">
        <f>IF(D13="",0,IF(COUNTIFS($B$2:$B$73,$B13,$C$2:$C$73,$C13,D$2:D$73,D13)&gt;1,1,0))</f>
        <v/>
      </c>
      <c r="M13" s="39">
        <f>IF(E13="",0,IF(COUNTIFS($B$2:$B$73,$B13,$C$2:$C$73,$C13,E$2:E$73,E13)&gt;1,1,0))</f>
        <v/>
      </c>
      <c r="N13" s="39">
        <f>IF(F13="",0,IF(COUNTIFS($B$2:$B$73,$B13,$C$2:$C$73,$C13,F$2:F$73,F13)&gt;1,1,0))</f>
        <v/>
      </c>
      <c r="O13" s="39">
        <f>IF(G13="",0,IF(COUNTIFS($B$2:$B$73,$B13,$C$2:$C$73,$C13,G$2:G$73,G13)&gt;1,1,0))</f>
        <v/>
      </c>
      <c r="P13" s="39">
        <f>IF(H13="",0,IF(COUNTIFS($B$2:$B$73,$B13,$C$2:$C$73,$C13,H$2:H$73,H13)&gt;1,1,0))</f>
        <v/>
      </c>
      <c r="Q13" s="39">
        <f>IF(I13="",0,IF(COUNTIFS($B$2:$B$73,$B13,$C$2:$C$73,$C13,I$2:I$73,I13)&gt;1,1,0))</f>
        <v/>
      </c>
      <c r="R13" s="39">
        <f>IF(J13="",0,IF(COUNTIFS($B$2:$B$73,$B13,$C$2:$C$73,$C13,J$2:J$73,J13)&gt;1,1,0))</f>
        <v/>
      </c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IF(TKB_Nhap!D14="","",IFERROR(T(INDEX(PhanCong!$B$3:$J$18,MATCH(TKB_Nhap!D14,PhanCong!$A$3:$A$18,0),MATCH($A14,PhanCong!$B$2:$J$2,0))),""))</f>
        <v/>
      </c>
      <c r="E14" s="36">
        <f>IF(TKB_Nhap!E14="","",IFERROR(T(INDEX(PhanCong!$B$3:$J$18,MATCH(TKB_Nhap!E14,PhanCong!$A$3:$A$18,0),MATCH($A14,PhanCong!$B$2:$J$2,0))),""))</f>
        <v/>
      </c>
      <c r="F14" s="36">
        <f>IF(TKB_Nhap!F14="","",IFERROR(T(INDEX(PhanCong!$B$3:$J$18,MATCH(TKB_Nhap!F14,PhanCong!$A$3:$A$18,0),MATCH($A14,PhanCong!$B$2:$J$2,0))),""))</f>
        <v/>
      </c>
      <c r="G14" s="36">
        <f>IF(TKB_Nhap!G14="","",IFERROR(T(INDEX(PhanCong!$B$3:$J$18,MATCH(TKB_Nhap!G14,PhanCong!$A$3:$A$18,0),MATCH($A14,PhanCong!$B$2:$J$2,0))),""))</f>
        <v/>
      </c>
      <c r="H14" s="36">
        <f>IF(TKB_Nhap!H14="","",IFERROR(T(INDEX(PhanCong!$B$3:$J$18,MATCH(TKB_Nhap!H14,PhanCong!$A$3:$A$18,0),MATCH($A14,PhanCong!$B$2:$J$2,0))),""))</f>
        <v/>
      </c>
      <c r="I14" s="36">
        <f>IF(TKB_Nhap!I14="","",IFERROR(T(INDEX(PhanCong!$B$3:$J$18,MATCH(TKB_Nhap!I14,PhanCong!$A$3:$A$18,0),MATCH($A14,PhanCong!$B$2:$J$2,0))),""))</f>
        <v/>
      </c>
      <c r="J14" s="36">
        <f>IF(TKB_Nhap!J14="","",IFERROR(T(INDEX(PhanCong!$B$3:$J$18,MATCH(TKB_Nhap!J14,PhanCong!$A$3:$A$18,0),MATCH($A14,PhanCong!$B$2:$J$2,0))),""))</f>
        <v/>
      </c>
      <c r="L14" s="39">
        <f>IF(D14="",0,IF(COUNTIFS($B$2:$B$73,$B14,$C$2:$C$73,$C14,D$2:D$73,D14)&gt;1,1,0))</f>
        <v/>
      </c>
      <c r="M14" s="39">
        <f>IF(E14="",0,IF(COUNTIFS($B$2:$B$73,$B14,$C$2:$C$73,$C14,E$2:E$73,E14)&gt;1,1,0))</f>
        <v/>
      </c>
      <c r="N14" s="39">
        <f>IF(F14="",0,IF(COUNTIFS($B$2:$B$73,$B14,$C$2:$C$73,$C14,F$2:F$73,F14)&gt;1,1,0))</f>
        <v/>
      </c>
      <c r="O14" s="39">
        <f>IF(G14="",0,IF(COUNTIFS($B$2:$B$73,$B14,$C$2:$C$73,$C14,G$2:G$73,G14)&gt;1,1,0))</f>
        <v/>
      </c>
      <c r="P14" s="39">
        <f>IF(H14="",0,IF(COUNTIFS($B$2:$B$73,$B14,$C$2:$C$73,$C14,H$2:H$73,H14)&gt;1,1,0))</f>
        <v/>
      </c>
      <c r="Q14" s="39">
        <f>IF(I14="",0,IF(COUNTIFS($B$2:$B$73,$B14,$C$2:$C$73,$C14,I$2:I$73,I14)&gt;1,1,0))</f>
        <v/>
      </c>
      <c r="R14" s="39">
        <f>IF(J14="",0,IF(COUNTIFS($B$2:$B$73,$B14,$C$2:$C$73,$C14,J$2:J$73,J14)&gt;1,1,0))</f>
        <v/>
      </c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IF(TKB_Nhap!D15="","",IFERROR(T(INDEX(PhanCong!$B$3:$J$18,MATCH(TKB_Nhap!D15,PhanCong!$A$3:$A$18,0),MATCH($A15,PhanCong!$B$2:$J$2,0))),""))</f>
        <v/>
      </c>
      <c r="E15" s="36">
        <f>IF(TKB_Nhap!E15="","",IFERROR(T(INDEX(PhanCong!$B$3:$J$18,MATCH(TKB_Nhap!E15,PhanCong!$A$3:$A$18,0),MATCH($A15,PhanCong!$B$2:$J$2,0))),""))</f>
        <v/>
      </c>
      <c r="F15" s="36">
        <f>IF(TKB_Nhap!F15="","",IFERROR(T(INDEX(PhanCong!$B$3:$J$18,MATCH(TKB_Nhap!F15,PhanCong!$A$3:$A$18,0),MATCH($A15,PhanCong!$B$2:$J$2,0))),""))</f>
        <v/>
      </c>
      <c r="G15" s="36">
        <f>IF(TKB_Nhap!G15="","",IFERROR(T(INDEX(PhanCong!$B$3:$J$18,MATCH(TKB_Nhap!G15,PhanCong!$A$3:$A$18,0),MATCH($A15,PhanCong!$B$2:$J$2,0))),""))</f>
        <v/>
      </c>
      <c r="H15" s="36">
        <f>IF(TKB_Nhap!H15="","",IFERROR(T(INDEX(PhanCong!$B$3:$J$18,MATCH(TKB_Nhap!H15,PhanCong!$A$3:$A$18,0),MATCH($A15,PhanCong!$B$2:$J$2,0))),""))</f>
        <v/>
      </c>
      <c r="I15" s="36">
        <f>IF(TKB_Nhap!I15="","",IFERROR(T(INDEX(PhanCong!$B$3:$J$18,MATCH(TKB_Nhap!I15,PhanCong!$A$3:$A$18,0),MATCH($A15,PhanCong!$B$2:$J$2,0))),""))</f>
        <v/>
      </c>
      <c r="J15" s="36">
        <f>IF(TKB_Nhap!J15="","",IFERROR(T(INDEX(PhanCong!$B$3:$J$18,MATCH(TKB_Nhap!J15,PhanCong!$A$3:$A$18,0),MATCH($A15,PhanCong!$B$2:$J$2,0))),""))</f>
        <v/>
      </c>
      <c r="L15" s="39">
        <f>IF(D15="",0,IF(COUNTIFS($B$2:$B$73,$B15,$C$2:$C$73,$C15,D$2:D$73,D15)&gt;1,1,0))</f>
        <v/>
      </c>
      <c r="M15" s="39">
        <f>IF(E15="",0,IF(COUNTIFS($B$2:$B$73,$B15,$C$2:$C$73,$C15,E$2:E$73,E15)&gt;1,1,0))</f>
        <v/>
      </c>
      <c r="N15" s="39">
        <f>IF(F15="",0,IF(COUNTIFS($B$2:$B$73,$B15,$C$2:$C$73,$C15,F$2:F$73,F15)&gt;1,1,0))</f>
        <v/>
      </c>
      <c r="O15" s="39">
        <f>IF(G15="",0,IF(COUNTIFS($B$2:$B$73,$B15,$C$2:$C$73,$C15,G$2:G$73,G15)&gt;1,1,0))</f>
        <v/>
      </c>
      <c r="P15" s="39">
        <f>IF(H15="",0,IF(COUNTIFS($B$2:$B$73,$B15,$C$2:$C$73,$C15,H$2:H$73,H15)&gt;1,1,0))</f>
        <v/>
      </c>
      <c r="Q15" s="39">
        <f>IF(I15="",0,IF(COUNTIFS($B$2:$B$73,$B15,$C$2:$C$73,$C15,I$2:I$73,I15)&gt;1,1,0))</f>
        <v/>
      </c>
      <c r="R15" s="39">
        <f>IF(J15="",0,IF(COUNTIFS($B$2:$B$73,$B15,$C$2:$C$73,$C15,J$2:J$73,J15)&gt;1,1,0))</f>
        <v/>
      </c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IF(TKB_Nhap!D16="","",IFERROR(T(INDEX(PhanCong!$B$3:$J$18,MATCH(TKB_Nhap!D16,PhanCong!$A$3:$A$18,0),MATCH($A16,PhanCong!$B$2:$J$2,0))),""))</f>
        <v/>
      </c>
      <c r="E16" s="36">
        <f>IF(TKB_Nhap!E16="","",IFERROR(T(INDEX(PhanCong!$B$3:$J$18,MATCH(TKB_Nhap!E16,PhanCong!$A$3:$A$18,0),MATCH($A16,PhanCong!$B$2:$J$2,0))),""))</f>
        <v/>
      </c>
      <c r="F16" s="36">
        <f>IF(TKB_Nhap!F16="","",IFERROR(T(INDEX(PhanCong!$B$3:$J$18,MATCH(TKB_Nhap!F16,PhanCong!$A$3:$A$18,0),MATCH($A16,PhanCong!$B$2:$J$2,0))),""))</f>
        <v/>
      </c>
      <c r="G16" s="36">
        <f>IF(TKB_Nhap!G16="","",IFERROR(T(INDEX(PhanCong!$B$3:$J$18,MATCH(TKB_Nhap!G16,PhanCong!$A$3:$A$18,0),MATCH($A16,PhanCong!$B$2:$J$2,0))),""))</f>
        <v/>
      </c>
      <c r="H16" s="36">
        <f>IF(TKB_Nhap!H16="","",IFERROR(T(INDEX(PhanCong!$B$3:$J$18,MATCH(TKB_Nhap!H16,PhanCong!$A$3:$A$18,0),MATCH($A16,PhanCong!$B$2:$J$2,0))),""))</f>
        <v/>
      </c>
      <c r="I16" s="36">
        <f>IF(TKB_Nhap!I16="","",IFERROR(T(INDEX(PhanCong!$B$3:$J$18,MATCH(TKB_Nhap!I16,PhanCong!$A$3:$A$18,0),MATCH($A16,PhanCong!$B$2:$J$2,0))),""))</f>
        <v/>
      </c>
      <c r="J16" s="36">
        <f>IF(TKB_Nhap!J16="","",IFERROR(T(INDEX(PhanCong!$B$3:$J$18,MATCH(TKB_Nhap!J16,PhanCong!$A$3:$A$18,0),MATCH($A16,PhanCong!$B$2:$J$2,0))),""))</f>
        <v/>
      </c>
      <c r="L16" s="39">
        <f>IF(D16="",0,IF(COUNTIFS($B$2:$B$73,$B16,$C$2:$C$73,$C16,D$2:D$73,D16)&gt;1,1,0))</f>
        <v/>
      </c>
      <c r="M16" s="39">
        <f>IF(E16="",0,IF(COUNTIFS($B$2:$B$73,$B16,$C$2:$C$73,$C16,E$2:E$73,E16)&gt;1,1,0))</f>
        <v/>
      </c>
      <c r="N16" s="39">
        <f>IF(F16="",0,IF(COUNTIFS($B$2:$B$73,$B16,$C$2:$C$73,$C16,F$2:F$73,F16)&gt;1,1,0))</f>
        <v/>
      </c>
      <c r="O16" s="39">
        <f>IF(G16="",0,IF(COUNTIFS($B$2:$B$73,$B16,$C$2:$C$73,$C16,G$2:G$73,G16)&gt;1,1,0))</f>
        <v/>
      </c>
      <c r="P16" s="39">
        <f>IF(H16="",0,IF(COUNTIFS($B$2:$B$73,$B16,$C$2:$C$73,$C16,H$2:H$73,H16)&gt;1,1,0))</f>
        <v/>
      </c>
      <c r="Q16" s="39">
        <f>IF(I16="",0,IF(COUNTIFS($B$2:$B$73,$B16,$C$2:$C$73,$C16,I$2:I$73,I16)&gt;1,1,0))</f>
        <v/>
      </c>
      <c r="R16" s="39">
        <f>IF(J16="",0,IF(COUNTIFS($B$2:$B$73,$B16,$C$2:$C$73,$C16,J$2:J$73,J16)&gt;1,1,0))</f>
        <v/>
      </c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IF(TKB_Nhap!D17="","",IFERROR(T(INDEX(PhanCong!$B$3:$J$18,MATCH(TKB_Nhap!D17,PhanCong!$A$3:$A$18,0),MATCH($A17,PhanCong!$B$2:$J$2,0))),""))</f>
        <v/>
      </c>
      <c r="E17" s="36">
        <f>IF(TKB_Nhap!E17="","",IFERROR(T(INDEX(PhanCong!$B$3:$J$18,MATCH(TKB_Nhap!E17,PhanCong!$A$3:$A$18,0),MATCH($A17,PhanCong!$B$2:$J$2,0))),""))</f>
        <v/>
      </c>
      <c r="F17" s="36">
        <f>IF(TKB_Nhap!F17="","",IFERROR(T(INDEX(PhanCong!$B$3:$J$18,MATCH(TKB_Nhap!F17,PhanCong!$A$3:$A$18,0),MATCH($A17,PhanCong!$B$2:$J$2,0))),""))</f>
        <v/>
      </c>
      <c r="G17" s="36">
        <f>IF(TKB_Nhap!G17="","",IFERROR(T(INDEX(PhanCong!$B$3:$J$18,MATCH(TKB_Nhap!G17,PhanCong!$A$3:$A$18,0),MATCH($A17,PhanCong!$B$2:$J$2,0))),""))</f>
        <v/>
      </c>
      <c r="H17" s="36">
        <f>IF(TKB_Nhap!H17="","",IFERROR(T(INDEX(PhanCong!$B$3:$J$18,MATCH(TKB_Nhap!H17,PhanCong!$A$3:$A$18,0),MATCH($A17,PhanCong!$B$2:$J$2,0))),""))</f>
        <v/>
      </c>
      <c r="I17" s="36">
        <f>IF(TKB_Nhap!I17="","",IFERROR(T(INDEX(PhanCong!$B$3:$J$18,MATCH(TKB_Nhap!I17,PhanCong!$A$3:$A$18,0),MATCH($A17,PhanCong!$B$2:$J$2,0))),""))</f>
        <v/>
      </c>
      <c r="J17" s="36">
        <f>IF(TKB_Nhap!J17="","",IFERROR(T(INDEX(PhanCong!$B$3:$J$18,MATCH(TKB_Nhap!J17,PhanCong!$A$3:$A$18,0),MATCH($A17,PhanCong!$B$2:$J$2,0))),""))</f>
        <v/>
      </c>
      <c r="L17" s="39">
        <f>IF(D17="",0,IF(COUNTIFS($B$2:$B$73,$B17,$C$2:$C$73,$C17,D$2:D$73,D17)&gt;1,1,0))</f>
        <v/>
      </c>
      <c r="M17" s="39">
        <f>IF(E17="",0,IF(COUNTIFS($B$2:$B$73,$B17,$C$2:$C$73,$C17,E$2:E$73,E17)&gt;1,1,0))</f>
        <v/>
      </c>
      <c r="N17" s="39">
        <f>IF(F17="",0,IF(COUNTIFS($B$2:$B$73,$B17,$C$2:$C$73,$C17,F$2:F$73,F17)&gt;1,1,0))</f>
        <v/>
      </c>
      <c r="O17" s="39">
        <f>IF(G17="",0,IF(COUNTIFS($B$2:$B$73,$B17,$C$2:$C$73,$C17,G$2:G$73,G17)&gt;1,1,0))</f>
        <v/>
      </c>
      <c r="P17" s="39">
        <f>IF(H17="",0,IF(COUNTIFS($B$2:$B$73,$B17,$C$2:$C$73,$C17,H$2:H$73,H17)&gt;1,1,0))</f>
        <v/>
      </c>
      <c r="Q17" s="39">
        <f>IF(I17="",0,IF(COUNTIFS($B$2:$B$73,$B17,$C$2:$C$73,$C17,I$2:I$73,I17)&gt;1,1,0))</f>
        <v/>
      </c>
      <c r="R17" s="39">
        <f>IF(J17="",0,IF(COUNTIFS($B$2:$B$73,$B17,$C$2:$C$73,$C17,J$2:J$73,J17)&gt;1,1,0))</f>
        <v/>
      </c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IF(TKB_Nhap!D18="","",IFERROR(T(INDEX(PhanCong!$B$3:$J$18,MATCH(TKB_Nhap!D18,PhanCong!$A$3:$A$18,0),MATCH($A18,PhanCong!$B$2:$J$2,0))),""))</f>
        <v/>
      </c>
      <c r="E18" s="30">
        <f>IF(TKB_Nhap!E18="","",IFERROR(T(INDEX(PhanCong!$B$3:$J$18,MATCH(TKB_Nhap!E18,PhanCong!$A$3:$A$18,0),MATCH($A18,PhanCong!$B$2:$J$2,0))),""))</f>
        <v/>
      </c>
      <c r="F18" s="30">
        <f>IF(TKB_Nhap!F18="","",IFERROR(T(INDEX(PhanCong!$B$3:$J$18,MATCH(TKB_Nhap!F18,PhanCong!$A$3:$A$18,0),MATCH($A18,PhanCong!$B$2:$J$2,0))),""))</f>
        <v/>
      </c>
      <c r="G18" s="30">
        <f>IF(TKB_Nhap!G18="","",IFERROR(T(INDEX(PhanCong!$B$3:$J$18,MATCH(TKB_Nhap!G18,PhanCong!$A$3:$A$18,0),MATCH($A18,PhanCong!$B$2:$J$2,0))),""))</f>
        <v/>
      </c>
      <c r="H18" s="30">
        <f>IF(TKB_Nhap!H18="","",IFERROR(T(INDEX(PhanCong!$B$3:$J$18,MATCH(TKB_Nhap!H18,PhanCong!$A$3:$A$18,0),MATCH($A18,PhanCong!$B$2:$J$2,0))),""))</f>
        <v/>
      </c>
      <c r="I18" s="30">
        <f>IF(TKB_Nhap!I18="","",IFERROR(T(INDEX(PhanCong!$B$3:$J$18,MATCH(TKB_Nhap!I18,PhanCong!$A$3:$A$18,0),MATCH($A18,PhanCong!$B$2:$J$2,0))),""))</f>
        <v/>
      </c>
      <c r="J18" s="30">
        <f>IF(TKB_Nhap!J18="","",IFERROR(T(INDEX(PhanCong!$B$3:$J$18,MATCH(TKB_Nhap!J18,PhanCong!$A$3:$A$18,0),MATCH($A18,PhanCong!$B$2:$J$2,0))),""))</f>
        <v/>
      </c>
      <c r="L18" s="39">
        <f>IF(D18="",0,IF(COUNTIFS($B$2:$B$73,$B18,$C$2:$C$73,$C18,D$2:D$73,D18)&gt;1,1,0))</f>
        <v/>
      </c>
      <c r="M18" s="39">
        <f>IF(E18="",0,IF(COUNTIFS($B$2:$B$73,$B18,$C$2:$C$73,$C18,E$2:E$73,E18)&gt;1,1,0))</f>
        <v/>
      </c>
      <c r="N18" s="39">
        <f>IF(F18="",0,IF(COUNTIFS($B$2:$B$73,$B18,$C$2:$C$73,$C18,F$2:F$73,F18)&gt;1,1,0))</f>
        <v/>
      </c>
      <c r="O18" s="39">
        <f>IF(G18="",0,IF(COUNTIFS($B$2:$B$73,$B18,$C$2:$C$73,$C18,G$2:G$73,G18)&gt;1,1,0))</f>
        <v/>
      </c>
      <c r="P18" s="39">
        <f>IF(H18="",0,IF(COUNTIFS($B$2:$B$73,$B18,$C$2:$C$73,$C18,H$2:H$73,H18)&gt;1,1,0))</f>
        <v/>
      </c>
      <c r="Q18" s="39">
        <f>IF(I18="",0,IF(COUNTIFS($B$2:$B$73,$B18,$C$2:$C$73,$C18,I$2:I$73,I18)&gt;1,1,0))</f>
        <v/>
      </c>
      <c r="R18" s="39">
        <f>IF(J18="",0,IF(COUNTIFS($B$2:$B$73,$B18,$C$2:$C$73,$C18,J$2:J$73,J18)&gt;1,1,0))</f>
        <v/>
      </c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IF(TKB_Nhap!D19="","",IFERROR(T(INDEX(PhanCong!$B$3:$J$18,MATCH(TKB_Nhap!D19,PhanCong!$A$3:$A$18,0),MATCH($A19,PhanCong!$B$2:$J$2,0))),""))</f>
        <v/>
      </c>
      <c r="E19" s="30">
        <f>IF(TKB_Nhap!E19="","",IFERROR(T(INDEX(PhanCong!$B$3:$J$18,MATCH(TKB_Nhap!E19,PhanCong!$A$3:$A$18,0),MATCH($A19,PhanCong!$B$2:$J$2,0))),""))</f>
        <v/>
      </c>
      <c r="F19" s="30">
        <f>IF(TKB_Nhap!F19="","",IFERROR(T(INDEX(PhanCong!$B$3:$J$18,MATCH(TKB_Nhap!F19,PhanCong!$A$3:$A$18,0),MATCH($A19,PhanCong!$B$2:$J$2,0))),""))</f>
        <v/>
      </c>
      <c r="G19" s="30">
        <f>IF(TKB_Nhap!G19="","",IFERROR(T(INDEX(PhanCong!$B$3:$J$18,MATCH(TKB_Nhap!G19,PhanCong!$A$3:$A$18,0),MATCH($A19,PhanCong!$B$2:$J$2,0))),""))</f>
        <v/>
      </c>
      <c r="H19" s="30">
        <f>IF(TKB_Nhap!H19="","",IFERROR(T(INDEX(PhanCong!$B$3:$J$18,MATCH(TKB_Nhap!H19,PhanCong!$A$3:$A$18,0),MATCH($A19,PhanCong!$B$2:$J$2,0))),""))</f>
        <v/>
      </c>
      <c r="I19" s="30">
        <f>IF(TKB_Nhap!I19="","",IFERROR(T(INDEX(PhanCong!$B$3:$J$18,MATCH(TKB_Nhap!I19,PhanCong!$A$3:$A$18,0),MATCH($A19,PhanCong!$B$2:$J$2,0))),""))</f>
        <v/>
      </c>
      <c r="J19" s="30">
        <f>IF(TKB_Nhap!J19="","",IFERROR(T(INDEX(PhanCong!$B$3:$J$18,MATCH(TKB_Nhap!J19,PhanCong!$A$3:$A$18,0),MATCH($A19,PhanCong!$B$2:$J$2,0))),""))</f>
        <v/>
      </c>
      <c r="L19" s="39">
        <f>IF(D19="",0,IF(COUNTIFS($B$2:$B$73,$B19,$C$2:$C$73,$C19,D$2:D$73,D19)&gt;1,1,0))</f>
        <v/>
      </c>
      <c r="M19" s="39">
        <f>IF(E19="",0,IF(COUNTIFS($B$2:$B$73,$B19,$C$2:$C$73,$C19,E$2:E$73,E19)&gt;1,1,0))</f>
        <v/>
      </c>
      <c r="N19" s="39">
        <f>IF(F19="",0,IF(COUNTIFS($B$2:$B$73,$B19,$C$2:$C$73,$C19,F$2:F$73,F19)&gt;1,1,0))</f>
        <v/>
      </c>
      <c r="O19" s="39">
        <f>IF(G19="",0,IF(COUNTIFS($B$2:$B$73,$B19,$C$2:$C$73,$C19,G$2:G$73,G19)&gt;1,1,0))</f>
        <v/>
      </c>
      <c r="P19" s="39">
        <f>IF(H19="",0,IF(COUNTIFS($B$2:$B$73,$B19,$C$2:$C$73,$C19,H$2:H$73,H19)&gt;1,1,0))</f>
        <v/>
      </c>
      <c r="Q19" s="39">
        <f>IF(I19="",0,IF(COUNTIFS($B$2:$B$73,$B19,$C$2:$C$73,$C19,I$2:I$73,I19)&gt;1,1,0))</f>
        <v/>
      </c>
      <c r="R19" s="39">
        <f>IF(J19="",0,IF(COUNTIFS($B$2:$B$73,$B19,$C$2:$C$73,$C19,J$2:J$73,J19)&gt;1,1,0))</f>
        <v/>
      </c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IF(TKB_Nhap!D20="","",IFERROR(T(INDEX(PhanCong!$B$3:$J$18,MATCH(TKB_Nhap!D20,PhanCong!$A$3:$A$18,0),MATCH($A20,PhanCong!$B$2:$J$2,0))),""))</f>
        <v/>
      </c>
      <c r="E20" s="30">
        <f>IF(TKB_Nhap!E20="","",IFERROR(T(INDEX(PhanCong!$B$3:$J$18,MATCH(TKB_Nhap!E20,PhanCong!$A$3:$A$18,0),MATCH($A20,PhanCong!$B$2:$J$2,0))),""))</f>
        <v/>
      </c>
      <c r="F20" s="30">
        <f>IF(TKB_Nhap!F20="","",IFERROR(T(INDEX(PhanCong!$B$3:$J$18,MATCH(TKB_Nhap!F20,PhanCong!$A$3:$A$18,0),MATCH($A20,PhanCong!$B$2:$J$2,0))),""))</f>
        <v/>
      </c>
      <c r="G20" s="30">
        <f>IF(TKB_Nhap!G20="","",IFERROR(T(INDEX(PhanCong!$B$3:$J$18,MATCH(TKB_Nhap!G20,PhanCong!$A$3:$A$18,0),MATCH($A20,PhanCong!$B$2:$J$2,0))),""))</f>
        <v/>
      </c>
      <c r="H20" s="30">
        <f>IF(TKB_Nhap!H20="","",IFERROR(T(INDEX(PhanCong!$B$3:$J$18,MATCH(TKB_Nhap!H20,PhanCong!$A$3:$A$18,0),MATCH($A20,PhanCong!$B$2:$J$2,0))),""))</f>
        <v/>
      </c>
      <c r="I20" s="30">
        <f>IF(TKB_Nhap!I20="","",IFERROR(T(INDEX(PhanCong!$B$3:$J$18,MATCH(TKB_Nhap!I20,PhanCong!$A$3:$A$18,0),MATCH($A20,PhanCong!$B$2:$J$2,0))),""))</f>
        <v/>
      </c>
      <c r="J20" s="30">
        <f>IF(TKB_Nhap!J20="","",IFERROR(T(INDEX(PhanCong!$B$3:$J$18,MATCH(TKB_Nhap!J20,PhanCong!$A$3:$A$18,0),MATCH($A20,PhanCong!$B$2:$J$2,0))),""))</f>
        <v/>
      </c>
      <c r="L20" s="39">
        <f>IF(D20="",0,IF(COUNTIFS($B$2:$B$73,$B20,$C$2:$C$73,$C20,D$2:D$73,D20)&gt;1,1,0))</f>
        <v/>
      </c>
      <c r="M20" s="39">
        <f>IF(E20="",0,IF(COUNTIFS($B$2:$B$73,$B20,$C$2:$C$73,$C20,E$2:E$73,E20)&gt;1,1,0))</f>
        <v/>
      </c>
      <c r="N20" s="39">
        <f>IF(F20="",0,IF(COUNTIFS($B$2:$B$73,$B20,$C$2:$C$73,$C20,F$2:F$73,F20)&gt;1,1,0))</f>
        <v/>
      </c>
      <c r="O20" s="39">
        <f>IF(G20="",0,IF(COUNTIFS($B$2:$B$73,$B20,$C$2:$C$73,$C20,G$2:G$73,G20)&gt;1,1,0))</f>
        <v/>
      </c>
      <c r="P20" s="39">
        <f>IF(H20="",0,IF(COUNTIFS($B$2:$B$73,$B20,$C$2:$C$73,$C20,H$2:H$73,H20)&gt;1,1,0))</f>
        <v/>
      </c>
      <c r="Q20" s="39">
        <f>IF(I20="",0,IF(COUNTIFS($B$2:$B$73,$B20,$C$2:$C$73,$C20,I$2:I$73,I20)&gt;1,1,0))</f>
        <v/>
      </c>
      <c r="R20" s="39">
        <f>IF(J20="",0,IF(COUNTIFS($B$2:$B$73,$B20,$C$2:$C$73,$C20,J$2:J$73,J20)&gt;1,1,0))</f>
        <v/>
      </c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IF(TKB_Nhap!D21="","",IFERROR(T(INDEX(PhanCong!$B$3:$J$18,MATCH(TKB_Nhap!D21,PhanCong!$A$3:$A$18,0),MATCH($A21,PhanCong!$B$2:$J$2,0))),""))</f>
        <v/>
      </c>
      <c r="E21" s="30">
        <f>IF(TKB_Nhap!E21="","",IFERROR(T(INDEX(PhanCong!$B$3:$J$18,MATCH(TKB_Nhap!E21,PhanCong!$A$3:$A$18,0),MATCH($A21,PhanCong!$B$2:$J$2,0))),""))</f>
        <v/>
      </c>
      <c r="F21" s="30">
        <f>IF(TKB_Nhap!F21="","",IFERROR(T(INDEX(PhanCong!$B$3:$J$18,MATCH(TKB_Nhap!F21,PhanCong!$A$3:$A$18,0),MATCH($A21,PhanCong!$B$2:$J$2,0))),""))</f>
        <v/>
      </c>
      <c r="G21" s="30">
        <f>IF(TKB_Nhap!G21="","",IFERROR(T(INDEX(PhanCong!$B$3:$J$18,MATCH(TKB_Nhap!G21,PhanCong!$A$3:$A$18,0),MATCH($A21,PhanCong!$B$2:$J$2,0))),""))</f>
        <v/>
      </c>
      <c r="H21" s="30">
        <f>IF(TKB_Nhap!H21="","",IFERROR(T(INDEX(PhanCong!$B$3:$J$18,MATCH(TKB_Nhap!H21,PhanCong!$A$3:$A$18,0),MATCH($A21,PhanCong!$B$2:$J$2,0))),""))</f>
        <v/>
      </c>
      <c r="I21" s="30">
        <f>IF(TKB_Nhap!I21="","",IFERROR(T(INDEX(PhanCong!$B$3:$J$18,MATCH(TKB_Nhap!I21,PhanCong!$A$3:$A$18,0),MATCH($A21,PhanCong!$B$2:$J$2,0))),""))</f>
        <v/>
      </c>
      <c r="J21" s="30">
        <f>IF(TKB_Nhap!J21="","",IFERROR(T(INDEX(PhanCong!$B$3:$J$18,MATCH(TKB_Nhap!J21,PhanCong!$A$3:$A$18,0),MATCH($A21,PhanCong!$B$2:$J$2,0))),""))</f>
        <v/>
      </c>
      <c r="L21" s="39">
        <f>IF(D21="",0,IF(COUNTIFS($B$2:$B$73,$B21,$C$2:$C$73,$C21,D$2:D$73,D21)&gt;1,1,0))</f>
        <v/>
      </c>
      <c r="M21" s="39">
        <f>IF(E21="",0,IF(COUNTIFS($B$2:$B$73,$B21,$C$2:$C$73,$C21,E$2:E$73,E21)&gt;1,1,0))</f>
        <v/>
      </c>
      <c r="N21" s="39">
        <f>IF(F21="",0,IF(COUNTIFS($B$2:$B$73,$B21,$C$2:$C$73,$C21,F$2:F$73,F21)&gt;1,1,0))</f>
        <v/>
      </c>
      <c r="O21" s="39">
        <f>IF(G21="",0,IF(COUNTIFS($B$2:$B$73,$B21,$C$2:$C$73,$C21,G$2:G$73,G21)&gt;1,1,0))</f>
        <v/>
      </c>
      <c r="P21" s="39">
        <f>IF(H21="",0,IF(COUNTIFS($B$2:$B$73,$B21,$C$2:$C$73,$C21,H$2:H$73,H21)&gt;1,1,0))</f>
        <v/>
      </c>
      <c r="Q21" s="39">
        <f>IF(I21="",0,IF(COUNTIFS($B$2:$B$73,$B21,$C$2:$C$73,$C21,I$2:I$73,I21)&gt;1,1,0))</f>
        <v/>
      </c>
      <c r="R21" s="39">
        <f>IF(J21="",0,IF(COUNTIFS($B$2:$B$73,$B21,$C$2:$C$73,$C21,J$2:J$73,J21)&gt;1,1,0))</f>
        <v/>
      </c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IF(TKB_Nhap!D22="","",IFERROR(T(INDEX(PhanCong!$B$3:$J$18,MATCH(TKB_Nhap!D22,PhanCong!$A$3:$A$18,0),MATCH($A22,PhanCong!$B$2:$J$2,0))),""))</f>
        <v/>
      </c>
      <c r="E22" s="30">
        <f>IF(TKB_Nhap!E22="","",IFERROR(T(INDEX(PhanCong!$B$3:$J$18,MATCH(TKB_Nhap!E22,PhanCong!$A$3:$A$18,0),MATCH($A22,PhanCong!$B$2:$J$2,0))),""))</f>
        <v/>
      </c>
      <c r="F22" s="30">
        <f>IF(TKB_Nhap!F22="","",IFERROR(T(INDEX(PhanCong!$B$3:$J$18,MATCH(TKB_Nhap!F22,PhanCong!$A$3:$A$18,0),MATCH($A22,PhanCong!$B$2:$J$2,0))),""))</f>
        <v/>
      </c>
      <c r="G22" s="30">
        <f>IF(TKB_Nhap!G22="","",IFERROR(T(INDEX(PhanCong!$B$3:$J$18,MATCH(TKB_Nhap!G22,PhanCong!$A$3:$A$18,0),MATCH($A22,PhanCong!$B$2:$J$2,0))),""))</f>
        <v/>
      </c>
      <c r="H22" s="30">
        <f>IF(TKB_Nhap!H22="","",IFERROR(T(INDEX(PhanCong!$B$3:$J$18,MATCH(TKB_Nhap!H22,PhanCong!$A$3:$A$18,0),MATCH($A22,PhanCong!$B$2:$J$2,0))),""))</f>
        <v/>
      </c>
      <c r="I22" s="30">
        <f>IF(TKB_Nhap!I22="","",IFERROR(T(INDEX(PhanCong!$B$3:$J$18,MATCH(TKB_Nhap!I22,PhanCong!$A$3:$A$18,0),MATCH($A22,PhanCong!$B$2:$J$2,0))),""))</f>
        <v/>
      </c>
      <c r="J22" s="30">
        <f>IF(TKB_Nhap!J22="","",IFERROR(T(INDEX(PhanCong!$B$3:$J$18,MATCH(TKB_Nhap!J22,PhanCong!$A$3:$A$18,0),MATCH($A22,PhanCong!$B$2:$J$2,0))),""))</f>
        <v/>
      </c>
      <c r="L22" s="39">
        <f>IF(D22="",0,IF(COUNTIFS($B$2:$B$73,$B22,$C$2:$C$73,$C22,D$2:D$73,D22)&gt;1,1,0))</f>
        <v/>
      </c>
      <c r="M22" s="39">
        <f>IF(E22="",0,IF(COUNTIFS($B$2:$B$73,$B22,$C$2:$C$73,$C22,E$2:E$73,E22)&gt;1,1,0))</f>
        <v/>
      </c>
      <c r="N22" s="39">
        <f>IF(F22="",0,IF(COUNTIFS($B$2:$B$73,$B22,$C$2:$C$73,$C22,F$2:F$73,F22)&gt;1,1,0))</f>
        <v/>
      </c>
      <c r="O22" s="39">
        <f>IF(G22="",0,IF(COUNTIFS($B$2:$B$73,$B22,$C$2:$C$73,$C22,G$2:G$73,G22)&gt;1,1,0))</f>
        <v/>
      </c>
      <c r="P22" s="39">
        <f>IF(H22="",0,IF(COUNTIFS($B$2:$B$73,$B22,$C$2:$C$73,$C22,H$2:H$73,H22)&gt;1,1,0))</f>
        <v/>
      </c>
      <c r="Q22" s="39">
        <f>IF(I22="",0,IF(COUNTIFS($B$2:$B$73,$B22,$C$2:$C$73,$C22,I$2:I$73,I22)&gt;1,1,0))</f>
        <v/>
      </c>
      <c r="R22" s="39">
        <f>IF(J22="",0,IF(COUNTIFS($B$2:$B$73,$B22,$C$2:$C$73,$C22,J$2:J$73,J22)&gt;1,1,0))</f>
        <v/>
      </c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IF(TKB_Nhap!D23="","",IFERROR(T(INDEX(PhanCong!$B$3:$J$18,MATCH(TKB_Nhap!D23,PhanCong!$A$3:$A$18,0),MATCH($A23,PhanCong!$B$2:$J$2,0))),""))</f>
        <v/>
      </c>
      <c r="E23" s="30">
        <f>IF(TKB_Nhap!E23="","",IFERROR(T(INDEX(PhanCong!$B$3:$J$18,MATCH(TKB_Nhap!E23,PhanCong!$A$3:$A$18,0),MATCH($A23,PhanCong!$B$2:$J$2,0))),""))</f>
        <v/>
      </c>
      <c r="F23" s="30">
        <f>IF(TKB_Nhap!F23="","",IFERROR(T(INDEX(PhanCong!$B$3:$J$18,MATCH(TKB_Nhap!F23,PhanCong!$A$3:$A$18,0),MATCH($A23,PhanCong!$B$2:$J$2,0))),""))</f>
        <v/>
      </c>
      <c r="G23" s="30">
        <f>IF(TKB_Nhap!G23="","",IFERROR(T(INDEX(PhanCong!$B$3:$J$18,MATCH(TKB_Nhap!G23,PhanCong!$A$3:$A$18,0),MATCH($A23,PhanCong!$B$2:$J$2,0))),""))</f>
        <v/>
      </c>
      <c r="H23" s="30">
        <f>IF(TKB_Nhap!H23="","",IFERROR(T(INDEX(PhanCong!$B$3:$J$18,MATCH(TKB_Nhap!H23,PhanCong!$A$3:$A$18,0),MATCH($A23,PhanCong!$B$2:$J$2,0))),""))</f>
        <v/>
      </c>
      <c r="I23" s="30">
        <f>IF(TKB_Nhap!I23="","",IFERROR(T(INDEX(PhanCong!$B$3:$J$18,MATCH(TKB_Nhap!I23,PhanCong!$A$3:$A$18,0),MATCH($A23,PhanCong!$B$2:$J$2,0))),""))</f>
        <v/>
      </c>
      <c r="J23" s="30">
        <f>IF(TKB_Nhap!J23="","",IFERROR(T(INDEX(PhanCong!$B$3:$J$18,MATCH(TKB_Nhap!J23,PhanCong!$A$3:$A$18,0),MATCH($A23,PhanCong!$B$2:$J$2,0))),""))</f>
        <v/>
      </c>
      <c r="L23" s="39">
        <f>IF(D23="",0,IF(COUNTIFS($B$2:$B$73,$B23,$C$2:$C$73,$C23,D$2:D$73,D23)&gt;1,1,0))</f>
        <v/>
      </c>
      <c r="M23" s="39">
        <f>IF(E23="",0,IF(COUNTIFS($B$2:$B$73,$B23,$C$2:$C$73,$C23,E$2:E$73,E23)&gt;1,1,0))</f>
        <v/>
      </c>
      <c r="N23" s="39">
        <f>IF(F23="",0,IF(COUNTIFS($B$2:$B$73,$B23,$C$2:$C$73,$C23,F$2:F$73,F23)&gt;1,1,0))</f>
        <v/>
      </c>
      <c r="O23" s="39">
        <f>IF(G23="",0,IF(COUNTIFS($B$2:$B$73,$B23,$C$2:$C$73,$C23,G$2:G$73,G23)&gt;1,1,0))</f>
        <v/>
      </c>
      <c r="P23" s="39">
        <f>IF(H23="",0,IF(COUNTIFS($B$2:$B$73,$B23,$C$2:$C$73,$C23,H$2:H$73,H23)&gt;1,1,0))</f>
        <v/>
      </c>
      <c r="Q23" s="39">
        <f>IF(I23="",0,IF(COUNTIFS($B$2:$B$73,$B23,$C$2:$C$73,$C23,I$2:I$73,I23)&gt;1,1,0))</f>
        <v/>
      </c>
      <c r="R23" s="39">
        <f>IF(J23="",0,IF(COUNTIFS($B$2:$B$73,$B23,$C$2:$C$73,$C23,J$2:J$73,J23)&gt;1,1,0))</f>
        <v/>
      </c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IF(TKB_Nhap!D24="","",IFERROR(T(INDEX(PhanCong!$B$3:$J$18,MATCH(TKB_Nhap!D24,PhanCong!$A$3:$A$18,0),MATCH($A24,PhanCong!$B$2:$J$2,0))),""))</f>
        <v/>
      </c>
      <c r="E24" s="30">
        <f>IF(TKB_Nhap!E24="","",IFERROR(T(INDEX(PhanCong!$B$3:$J$18,MATCH(TKB_Nhap!E24,PhanCong!$A$3:$A$18,0),MATCH($A24,PhanCong!$B$2:$J$2,0))),""))</f>
        <v/>
      </c>
      <c r="F24" s="30">
        <f>IF(TKB_Nhap!F24="","",IFERROR(T(INDEX(PhanCong!$B$3:$J$18,MATCH(TKB_Nhap!F24,PhanCong!$A$3:$A$18,0),MATCH($A24,PhanCong!$B$2:$J$2,0))),""))</f>
        <v/>
      </c>
      <c r="G24" s="30">
        <f>IF(TKB_Nhap!G24="","",IFERROR(T(INDEX(PhanCong!$B$3:$J$18,MATCH(TKB_Nhap!G24,PhanCong!$A$3:$A$18,0),MATCH($A24,PhanCong!$B$2:$J$2,0))),""))</f>
        <v/>
      </c>
      <c r="H24" s="30">
        <f>IF(TKB_Nhap!H24="","",IFERROR(T(INDEX(PhanCong!$B$3:$J$18,MATCH(TKB_Nhap!H24,PhanCong!$A$3:$A$18,0),MATCH($A24,PhanCong!$B$2:$J$2,0))),""))</f>
        <v/>
      </c>
      <c r="I24" s="30">
        <f>IF(TKB_Nhap!I24="","",IFERROR(T(INDEX(PhanCong!$B$3:$J$18,MATCH(TKB_Nhap!I24,PhanCong!$A$3:$A$18,0),MATCH($A24,PhanCong!$B$2:$J$2,0))),""))</f>
        <v/>
      </c>
      <c r="J24" s="30">
        <f>IF(TKB_Nhap!J24="","",IFERROR(T(INDEX(PhanCong!$B$3:$J$18,MATCH(TKB_Nhap!J24,PhanCong!$A$3:$A$18,0),MATCH($A24,PhanCong!$B$2:$J$2,0))),""))</f>
        <v/>
      </c>
      <c r="L24" s="39">
        <f>IF(D24="",0,IF(COUNTIFS($B$2:$B$73,$B24,$C$2:$C$73,$C24,D$2:D$73,D24)&gt;1,1,0))</f>
        <v/>
      </c>
      <c r="M24" s="39">
        <f>IF(E24="",0,IF(COUNTIFS($B$2:$B$73,$B24,$C$2:$C$73,$C24,E$2:E$73,E24)&gt;1,1,0))</f>
        <v/>
      </c>
      <c r="N24" s="39">
        <f>IF(F24="",0,IF(COUNTIFS($B$2:$B$73,$B24,$C$2:$C$73,$C24,F$2:F$73,F24)&gt;1,1,0))</f>
        <v/>
      </c>
      <c r="O24" s="39">
        <f>IF(G24="",0,IF(COUNTIFS($B$2:$B$73,$B24,$C$2:$C$73,$C24,G$2:G$73,G24)&gt;1,1,0))</f>
        <v/>
      </c>
      <c r="P24" s="39">
        <f>IF(H24="",0,IF(COUNTIFS($B$2:$B$73,$B24,$C$2:$C$73,$C24,H$2:H$73,H24)&gt;1,1,0))</f>
        <v/>
      </c>
      <c r="Q24" s="39">
        <f>IF(I24="",0,IF(COUNTIFS($B$2:$B$73,$B24,$C$2:$C$73,$C24,I$2:I$73,I24)&gt;1,1,0))</f>
        <v/>
      </c>
      <c r="R24" s="39">
        <f>IF(J24="",0,IF(COUNTIFS($B$2:$B$73,$B24,$C$2:$C$73,$C24,J$2:J$73,J24)&gt;1,1,0))</f>
        <v/>
      </c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IF(TKB_Nhap!D25="","",IFERROR(T(INDEX(PhanCong!$B$3:$J$18,MATCH(TKB_Nhap!D25,PhanCong!$A$3:$A$18,0),MATCH($A25,PhanCong!$B$2:$J$2,0))),""))</f>
        <v/>
      </c>
      <c r="E25" s="30">
        <f>IF(TKB_Nhap!E25="","",IFERROR(T(INDEX(PhanCong!$B$3:$J$18,MATCH(TKB_Nhap!E25,PhanCong!$A$3:$A$18,0),MATCH($A25,PhanCong!$B$2:$J$2,0))),""))</f>
        <v/>
      </c>
      <c r="F25" s="30">
        <f>IF(TKB_Nhap!F25="","",IFERROR(T(INDEX(PhanCong!$B$3:$J$18,MATCH(TKB_Nhap!F25,PhanCong!$A$3:$A$18,0),MATCH($A25,PhanCong!$B$2:$J$2,0))),""))</f>
        <v/>
      </c>
      <c r="G25" s="30">
        <f>IF(TKB_Nhap!G25="","",IFERROR(T(INDEX(PhanCong!$B$3:$J$18,MATCH(TKB_Nhap!G25,PhanCong!$A$3:$A$18,0),MATCH($A25,PhanCong!$B$2:$J$2,0))),""))</f>
        <v/>
      </c>
      <c r="H25" s="30">
        <f>IF(TKB_Nhap!H25="","",IFERROR(T(INDEX(PhanCong!$B$3:$J$18,MATCH(TKB_Nhap!H25,PhanCong!$A$3:$A$18,0),MATCH($A25,PhanCong!$B$2:$J$2,0))),""))</f>
        <v/>
      </c>
      <c r="I25" s="30">
        <f>IF(TKB_Nhap!I25="","",IFERROR(T(INDEX(PhanCong!$B$3:$J$18,MATCH(TKB_Nhap!I25,PhanCong!$A$3:$A$18,0),MATCH($A25,PhanCong!$B$2:$J$2,0))),""))</f>
        <v/>
      </c>
      <c r="J25" s="30">
        <f>IF(TKB_Nhap!J25="","",IFERROR(T(INDEX(PhanCong!$B$3:$J$18,MATCH(TKB_Nhap!J25,PhanCong!$A$3:$A$18,0),MATCH($A25,PhanCong!$B$2:$J$2,0))),""))</f>
        <v/>
      </c>
      <c r="L25" s="39">
        <f>IF(D25="",0,IF(COUNTIFS($B$2:$B$73,$B25,$C$2:$C$73,$C25,D$2:D$73,D25)&gt;1,1,0))</f>
        <v/>
      </c>
      <c r="M25" s="39">
        <f>IF(E25="",0,IF(COUNTIFS($B$2:$B$73,$B25,$C$2:$C$73,$C25,E$2:E$73,E25)&gt;1,1,0))</f>
        <v/>
      </c>
      <c r="N25" s="39">
        <f>IF(F25="",0,IF(COUNTIFS($B$2:$B$73,$B25,$C$2:$C$73,$C25,F$2:F$73,F25)&gt;1,1,0))</f>
        <v/>
      </c>
      <c r="O25" s="39">
        <f>IF(G25="",0,IF(COUNTIFS($B$2:$B$73,$B25,$C$2:$C$73,$C25,G$2:G$73,G25)&gt;1,1,0))</f>
        <v/>
      </c>
      <c r="P25" s="39">
        <f>IF(H25="",0,IF(COUNTIFS($B$2:$B$73,$B25,$C$2:$C$73,$C25,H$2:H$73,H25)&gt;1,1,0))</f>
        <v/>
      </c>
      <c r="Q25" s="39">
        <f>IF(I25="",0,IF(COUNTIFS($B$2:$B$73,$B25,$C$2:$C$73,$C25,I$2:I$73,I25)&gt;1,1,0))</f>
        <v/>
      </c>
      <c r="R25" s="39">
        <f>IF(J25="",0,IF(COUNTIFS($B$2:$B$73,$B25,$C$2:$C$73,$C25,J$2:J$73,J25)&gt;1,1,0))</f>
        <v/>
      </c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IF(TKB_Nhap!D26="","",IFERROR(T(INDEX(PhanCong!$B$3:$J$18,MATCH(TKB_Nhap!D26,PhanCong!$A$3:$A$18,0),MATCH($A26,PhanCong!$B$2:$J$2,0))),""))</f>
        <v/>
      </c>
      <c r="E26" s="36">
        <f>IF(TKB_Nhap!E26="","",IFERROR(T(INDEX(PhanCong!$B$3:$J$18,MATCH(TKB_Nhap!E26,PhanCong!$A$3:$A$18,0),MATCH($A26,PhanCong!$B$2:$J$2,0))),""))</f>
        <v/>
      </c>
      <c r="F26" s="36">
        <f>IF(TKB_Nhap!F26="","",IFERROR(T(INDEX(PhanCong!$B$3:$J$18,MATCH(TKB_Nhap!F26,PhanCong!$A$3:$A$18,0),MATCH($A26,PhanCong!$B$2:$J$2,0))),""))</f>
        <v/>
      </c>
      <c r="G26" s="36">
        <f>IF(TKB_Nhap!G26="","",IFERROR(T(INDEX(PhanCong!$B$3:$J$18,MATCH(TKB_Nhap!G26,PhanCong!$A$3:$A$18,0),MATCH($A26,PhanCong!$B$2:$J$2,0))),""))</f>
        <v/>
      </c>
      <c r="H26" s="36">
        <f>IF(TKB_Nhap!H26="","",IFERROR(T(INDEX(PhanCong!$B$3:$J$18,MATCH(TKB_Nhap!H26,PhanCong!$A$3:$A$18,0),MATCH($A26,PhanCong!$B$2:$J$2,0))),""))</f>
        <v/>
      </c>
      <c r="I26" s="36">
        <f>IF(TKB_Nhap!I26="","",IFERROR(T(INDEX(PhanCong!$B$3:$J$18,MATCH(TKB_Nhap!I26,PhanCong!$A$3:$A$18,0),MATCH($A26,PhanCong!$B$2:$J$2,0))),""))</f>
        <v/>
      </c>
      <c r="J26" s="36">
        <f>IF(TKB_Nhap!J26="","",IFERROR(T(INDEX(PhanCong!$B$3:$J$18,MATCH(TKB_Nhap!J26,PhanCong!$A$3:$A$18,0),MATCH($A26,PhanCong!$B$2:$J$2,0))),""))</f>
        <v/>
      </c>
      <c r="L26" s="39">
        <f>IF(D26="",0,IF(COUNTIFS($B$2:$B$73,$B26,$C$2:$C$73,$C26,D$2:D$73,D26)&gt;1,1,0))</f>
        <v/>
      </c>
      <c r="M26" s="39">
        <f>IF(E26="",0,IF(COUNTIFS($B$2:$B$73,$B26,$C$2:$C$73,$C26,E$2:E$73,E26)&gt;1,1,0))</f>
        <v/>
      </c>
      <c r="N26" s="39">
        <f>IF(F26="",0,IF(COUNTIFS($B$2:$B$73,$B26,$C$2:$C$73,$C26,F$2:F$73,F26)&gt;1,1,0))</f>
        <v/>
      </c>
      <c r="O26" s="39">
        <f>IF(G26="",0,IF(COUNTIFS($B$2:$B$73,$B26,$C$2:$C$73,$C26,G$2:G$73,G26)&gt;1,1,0))</f>
        <v/>
      </c>
      <c r="P26" s="39">
        <f>IF(H26="",0,IF(COUNTIFS($B$2:$B$73,$B26,$C$2:$C$73,$C26,H$2:H$73,H26)&gt;1,1,0))</f>
        <v/>
      </c>
      <c r="Q26" s="39">
        <f>IF(I26="",0,IF(COUNTIFS($B$2:$B$73,$B26,$C$2:$C$73,$C26,I$2:I$73,I26)&gt;1,1,0))</f>
        <v/>
      </c>
      <c r="R26" s="39">
        <f>IF(J26="",0,IF(COUNTIFS($B$2:$B$73,$B26,$C$2:$C$73,$C26,J$2:J$73,J26)&gt;1,1,0))</f>
        <v/>
      </c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IF(TKB_Nhap!D27="","",IFERROR(T(INDEX(PhanCong!$B$3:$J$18,MATCH(TKB_Nhap!D27,PhanCong!$A$3:$A$18,0),MATCH($A27,PhanCong!$B$2:$J$2,0))),""))</f>
        <v/>
      </c>
      <c r="E27" s="36">
        <f>IF(TKB_Nhap!E27="","",IFERROR(T(INDEX(PhanCong!$B$3:$J$18,MATCH(TKB_Nhap!E27,PhanCong!$A$3:$A$18,0),MATCH($A27,PhanCong!$B$2:$J$2,0))),""))</f>
        <v/>
      </c>
      <c r="F27" s="36">
        <f>IF(TKB_Nhap!F27="","",IFERROR(T(INDEX(PhanCong!$B$3:$J$18,MATCH(TKB_Nhap!F27,PhanCong!$A$3:$A$18,0),MATCH($A27,PhanCong!$B$2:$J$2,0))),""))</f>
        <v/>
      </c>
      <c r="G27" s="36">
        <f>IF(TKB_Nhap!G27="","",IFERROR(T(INDEX(PhanCong!$B$3:$J$18,MATCH(TKB_Nhap!G27,PhanCong!$A$3:$A$18,0),MATCH($A27,PhanCong!$B$2:$J$2,0))),""))</f>
        <v/>
      </c>
      <c r="H27" s="36">
        <f>IF(TKB_Nhap!H27="","",IFERROR(T(INDEX(PhanCong!$B$3:$J$18,MATCH(TKB_Nhap!H27,PhanCong!$A$3:$A$18,0),MATCH($A27,PhanCong!$B$2:$J$2,0))),""))</f>
        <v/>
      </c>
      <c r="I27" s="36">
        <f>IF(TKB_Nhap!I27="","",IFERROR(T(INDEX(PhanCong!$B$3:$J$18,MATCH(TKB_Nhap!I27,PhanCong!$A$3:$A$18,0),MATCH($A27,PhanCong!$B$2:$J$2,0))),""))</f>
        <v/>
      </c>
      <c r="J27" s="36">
        <f>IF(TKB_Nhap!J27="","",IFERROR(T(INDEX(PhanCong!$B$3:$J$18,MATCH(TKB_Nhap!J27,PhanCong!$A$3:$A$18,0),MATCH($A27,PhanCong!$B$2:$J$2,0))),""))</f>
        <v/>
      </c>
      <c r="L27" s="39">
        <f>IF(D27="",0,IF(COUNTIFS($B$2:$B$73,$B27,$C$2:$C$73,$C27,D$2:D$73,D27)&gt;1,1,0))</f>
        <v/>
      </c>
      <c r="M27" s="39">
        <f>IF(E27="",0,IF(COUNTIFS($B$2:$B$73,$B27,$C$2:$C$73,$C27,E$2:E$73,E27)&gt;1,1,0))</f>
        <v/>
      </c>
      <c r="N27" s="39">
        <f>IF(F27="",0,IF(COUNTIFS($B$2:$B$73,$B27,$C$2:$C$73,$C27,F$2:F$73,F27)&gt;1,1,0))</f>
        <v/>
      </c>
      <c r="O27" s="39">
        <f>IF(G27="",0,IF(COUNTIFS($B$2:$B$73,$B27,$C$2:$C$73,$C27,G$2:G$73,G27)&gt;1,1,0))</f>
        <v/>
      </c>
      <c r="P27" s="39">
        <f>IF(H27="",0,IF(COUNTIFS($B$2:$B$73,$B27,$C$2:$C$73,$C27,H$2:H$73,H27)&gt;1,1,0))</f>
        <v/>
      </c>
      <c r="Q27" s="39">
        <f>IF(I27="",0,IF(COUNTIFS($B$2:$B$73,$B27,$C$2:$C$73,$C27,I$2:I$73,I27)&gt;1,1,0))</f>
        <v/>
      </c>
      <c r="R27" s="39">
        <f>IF(J27="",0,IF(COUNTIFS($B$2:$B$73,$B27,$C$2:$C$73,$C27,J$2:J$73,J27)&gt;1,1,0))</f>
        <v/>
      </c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IF(TKB_Nhap!D28="","",IFERROR(T(INDEX(PhanCong!$B$3:$J$18,MATCH(TKB_Nhap!D28,PhanCong!$A$3:$A$18,0),MATCH($A28,PhanCong!$B$2:$J$2,0))),""))</f>
        <v/>
      </c>
      <c r="E28" s="36">
        <f>IF(TKB_Nhap!E28="","",IFERROR(T(INDEX(PhanCong!$B$3:$J$18,MATCH(TKB_Nhap!E28,PhanCong!$A$3:$A$18,0),MATCH($A28,PhanCong!$B$2:$J$2,0))),""))</f>
        <v/>
      </c>
      <c r="F28" s="36">
        <f>IF(TKB_Nhap!F28="","",IFERROR(T(INDEX(PhanCong!$B$3:$J$18,MATCH(TKB_Nhap!F28,PhanCong!$A$3:$A$18,0),MATCH($A28,PhanCong!$B$2:$J$2,0))),""))</f>
        <v/>
      </c>
      <c r="G28" s="36">
        <f>IF(TKB_Nhap!G28="","",IFERROR(T(INDEX(PhanCong!$B$3:$J$18,MATCH(TKB_Nhap!G28,PhanCong!$A$3:$A$18,0),MATCH($A28,PhanCong!$B$2:$J$2,0))),""))</f>
        <v/>
      </c>
      <c r="H28" s="36">
        <f>IF(TKB_Nhap!H28="","",IFERROR(T(INDEX(PhanCong!$B$3:$J$18,MATCH(TKB_Nhap!H28,PhanCong!$A$3:$A$18,0),MATCH($A28,PhanCong!$B$2:$J$2,0))),""))</f>
        <v/>
      </c>
      <c r="I28" s="36">
        <f>IF(TKB_Nhap!I28="","",IFERROR(T(INDEX(PhanCong!$B$3:$J$18,MATCH(TKB_Nhap!I28,PhanCong!$A$3:$A$18,0),MATCH($A28,PhanCong!$B$2:$J$2,0))),""))</f>
        <v/>
      </c>
      <c r="J28" s="36">
        <f>IF(TKB_Nhap!J28="","",IFERROR(T(INDEX(PhanCong!$B$3:$J$18,MATCH(TKB_Nhap!J28,PhanCong!$A$3:$A$18,0),MATCH($A28,PhanCong!$B$2:$J$2,0))),""))</f>
        <v/>
      </c>
      <c r="L28" s="39">
        <f>IF(D28="",0,IF(COUNTIFS($B$2:$B$73,$B28,$C$2:$C$73,$C28,D$2:D$73,D28)&gt;1,1,0))</f>
        <v/>
      </c>
      <c r="M28" s="39">
        <f>IF(E28="",0,IF(COUNTIFS($B$2:$B$73,$B28,$C$2:$C$73,$C28,E$2:E$73,E28)&gt;1,1,0))</f>
        <v/>
      </c>
      <c r="N28" s="39">
        <f>IF(F28="",0,IF(COUNTIFS($B$2:$B$73,$B28,$C$2:$C$73,$C28,F$2:F$73,F28)&gt;1,1,0))</f>
        <v/>
      </c>
      <c r="O28" s="39">
        <f>IF(G28="",0,IF(COUNTIFS($B$2:$B$73,$B28,$C$2:$C$73,$C28,G$2:G$73,G28)&gt;1,1,0))</f>
        <v/>
      </c>
      <c r="P28" s="39">
        <f>IF(H28="",0,IF(COUNTIFS($B$2:$B$73,$B28,$C$2:$C$73,$C28,H$2:H$73,H28)&gt;1,1,0))</f>
        <v/>
      </c>
      <c r="Q28" s="39">
        <f>IF(I28="",0,IF(COUNTIFS($B$2:$B$73,$B28,$C$2:$C$73,$C28,I$2:I$73,I28)&gt;1,1,0))</f>
        <v/>
      </c>
      <c r="R28" s="39">
        <f>IF(J28="",0,IF(COUNTIFS($B$2:$B$73,$B28,$C$2:$C$73,$C28,J$2:J$73,J28)&gt;1,1,0))</f>
        <v/>
      </c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IF(TKB_Nhap!D29="","",IFERROR(T(INDEX(PhanCong!$B$3:$J$18,MATCH(TKB_Nhap!D29,PhanCong!$A$3:$A$18,0),MATCH($A29,PhanCong!$B$2:$J$2,0))),""))</f>
        <v/>
      </c>
      <c r="E29" s="36">
        <f>IF(TKB_Nhap!E29="","",IFERROR(T(INDEX(PhanCong!$B$3:$J$18,MATCH(TKB_Nhap!E29,PhanCong!$A$3:$A$18,0),MATCH($A29,PhanCong!$B$2:$J$2,0))),""))</f>
        <v/>
      </c>
      <c r="F29" s="36">
        <f>IF(TKB_Nhap!F29="","",IFERROR(T(INDEX(PhanCong!$B$3:$J$18,MATCH(TKB_Nhap!F29,PhanCong!$A$3:$A$18,0),MATCH($A29,PhanCong!$B$2:$J$2,0))),""))</f>
        <v/>
      </c>
      <c r="G29" s="36">
        <f>IF(TKB_Nhap!G29="","",IFERROR(T(INDEX(PhanCong!$B$3:$J$18,MATCH(TKB_Nhap!G29,PhanCong!$A$3:$A$18,0),MATCH($A29,PhanCong!$B$2:$J$2,0))),""))</f>
        <v/>
      </c>
      <c r="H29" s="36">
        <f>IF(TKB_Nhap!H29="","",IFERROR(T(INDEX(PhanCong!$B$3:$J$18,MATCH(TKB_Nhap!H29,PhanCong!$A$3:$A$18,0),MATCH($A29,PhanCong!$B$2:$J$2,0))),""))</f>
        <v/>
      </c>
      <c r="I29" s="36">
        <f>IF(TKB_Nhap!I29="","",IFERROR(T(INDEX(PhanCong!$B$3:$J$18,MATCH(TKB_Nhap!I29,PhanCong!$A$3:$A$18,0),MATCH($A29,PhanCong!$B$2:$J$2,0))),""))</f>
        <v/>
      </c>
      <c r="J29" s="36">
        <f>IF(TKB_Nhap!J29="","",IFERROR(T(INDEX(PhanCong!$B$3:$J$18,MATCH(TKB_Nhap!J29,PhanCong!$A$3:$A$18,0),MATCH($A29,PhanCong!$B$2:$J$2,0))),""))</f>
        <v/>
      </c>
      <c r="L29" s="39">
        <f>IF(D29="",0,IF(COUNTIFS($B$2:$B$73,$B29,$C$2:$C$73,$C29,D$2:D$73,D29)&gt;1,1,0))</f>
        <v/>
      </c>
      <c r="M29" s="39">
        <f>IF(E29="",0,IF(COUNTIFS($B$2:$B$73,$B29,$C$2:$C$73,$C29,E$2:E$73,E29)&gt;1,1,0))</f>
        <v/>
      </c>
      <c r="N29" s="39">
        <f>IF(F29="",0,IF(COUNTIFS($B$2:$B$73,$B29,$C$2:$C$73,$C29,F$2:F$73,F29)&gt;1,1,0))</f>
        <v/>
      </c>
      <c r="O29" s="39">
        <f>IF(G29="",0,IF(COUNTIFS($B$2:$B$73,$B29,$C$2:$C$73,$C29,G$2:G$73,G29)&gt;1,1,0))</f>
        <v/>
      </c>
      <c r="P29" s="39">
        <f>IF(H29="",0,IF(COUNTIFS($B$2:$B$73,$B29,$C$2:$C$73,$C29,H$2:H$73,H29)&gt;1,1,0))</f>
        <v/>
      </c>
      <c r="Q29" s="39">
        <f>IF(I29="",0,IF(COUNTIFS($B$2:$B$73,$B29,$C$2:$C$73,$C29,I$2:I$73,I29)&gt;1,1,0))</f>
        <v/>
      </c>
      <c r="R29" s="39">
        <f>IF(J29="",0,IF(COUNTIFS($B$2:$B$73,$B29,$C$2:$C$73,$C29,J$2:J$73,J29)&gt;1,1,0))</f>
        <v/>
      </c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IF(TKB_Nhap!D30="","",IFERROR(T(INDEX(PhanCong!$B$3:$J$18,MATCH(TKB_Nhap!D30,PhanCong!$A$3:$A$18,0),MATCH($A30,PhanCong!$B$2:$J$2,0))),""))</f>
        <v/>
      </c>
      <c r="E30" s="36">
        <f>IF(TKB_Nhap!E30="","",IFERROR(T(INDEX(PhanCong!$B$3:$J$18,MATCH(TKB_Nhap!E30,PhanCong!$A$3:$A$18,0),MATCH($A30,PhanCong!$B$2:$J$2,0))),""))</f>
        <v/>
      </c>
      <c r="F30" s="36">
        <f>IF(TKB_Nhap!F30="","",IFERROR(T(INDEX(PhanCong!$B$3:$J$18,MATCH(TKB_Nhap!F30,PhanCong!$A$3:$A$18,0),MATCH($A30,PhanCong!$B$2:$J$2,0))),""))</f>
        <v/>
      </c>
      <c r="G30" s="36">
        <f>IF(TKB_Nhap!G30="","",IFERROR(T(INDEX(PhanCong!$B$3:$J$18,MATCH(TKB_Nhap!G30,PhanCong!$A$3:$A$18,0),MATCH($A30,PhanCong!$B$2:$J$2,0))),""))</f>
        <v/>
      </c>
      <c r="H30" s="36">
        <f>IF(TKB_Nhap!H30="","",IFERROR(T(INDEX(PhanCong!$B$3:$J$18,MATCH(TKB_Nhap!H30,PhanCong!$A$3:$A$18,0),MATCH($A30,PhanCong!$B$2:$J$2,0))),""))</f>
        <v/>
      </c>
      <c r="I30" s="36">
        <f>IF(TKB_Nhap!I30="","",IFERROR(T(INDEX(PhanCong!$B$3:$J$18,MATCH(TKB_Nhap!I30,PhanCong!$A$3:$A$18,0),MATCH($A30,PhanCong!$B$2:$J$2,0))),""))</f>
        <v/>
      </c>
      <c r="J30" s="36">
        <f>IF(TKB_Nhap!J30="","",IFERROR(T(INDEX(PhanCong!$B$3:$J$18,MATCH(TKB_Nhap!J30,PhanCong!$A$3:$A$18,0),MATCH($A30,PhanCong!$B$2:$J$2,0))),""))</f>
        <v/>
      </c>
      <c r="L30" s="39">
        <f>IF(D30="",0,IF(COUNTIFS($B$2:$B$73,$B30,$C$2:$C$73,$C30,D$2:D$73,D30)&gt;1,1,0))</f>
        <v/>
      </c>
      <c r="M30" s="39">
        <f>IF(E30="",0,IF(COUNTIFS($B$2:$B$73,$B30,$C$2:$C$73,$C30,E$2:E$73,E30)&gt;1,1,0))</f>
        <v/>
      </c>
      <c r="N30" s="39">
        <f>IF(F30="",0,IF(COUNTIFS($B$2:$B$73,$B30,$C$2:$C$73,$C30,F$2:F$73,F30)&gt;1,1,0))</f>
        <v/>
      </c>
      <c r="O30" s="39">
        <f>IF(G30="",0,IF(COUNTIFS($B$2:$B$73,$B30,$C$2:$C$73,$C30,G$2:G$73,G30)&gt;1,1,0))</f>
        <v/>
      </c>
      <c r="P30" s="39">
        <f>IF(H30="",0,IF(COUNTIFS($B$2:$B$73,$B30,$C$2:$C$73,$C30,H$2:H$73,H30)&gt;1,1,0))</f>
        <v/>
      </c>
      <c r="Q30" s="39">
        <f>IF(I30="",0,IF(COUNTIFS($B$2:$B$73,$B30,$C$2:$C$73,$C30,I$2:I$73,I30)&gt;1,1,0))</f>
        <v/>
      </c>
      <c r="R30" s="39">
        <f>IF(J30="",0,IF(COUNTIFS($B$2:$B$73,$B30,$C$2:$C$73,$C30,J$2:J$73,J30)&gt;1,1,0))</f>
        <v/>
      </c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IF(TKB_Nhap!D31="","",IFERROR(T(INDEX(PhanCong!$B$3:$J$18,MATCH(TKB_Nhap!D31,PhanCong!$A$3:$A$18,0),MATCH($A31,PhanCong!$B$2:$J$2,0))),""))</f>
        <v/>
      </c>
      <c r="E31" s="36">
        <f>IF(TKB_Nhap!E31="","",IFERROR(T(INDEX(PhanCong!$B$3:$J$18,MATCH(TKB_Nhap!E31,PhanCong!$A$3:$A$18,0),MATCH($A31,PhanCong!$B$2:$J$2,0))),""))</f>
        <v/>
      </c>
      <c r="F31" s="36">
        <f>IF(TKB_Nhap!F31="","",IFERROR(T(INDEX(PhanCong!$B$3:$J$18,MATCH(TKB_Nhap!F31,PhanCong!$A$3:$A$18,0),MATCH($A31,PhanCong!$B$2:$J$2,0))),""))</f>
        <v/>
      </c>
      <c r="G31" s="36">
        <f>IF(TKB_Nhap!G31="","",IFERROR(T(INDEX(PhanCong!$B$3:$J$18,MATCH(TKB_Nhap!G31,PhanCong!$A$3:$A$18,0),MATCH($A31,PhanCong!$B$2:$J$2,0))),""))</f>
        <v/>
      </c>
      <c r="H31" s="36">
        <f>IF(TKB_Nhap!H31="","",IFERROR(T(INDEX(PhanCong!$B$3:$J$18,MATCH(TKB_Nhap!H31,PhanCong!$A$3:$A$18,0),MATCH($A31,PhanCong!$B$2:$J$2,0))),""))</f>
        <v/>
      </c>
      <c r="I31" s="36">
        <f>IF(TKB_Nhap!I31="","",IFERROR(T(INDEX(PhanCong!$B$3:$J$18,MATCH(TKB_Nhap!I31,PhanCong!$A$3:$A$18,0),MATCH($A31,PhanCong!$B$2:$J$2,0))),""))</f>
        <v/>
      </c>
      <c r="J31" s="36">
        <f>IF(TKB_Nhap!J31="","",IFERROR(T(INDEX(PhanCong!$B$3:$J$18,MATCH(TKB_Nhap!J31,PhanCong!$A$3:$A$18,0),MATCH($A31,PhanCong!$B$2:$J$2,0))),""))</f>
        <v/>
      </c>
      <c r="L31" s="39">
        <f>IF(D31="",0,IF(COUNTIFS($B$2:$B$73,$B31,$C$2:$C$73,$C31,D$2:D$73,D31)&gt;1,1,0))</f>
        <v/>
      </c>
      <c r="M31" s="39">
        <f>IF(E31="",0,IF(COUNTIFS($B$2:$B$73,$B31,$C$2:$C$73,$C31,E$2:E$73,E31)&gt;1,1,0))</f>
        <v/>
      </c>
      <c r="N31" s="39">
        <f>IF(F31="",0,IF(COUNTIFS($B$2:$B$73,$B31,$C$2:$C$73,$C31,F$2:F$73,F31)&gt;1,1,0))</f>
        <v/>
      </c>
      <c r="O31" s="39">
        <f>IF(G31="",0,IF(COUNTIFS($B$2:$B$73,$B31,$C$2:$C$73,$C31,G$2:G$73,G31)&gt;1,1,0))</f>
        <v/>
      </c>
      <c r="P31" s="39">
        <f>IF(H31="",0,IF(COUNTIFS($B$2:$B$73,$B31,$C$2:$C$73,$C31,H$2:H$73,H31)&gt;1,1,0))</f>
        <v/>
      </c>
      <c r="Q31" s="39">
        <f>IF(I31="",0,IF(COUNTIFS($B$2:$B$73,$B31,$C$2:$C$73,$C31,I$2:I$73,I31)&gt;1,1,0))</f>
        <v/>
      </c>
      <c r="R31" s="39">
        <f>IF(J31="",0,IF(COUNTIFS($B$2:$B$73,$B31,$C$2:$C$73,$C31,J$2:J$73,J31)&gt;1,1,0))</f>
        <v/>
      </c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IF(TKB_Nhap!D32="","",IFERROR(T(INDEX(PhanCong!$B$3:$J$18,MATCH(TKB_Nhap!D32,PhanCong!$A$3:$A$18,0),MATCH($A32,PhanCong!$B$2:$J$2,0))),""))</f>
        <v/>
      </c>
      <c r="E32" s="36">
        <f>IF(TKB_Nhap!E32="","",IFERROR(T(INDEX(PhanCong!$B$3:$J$18,MATCH(TKB_Nhap!E32,PhanCong!$A$3:$A$18,0),MATCH($A32,PhanCong!$B$2:$J$2,0))),""))</f>
        <v/>
      </c>
      <c r="F32" s="36">
        <f>IF(TKB_Nhap!F32="","",IFERROR(T(INDEX(PhanCong!$B$3:$J$18,MATCH(TKB_Nhap!F32,PhanCong!$A$3:$A$18,0),MATCH($A32,PhanCong!$B$2:$J$2,0))),""))</f>
        <v/>
      </c>
      <c r="G32" s="36">
        <f>IF(TKB_Nhap!G32="","",IFERROR(T(INDEX(PhanCong!$B$3:$J$18,MATCH(TKB_Nhap!G32,PhanCong!$A$3:$A$18,0),MATCH($A32,PhanCong!$B$2:$J$2,0))),""))</f>
        <v/>
      </c>
      <c r="H32" s="36">
        <f>IF(TKB_Nhap!H32="","",IFERROR(T(INDEX(PhanCong!$B$3:$J$18,MATCH(TKB_Nhap!H32,PhanCong!$A$3:$A$18,0),MATCH($A32,PhanCong!$B$2:$J$2,0))),""))</f>
        <v/>
      </c>
      <c r="I32" s="36">
        <f>IF(TKB_Nhap!I32="","",IFERROR(T(INDEX(PhanCong!$B$3:$J$18,MATCH(TKB_Nhap!I32,PhanCong!$A$3:$A$18,0),MATCH($A32,PhanCong!$B$2:$J$2,0))),""))</f>
        <v/>
      </c>
      <c r="J32" s="36">
        <f>IF(TKB_Nhap!J32="","",IFERROR(T(INDEX(PhanCong!$B$3:$J$18,MATCH(TKB_Nhap!J32,PhanCong!$A$3:$A$18,0),MATCH($A32,PhanCong!$B$2:$J$2,0))),""))</f>
        <v/>
      </c>
      <c r="L32" s="39">
        <f>IF(D32="",0,IF(COUNTIFS($B$2:$B$73,$B32,$C$2:$C$73,$C32,D$2:D$73,D32)&gt;1,1,0))</f>
        <v/>
      </c>
      <c r="M32" s="39">
        <f>IF(E32="",0,IF(COUNTIFS($B$2:$B$73,$B32,$C$2:$C$73,$C32,E$2:E$73,E32)&gt;1,1,0))</f>
        <v/>
      </c>
      <c r="N32" s="39">
        <f>IF(F32="",0,IF(COUNTIFS($B$2:$B$73,$B32,$C$2:$C$73,$C32,F$2:F$73,F32)&gt;1,1,0))</f>
        <v/>
      </c>
      <c r="O32" s="39">
        <f>IF(G32="",0,IF(COUNTIFS($B$2:$B$73,$B32,$C$2:$C$73,$C32,G$2:G$73,G32)&gt;1,1,0))</f>
        <v/>
      </c>
      <c r="P32" s="39">
        <f>IF(H32="",0,IF(COUNTIFS($B$2:$B$73,$B32,$C$2:$C$73,$C32,H$2:H$73,H32)&gt;1,1,0))</f>
        <v/>
      </c>
      <c r="Q32" s="39">
        <f>IF(I32="",0,IF(COUNTIFS($B$2:$B$73,$B32,$C$2:$C$73,$C32,I$2:I$73,I32)&gt;1,1,0))</f>
        <v/>
      </c>
      <c r="R32" s="39">
        <f>IF(J32="",0,IF(COUNTIFS($B$2:$B$73,$B32,$C$2:$C$73,$C32,J$2:J$73,J32)&gt;1,1,0))</f>
        <v/>
      </c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IF(TKB_Nhap!D33="","",IFERROR(T(INDEX(PhanCong!$B$3:$J$18,MATCH(TKB_Nhap!D33,PhanCong!$A$3:$A$18,0),MATCH($A33,PhanCong!$B$2:$J$2,0))),""))</f>
        <v/>
      </c>
      <c r="E33" s="36">
        <f>IF(TKB_Nhap!E33="","",IFERROR(T(INDEX(PhanCong!$B$3:$J$18,MATCH(TKB_Nhap!E33,PhanCong!$A$3:$A$18,0),MATCH($A33,PhanCong!$B$2:$J$2,0))),""))</f>
        <v/>
      </c>
      <c r="F33" s="36">
        <f>IF(TKB_Nhap!F33="","",IFERROR(T(INDEX(PhanCong!$B$3:$J$18,MATCH(TKB_Nhap!F33,PhanCong!$A$3:$A$18,0),MATCH($A33,PhanCong!$B$2:$J$2,0))),""))</f>
        <v/>
      </c>
      <c r="G33" s="36">
        <f>IF(TKB_Nhap!G33="","",IFERROR(T(INDEX(PhanCong!$B$3:$J$18,MATCH(TKB_Nhap!G33,PhanCong!$A$3:$A$18,0),MATCH($A33,PhanCong!$B$2:$J$2,0))),""))</f>
        <v/>
      </c>
      <c r="H33" s="36">
        <f>IF(TKB_Nhap!H33="","",IFERROR(T(INDEX(PhanCong!$B$3:$J$18,MATCH(TKB_Nhap!H33,PhanCong!$A$3:$A$18,0),MATCH($A33,PhanCong!$B$2:$J$2,0))),""))</f>
        <v/>
      </c>
      <c r="I33" s="36">
        <f>IF(TKB_Nhap!I33="","",IFERROR(T(INDEX(PhanCong!$B$3:$J$18,MATCH(TKB_Nhap!I33,PhanCong!$A$3:$A$18,0),MATCH($A33,PhanCong!$B$2:$J$2,0))),""))</f>
        <v/>
      </c>
      <c r="J33" s="36">
        <f>IF(TKB_Nhap!J33="","",IFERROR(T(INDEX(PhanCong!$B$3:$J$18,MATCH(TKB_Nhap!J33,PhanCong!$A$3:$A$18,0),MATCH($A33,PhanCong!$B$2:$J$2,0))),""))</f>
        <v/>
      </c>
      <c r="L33" s="39">
        <f>IF(D33="",0,IF(COUNTIFS($B$2:$B$73,$B33,$C$2:$C$73,$C33,D$2:D$73,D33)&gt;1,1,0))</f>
        <v/>
      </c>
      <c r="M33" s="39">
        <f>IF(E33="",0,IF(COUNTIFS($B$2:$B$73,$B33,$C$2:$C$73,$C33,E$2:E$73,E33)&gt;1,1,0))</f>
        <v/>
      </c>
      <c r="N33" s="39">
        <f>IF(F33="",0,IF(COUNTIFS($B$2:$B$73,$B33,$C$2:$C$73,$C33,F$2:F$73,F33)&gt;1,1,0))</f>
        <v/>
      </c>
      <c r="O33" s="39">
        <f>IF(G33="",0,IF(COUNTIFS($B$2:$B$73,$B33,$C$2:$C$73,$C33,G$2:G$73,G33)&gt;1,1,0))</f>
        <v/>
      </c>
      <c r="P33" s="39">
        <f>IF(H33="",0,IF(COUNTIFS($B$2:$B$73,$B33,$C$2:$C$73,$C33,H$2:H$73,H33)&gt;1,1,0))</f>
        <v/>
      </c>
      <c r="Q33" s="39">
        <f>IF(I33="",0,IF(COUNTIFS($B$2:$B$73,$B33,$C$2:$C$73,$C33,I$2:I$73,I33)&gt;1,1,0))</f>
        <v/>
      </c>
      <c r="R33" s="39">
        <f>IF(J33="",0,IF(COUNTIFS($B$2:$B$73,$B33,$C$2:$C$73,$C33,J$2:J$73,J33)&gt;1,1,0))</f>
        <v/>
      </c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IF(TKB_Nhap!D34="","",IFERROR(T(INDEX(PhanCong!$B$3:$J$18,MATCH(TKB_Nhap!D34,PhanCong!$A$3:$A$18,0),MATCH($A34,PhanCong!$B$2:$J$2,0))),""))</f>
        <v/>
      </c>
      <c r="E34" s="30">
        <f>IF(TKB_Nhap!E34="","",IFERROR(T(INDEX(PhanCong!$B$3:$J$18,MATCH(TKB_Nhap!E34,PhanCong!$A$3:$A$18,0),MATCH($A34,PhanCong!$B$2:$J$2,0))),""))</f>
        <v/>
      </c>
      <c r="F34" s="30">
        <f>IF(TKB_Nhap!F34="","",IFERROR(T(INDEX(PhanCong!$B$3:$J$18,MATCH(TKB_Nhap!F34,PhanCong!$A$3:$A$18,0),MATCH($A34,PhanCong!$B$2:$J$2,0))),""))</f>
        <v/>
      </c>
      <c r="G34" s="30">
        <f>IF(TKB_Nhap!G34="","",IFERROR(T(INDEX(PhanCong!$B$3:$J$18,MATCH(TKB_Nhap!G34,PhanCong!$A$3:$A$18,0),MATCH($A34,PhanCong!$B$2:$J$2,0))),""))</f>
        <v/>
      </c>
      <c r="H34" s="30">
        <f>IF(TKB_Nhap!H34="","",IFERROR(T(INDEX(PhanCong!$B$3:$J$18,MATCH(TKB_Nhap!H34,PhanCong!$A$3:$A$18,0),MATCH($A34,PhanCong!$B$2:$J$2,0))),""))</f>
        <v/>
      </c>
      <c r="I34" s="30">
        <f>IF(TKB_Nhap!I34="","",IFERROR(T(INDEX(PhanCong!$B$3:$J$18,MATCH(TKB_Nhap!I34,PhanCong!$A$3:$A$18,0),MATCH($A34,PhanCong!$B$2:$J$2,0))),""))</f>
        <v/>
      </c>
      <c r="J34" s="30">
        <f>IF(TKB_Nhap!J34="","",IFERROR(T(INDEX(PhanCong!$B$3:$J$18,MATCH(TKB_Nhap!J34,PhanCong!$A$3:$A$18,0),MATCH($A34,PhanCong!$B$2:$J$2,0))),""))</f>
        <v/>
      </c>
      <c r="L34" s="39">
        <f>IF(D34="",0,IF(COUNTIFS($B$2:$B$73,$B34,$C$2:$C$73,$C34,D$2:D$73,D34)&gt;1,1,0))</f>
        <v/>
      </c>
      <c r="M34" s="39">
        <f>IF(E34="",0,IF(COUNTIFS($B$2:$B$73,$B34,$C$2:$C$73,$C34,E$2:E$73,E34)&gt;1,1,0))</f>
        <v/>
      </c>
      <c r="N34" s="39">
        <f>IF(F34="",0,IF(COUNTIFS($B$2:$B$73,$B34,$C$2:$C$73,$C34,F$2:F$73,F34)&gt;1,1,0))</f>
        <v/>
      </c>
      <c r="O34" s="39">
        <f>IF(G34="",0,IF(COUNTIFS($B$2:$B$73,$B34,$C$2:$C$73,$C34,G$2:G$73,G34)&gt;1,1,0))</f>
        <v/>
      </c>
      <c r="P34" s="39">
        <f>IF(H34="",0,IF(COUNTIFS($B$2:$B$73,$B34,$C$2:$C$73,$C34,H$2:H$73,H34)&gt;1,1,0))</f>
        <v/>
      </c>
      <c r="Q34" s="39">
        <f>IF(I34="",0,IF(COUNTIFS($B$2:$B$73,$B34,$C$2:$C$73,$C34,I$2:I$73,I34)&gt;1,1,0))</f>
        <v/>
      </c>
      <c r="R34" s="39">
        <f>IF(J34="",0,IF(COUNTIFS($B$2:$B$73,$B34,$C$2:$C$73,$C34,J$2:J$73,J34)&gt;1,1,0))</f>
        <v/>
      </c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IF(TKB_Nhap!D35="","",IFERROR(T(INDEX(PhanCong!$B$3:$J$18,MATCH(TKB_Nhap!D35,PhanCong!$A$3:$A$18,0),MATCH($A35,PhanCong!$B$2:$J$2,0))),""))</f>
        <v/>
      </c>
      <c r="E35" s="30">
        <f>IF(TKB_Nhap!E35="","",IFERROR(T(INDEX(PhanCong!$B$3:$J$18,MATCH(TKB_Nhap!E35,PhanCong!$A$3:$A$18,0),MATCH($A35,PhanCong!$B$2:$J$2,0))),""))</f>
        <v/>
      </c>
      <c r="F35" s="30">
        <f>IF(TKB_Nhap!F35="","",IFERROR(T(INDEX(PhanCong!$B$3:$J$18,MATCH(TKB_Nhap!F35,PhanCong!$A$3:$A$18,0),MATCH($A35,PhanCong!$B$2:$J$2,0))),""))</f>
        <v/>
      </c>
      <c r="G35" s="30">
        <f>IF(TKB_Nhap!G35="","",IFERROR(T(INDEX(PhanCong!$B$3:$J$18,MATCH(TKB_Nhap!G35,PhanCong!$A$3:$A$18,0),MATCH($A35,PhanCong!$B$2:$J$2,0))),""))</f>
        <v/>
      </c>
      <c r="H35" s="30">
        <f>IF(TKB_Nhap!H35="","",IFERROR(T(INDEX(PhanCong!$B$3:$J$18,MATCH(TKB_Nhap!H35,PhanCong!$A$3:$A$18,0),MATCH($A35,PhanCong!$B$2:$J$2,0))),""))</f>
        <v/>
      </c>
      <c r="I35" s="30">
        <f>IF(TKB_Nhap!I35="","",IFERROR(T(INDEX(PhanCong!$B$3:$J$18,MATCH(TKB_Nhap!I35,PhanCong!$A$3:$A$18,0),MATCH($A35,PhanCong!$B$2:$J$2,0))),""))</f>
        <v/>
      </c>
      <c r="J35" s="30">
        <f>IF(TKB_Nhap!J35="","",IFERROR(T(INDEX(PhanCong!$B$3:$J$18,MATCH(TKB_Nhap!J35,PhanCong!$A$3:$A$18,0),MATCH($A35,PhanCong!$B$2:$J$2,0))),""))</f>
        <v/>
      </c>
      <c r="L35" s="39">
        <f>IF(D35="",0,IF(COUNTIFS($B$2:$B$73,$B35,$C$2:$C$73,$C35,D$2:D$73,D35)&gt;1,1,0))</f>
        <v/>
      </c>
      <c r="M35" s="39">
        <f>IF(E35="",0,IF(COUNTIFS($B$2:$B$73,$B35,$C$2:$C$73,$C35,E$2:E$73,E35)&gt;1,1,0))</f>
        <v/>
      </c>
      <c r="N35" s="39">
        <f>IF(F35="",0,IF(COUNTIFS($B$2:$B$73,$B35,$C$2:$C$73,$C35,F$2:F$73,F35)&gt;1,1,0))</f>
        <v/>
      </c>
      <c r="O35" s="39">
        <f>IF(G35="",0,IF(COUNTIFS($B$2:$B$73,$B35,$C$2:$C$73,$C35,G$2:G$73,G35)&gt;1,1,0))</f>
        <v/>
      </c>
      <c r="P35" s="39">
        <f>IF(H35="",0,IF(COUNTIFS($B$2:$B$73,$B35,$C$2:$C$73,$C35,H$2:H$73,H35)&gt;1,1,0))</f>
        <v/>
      </c>
      <c r="Q35" s="39">
        <f>IF(I35="",0,IF(COUNTIFS($B$2:$B$73,$B35,$C$2:$C$73,$C35,I$2:I$73,I35)&gt;1,1,0))</f>
        <v/>
      </c>
      <c r="R35" s="39">
        <f>IF(J35="",0,IF(COUNTIFS($B$2:$B$73,$B35,$C$2:$C$73,$C35,J$2:J$73,J35)&gt;1,1,0))</f>
        <v/>
      </c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IF(TKB_Nhap!D36="","",IFERROR(T(INDEX(PhanCong!$B$3:$J$18,MATCH(TKB_Nhap!D36,PhanCong!$A$3:$A$18,0),MATCH($A36,PhanCong!$B$2:$J$2,0))),""))</f>
        <v/>
      </c>
      <c r="E36" s="30">
        <f>IF(TKB_Nhap!E36="","",IFERROR(T(INDEX(PhanCong!$B$3:$J$18,MATCH(TKB_Nhap!E36,PhanCong!$A$3:$A$18,0),MATCH($A36,PhanCong!$B$2:$J$2,0))),""))</f>
        <v/>
      </c>
      <c r="F36" s="30">
        <f>IF(TKB_Nhap!F36="","",IFERROR(T(INDEX(PhanCong!$B$3:$J$18,MATCH(TKB_Nhap!F36,PhanCong!$A$3:$A$18,0),MATCH($A36,PhanCong!$B$2:$J$2,0))),""))</f>
        <v/>
      </c>
      <c r="G36" s="30">
        <f>IF(TKB_Nhap!G36="","",IFERROR(T(INDEX(PhanCong!$B$3:$J$18,MATCH(TKB_Nhap!G36,PhanCong!$A$3:$A$18,0),MATCH($A36,PhanCong!$B$2:$J$2,0))),""))</f>
        <v/>
      </c>
      <c r="H36" s="30">
        <f>IF(TKB_Nhap!H36="","",IFERROR(T(INDEX(PhanCong!$B$3:$J$18,MATCH(TKB_Nhap!H36,PhanCong!$A$3:$A$18,0),MATCH($A36,PhanCong!$B$2:$J$2,0))),""))</f>
        <v/>
      </c>
      <c r="I36" s="30">
        <f>IF(TKB_Nhap!I36="","",IFERROR(T(INDEX(PhanCong!$B$3:$J$18,MATCH(TKB_Nhap!I36,PhanCong!$A$3:$A$18,0),MATCH($A36,PhanCong!$B$2:$J$2,0))),""))</f>
        <v/>
      </c>
      <c r="J36" s="30">
        <f>IF(TKB_Nhap!J36="","",IFERROR(T(INDEX(PhanCong!$B$3:$J$18,MATCH(TKB_Nhap!J36,PhanCong!$A$3:$A$18,0),MATCH($A36,PhanCong!$B$2:$J$2,0))),""))</f>
        <v/>
      </c>
      <c r="L36" s="39">
        <f>IF(D36="",0,IF(COUNTIFS($B$2:$B$73,$B36,$C$2:$C$73,$C36,D$2:D$73,D36)&gt;1,1,0))</f>
        <v/>
      </c>
      <c r="M36" s="39">
        <f>IF(E36="",0,IF(COUNTIFS($B$2:$B$73,$B36,$C$2:$C$73,$C36,E$2:E$73,E36)&gt;1,1,0))</f>
        <v/>
      </c>
      <c r="N36" s="39">
        <f>IF(F36="",0,IF(COUNTIFS($B$2:$B$73,$B36,$C$2:$C$73,$C36,F$2:F$73,F36)&gt;1,1,0))</f>
        <v/>
      </c>
      <c r="O36" s="39">
        <f>IF(G36="",0,IF(COUNTIFS($B$2:$B$73,$B36,$C$2:$C$73,$C36,G$2:G$73,G36)&gt;1,1,0))</f>
        <v/>
      </c>
      <c r="P36" s="39">
        <f>IF(H36="",0,IF(COUNTIFS($B$2:$B$73,$B36,$C$2:$C$73,$C36,H$2:H$73,H36)&gt;1,1,0))</f>
        <v/>
      </c>
      <c r="Q36" s="39">
        <f>IF(I36="",0,IF(COUNTIFS($B$2:$B$73,$B36,$C$2:$C$73,$C36,I$2:I$73,I36)&gt;1,1,0))</f>
        <v/>
      </c>
      <c r="R36" s="39">
        <f>IF(J36="",0,IF(COUNTIFS($B$2:$B$73,$B36,$C$2:$C$73,$C36,J$2:J$73,J36)&gt;1,1,0))</f>
        <v/>
      </c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IF(TKB_Nhap!D37="","",IFERROR(T(INDEX(PhanCong!$B$3:$J$18,MATCH(TKB_Nhap!D37,PhanCong!$A$3:$A$18,0),MATCH($A37,PhanCong!$B$2:$J$2,0))),""))</f>
        <v/>
      </c>
      <c r="E37" s="30">
        <f>IF(TKB_Nhap!E37="","",IFERROR(T(INDEX(PhanCong!$B$3:$J$18,MATCH(TKB_Nhap!E37,PhanCong!$A$3:$A$18,0),MATCH($A37,PhanCong!$B$2:$J$2,0))),""))</f>
        <v/>
      </c>
      <c r="F37" s="30">
        <f>IF(TKB_Nhap!F37="","",IFERROR(T(INDEX(PhanCong!$B$3:$J$18,MATCH(TKB_Nhap!F37,PhanCong!$A$3:$A$18,0),MATCH($A37,PhanCong!$B$2:$J$2,0))),""))</f>
        <v/>
      </c>
      <c r="G37" s="30">
        <f>IF(TKB_Nhap!G37="","",IFERROR(T(INDEX(PhanCong!$B$3:$J$18,MATCH(TKB_Nhap!G37,PhanCong!$A$3:$A$18,0),MATCH($A37,PhanCong!$B$2:$J$2,0))),""))</f>
        <v/>
      </c>
      <c r="H37" s="30">
        <f>IF(TKB_Nhap!H37="","",IFERROR(T(INDEX(PhanCong!$B$3:$J$18,MATCH(TKB_Nhap!H37,PhanCong!$A$3:$A$18,0),MATCH($A37,PhanCong!$B$2:$J$2,0))),""))</f>
        <v/>
      </c>
      <c r="I37" s="30">
        <f>IF(TKB_Nhap!I37="","",IFERROR(T(INDEX(PhanCong!$B$3:$J$18,MATCH(TKB_Nhap!I37,PhanCong!$A$3:$A$18,0),MATCH($A37,PhanCong!$B$2:$J$2,0))),""))</f>
        <v/>
      </c>
      <c r="J37" s="30">
        <f>IF(TKB_Nhap!J37="","",IFERROR(T(INDEX(PhanCong!$B$3:$J$18,MATCH(TKB_Nhap!J37,PhanCong!$A$3:$A$18,0),MATCH($A37,PhanCong!$B$2:$J$2,0))),""))</f>
        <v/>
      </c>
      <c r="L37" s="39">
        <f>IF(D37="",0,IF(COUNTIFS($B$2:$B$73,$B37,$C$2:$C$73,$C37,D$2:D$73,D37)&gt;1,1,0))</f>
        <v/>
      </c>
      <c r="M37" s="39">
        <f>IF(E37="",0,IF(COUNTIFS($B$2:$B$73,$B37,$C$2:$C$73,$C37,E$2:E$73,E37)&gt;1,1,0))</f>
        <v/>
      </c>
      <c r="N37" s="39">
        <f>IF(F37="",0,IF(COUNTIFS($B$2:$B$73,$B37,$C$2:$C$73,$C37,F$2:F$73,F37)&gt;1,1,0))</f>
        <v/>
      </c>
      <c r="O37" s="39">
        <f>IF(G37="",0,IF(COUNTIFS($B$2:$B$73,$B37,$C$2:$C$73,$C37,G$2:G$73,G37)&gt;1,1,0))</f>
        <v/>
      </c>
      <c r="P37" s="39">
        <f>IF(H37="",0,IF(COUNTIFS($B$2:$B$73,$B37,$C$2:$C$73,$C37,H$2:H$73,H37)&gt;1,1,0))</f>
        <v/>
      </c>
      <c r="Q37" s="39">
        <f>IF(I37="",0,IF(COUNTIFS($B$2:$B$73,$B37,$C$2:$C$73,$C37,I$2:I$73,I37)&gt;1,1,0))</f>
        <v/>
      </c>
      <c r="R37" s="39">
        <f>IF(J37="",0,IF(COUNTIFS($B$2:$B$73,$B37,$C$2:$C$73,$C37,J$2:J$73,J37)&gt;1,1,0))</f>
        <v/>
      </c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IF(TKB_Nhap!D38="","",IFERROR(T(INDEX(PhanCong!$B$3:$J$18,MATCH(TKB_Nhap!D38,PhanCong!$A$3:$A$18,0),MATCH($A38,PhanCong!$B$2:$J$2,0))),""))</f>
        <v/>
      </c>
      <c r="E38" s="30">
        <f>IF(TKB_Nhap!E38="","",IFERROR(T(INDEX(PhanCong!$B$3:$J$18,MATCH(TKB_Nhap!E38,PhanCong!$A$3:$A$18,0),MATCH($A38,PhanCong!$B$2:$J$2,0))),""))</f>
        <v/>
      </c>
      <c r="F38" s="30">
        <f>IF(TKB_Nhap!F38="","",IFERROR(T(INDEX(PhanCong!$B$3:$J$18,MATCH(TKB_Nhap!F38,PhanCong!$A$3:$A$18,0),MATCH($A38,PhanCong!$B$2:$J$2,0))),""))</f>
        <v/>
      </c>
      <c r="G38" s="30">
        <f>IF(TKB_Nhap!G38="","",IFERROR(T(INDEX(PhanCong!$B$3:$J$18,MATCH(TKB_Nhap!G38,PhanCong!$A$3:$A$18,0),MATCH($A38,PhanCong!$B$2:$J$2,0))),""))</f>
        <v/>
      </c>
      <c r="H38" s="30">
        <f>IF(TKB_Nhap!H38="","",IFERROR(T(INDEX(PhanCong!$B$3:$J$18,MATCH(TKB_Nhap!H38,PhanCong!$A$3:$A$18,0),MATCH($A38,PhanCong!$B$2:$J$2,0))),""))</f>
        <v/>
      </c>
      <c r="I38" s="30">
        <f>IF(TKB_Nhap!I38="","",IFERROR(T(INDEX(PhanCong!$B$3:$J$18,MATCH(TKB_Nhap!I38,PhanCong!$A$3:$A$18,0),MATCH($A38,PhanCong!$B$2:$J$2,0))),""))</f>
        <v/>
      </c>
      <c r="J38" s="30">
        <f>IF(TKB_Nhap!J38="","",IFERROR(T(INDEX(PhanCong!$B$3:$J$18,MATCH(TKB_Nhap!J38,PhanCong!$A$3:$A$18,0),MATCH($A38,PhanCong!$B$2:$J$2,0))),""))</f>
        <v/>
      </c>
      <c r="L38" s="39">
        <f>IF(D38="",0,IF(COUNTIFS($B$2:$B$73,$B38,$C$2:$C$73,$C38,D$2:D$73,D38)&gt;1,1,0))</f>
        <v/>
      </c>
      <c r="M38" s="39">
        <f>IF(E38="",0,IF(COUNTIFS($B$2:$B$73,$B38,$C$2:$C$73,$C38,E$2:E$73,E38)&gt;1,1,0))</f>
        <v/>
      </c>
      <c r="N38" s="39">
        <f>IF(F38="",0,IF(COUNTIFS($B$2:$B$73,$B38,$C$2:$C$73,$C38,F$2:F$73,F38)&gt;1,1,0))</f>
        <v/>
      </c>
      <c r="O38" s="39">
        <f>IF(G38="",0,IF(COUNTIFS($B$2:$B$73,$B38,$C$2:$C$73,$C38,G$2:G$73,G38)&gt;1,1,0))</f>
        <v/>
      </c>
      <c r="P38" s="39">
        <f>IF(H38="",0,IF(COUNTIFS($B$2:$B$73,$B38,$C$2:$C$73,$C38,H$2:H$73,H38)&gt;1,1,0))</f>
        <v/>
      </c>
      <c r="Q38" s="39">
        <f>IF(I38="",0,IF(COUNTIFS($B$2:$B$73,$B38,$C$2:$C$73,$C38,I$2:I$73,I38)&gt;1,1,0))</f>
        <v/>
      </c>
      <c r="R38" s="39">
        <f>IF(J38="",0,IF(COUNTIFS($B$2:$B$73,$B38,$C$2:$C$73,$C38,J$2:J$73,J38)&gt;1,1,0))</f>
        <v/>
      </c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IF(TKB_Nhap!D39="","",IFERROR(T(INDEX(PhanCong!$B$3:$J$18,MATCH(TKB_Nhap!D39,PhanCong!$A$3:$A$18,0),MATCH($A39,PhanCong!$B$2:$J$2,0))),""))</f>
        <v/>
      </c>
      <c r="E39" s="30">
        <f>IF(TKB_Nhap!E39="","",IFERROR(T(INDEX(PhanCong!$B$3:$J$18,MATCH(TKB_Nhap!E39,PhanCong!$A$3:$A$18,0),MATCH($A39,PhanCong!$B$2:$J$2,0))),""))</f>
        <v/>
      </c>
      <c r="F39" s="30">
        <f>IF(TKB_Nhap!F39="","",IFERROR(T(INDEX(PhanCong!$B$3:$J$18,MATCH(TKB_Nhap!F39,PhanCong!$A$3:$A$18,0),MATCH($A39,PhanCong!$B$2:$J$2,0))),""))</f>
        <v/>
      </c>
      <c r="G39" s="30">
        <f>IF(TKB_Nhap!G39="","",IFERROR(T(INDEX(PhanCong!$B$3:$J$18,MATCH(TKB_Nhap!G39,PhanCong!$A$3:$A$18,0),MATCH($A39,PhanCong!$B$2:$J$2,0))),""))</f>
        <v/>
      </c>
      <c r="H39" s="30">
        <f>IF(TKB_Nhap!H39="","",IFERROR(T(INDEX(PhanCong!$B$3:$J$18,MATCH(TKB_Nhap!H39,PhanCong!$A$3:$A$18,0),MATCH($A39,PhanCong!$B$2:$J$2,0))),""))</f>
        <v/>
      </c>
      <c r="I39" s="30">
        <f>IF(TKB_Nhap!I39="","",IFERROR(T(INDEX(PhanCong!$B$3:$J$18,MATCH(TKB_Nhap!I39,PhanCong!$A$3:$A$18,0),MATCH($A39,PhanCong!$B$2:$J$2,0))),""))</f>
        <v/>
      </c>
      <c r="J39" s="30">
        <f>IF(TKB_Nhap!J39="","",IFERROR(T(INDEX(PhanCong!$B$3:$J$18,MATCH(TKB_Nhap!J39,PhanCong!$A$3:$A$18,0),MATCH($A39,PhanCong!$B$2:$J$2,0))),""))</f>
        <v/>
      </c>
      <c r="L39" s="39">
        <f>IF(D39="",0,IF(COUNTIFS($B$2:$B$73,$B39,$C$2:$C$73,$C39,D$2:D$73,D39)&gt;1,1,0))</f>
        <v/>
      </c>
      <c r="M39" s="39">
        <f>IF(E39="",0,IF(COUNTIFS($B$2:$B$73,$B39,$C$2:$C$73,$C39,E$2:E$73,E39)&gt;1,1,0))</f>
        <v/>
      </c>
      <c r="N39" s="39">
        <f>IF(F39="",0,IF(COUNTIFS($B$2:$B$73,$B39,$C$2:$C$73,$C39,F$2:F$73,F39)&gt;1,1,0))</f>
        <v/>
      </c>
      <c r="O39" s="39">
        <f>IF(G39="",0,IF(COUNTIFS($B$2:$B$73,$B39,$C$2:$C$73,$C39,G$2:G$73,G39)&gt;1,1,0))</f>
        <v/>
      </c>
      <c r="P39" s="39">
        <f>IF(H39="",0,IF(COUNTIFS($B$2:$B$73,$B39,$C$2:$C$73,$C39,H$2:H$73,H39)&gt;1,1,0))</f>
        <v/>
      </c>
      <c r="Q39" s="39">
        <f>IF(I39="",0,IF(COUNTIFS($B$2:$B$73,$B39,$C$2:$C$73,$C39,I$2:I$73,I39)&gt;1,1,0))</f>
        <v/>
      </c>
      <c r="R39" s="39">
        <f>IF(J39="",0,IF(COUNTIFS($B$2:$B$73,$B39,$C$2:$C$73,$C39,J$2:J$73,J39)&gt;1,1,0))</f>
        <v/>
      </c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IF(TKB_Nhap!D40="","",IFERROR(T(INDEX(PhanCong!$B$3:$J$18,MATCH(TKB_Nhap!D40,PhanCong!$A$3:$A$18,0),MATCH($A40,PhanCong!$B$2:$J$2,0))),""))</f>
        <v/>
      </c>
      <c r="E40" s="30">
        <f>IF(TKB_Nhap!E40="","",IFERROR(T(INDEX(PhanCong!$B$3:$J$18,MATCH(TKB_Nhap!E40,PhanCong!$A$3:$A$18,0),MATCH($A40,PhanCong!$B$2:$J$2,0))),""))</f>
        <v/>
      </c>
      <c r="F40" s="30">
        <f>IF(TKB_Nhap!F40="","",IFERROR(T(INDEX(PhanCong!$B$3:$J$18,MATCH(TKB_Nhap!F40,PhanCong!$A$3:$A$18,0),MATCH($A40,PhanCong!$B$2:$J$2,0))),""))</f>
        <v/>
      </c>
      <c r="G40" s="30">
        <f>IF(TKB_Nhap!G40="","",IFERROR(T(INDEX(PhanCong!$B$3:$J$18,MATCH(TKB_Nhap!G40,PhanCong!$A$3:$A$18,0),MATCH($A40,PhanCong!$B$2:$J$2,0))),""))</f>
        <v/>
      </c>
      <c r="H40" s="30">
        <f>IF(TKB_Nhap!H40="","",IFERROR(T(INDEX(PhanCong!$B$3:$J$18,MATCH(TKB_Nhap!H40,PhanCong!$A$3:$A$18,0),MATCH($A40,PhanCong!$B$2:$J$2,0))),""))</f>
        <v/>
      </c>
      <c r="I40" s="30">
        <f>IF(TKB_Nhap!I40="","",IFERROR(T(INDEX(PhanCong!$B$3:$J$18,MATCH(TKB_Nhap!I40,PhanCong!$A$3:$A$18,0),MATCH($A40,PhanCong!$B$2:$J$2,0))),""))</f>
        <v/>
      </c>
      <c r="J40" s="30">
        <f>IF(TKB_Nhap!J40="","",IFERROR(T(INDEX(PhanCong!$B$3:$J$18,MATCH(TKB_Nhap!J40,PhanCong!$A$3:$A$18,0),MATCH($A40,PhanCong!$B$2:$J$2,0))),""))</f>
        <v/>
      </c>
      <c r="L40" s="39">
        <f>IF(D40="",0,IF(COUNTIFS($B$2:$B$73,$B40,$C$2:$C$73,$C40,D$2:D$73,D40)&gt;1,1,0))</f>
        <v/>
      </c>
      <c r="M40" s="39">
        <f>IF(E40="",0,IF(COUNTIFS($B$2:$B$73,$B40,$C$2:$C$73,$C40,E$2:E$73,E40)&gt;1,1,0))</f>
        <v/>
      </c>
      <c r="N40" s="39">
        <f>IF(F40="",0,IF(COUNTIFS($B$2:$B$73,$B40,$C$2:$C$73,$C40,F$2:F$73,F40)&gt;1,1,0))</f>
        <v/>
      </c>
      <c r="O40" s="39">
        <f>IF(G40="",0,IF(COUNTIFS($B$2:$B$73,$B40,$C$2:$C$73,$C40,G$2:G$73,G40)&gt;1,1,0))</f>
        <v/>
      </c>
      <c r="P40" s="39">
        <f>IF(H40="",0,IF(COUNTIFS($B$2:$B$73,$B40,$C$2:$C$73,$C40,H$2:H$73,H40)&gt;1,1,0))</f>
        <v/>
      </c>
      <c r="Q40" s="39">
        <f>IF(I40="",0,IF(COUNTIFS($B$2:$B$73,$B40,$C$2:$C$73,$C40,I$2:I$73,I40)&gt;1,1,0))</f>
        <v/>
      </c>
      <c r="R40" s="39">
        <f>IF(J40="",0,IF(COUNTIFS($B$2:$B$73,$B40,$C$2:$C$73,$C40,J$2:J$73,J40)&gt;1,1,0))</f>
        <v/>
      </c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IF(TKB_Nhap!D41="","",IFERROR(T(INDEX(PhanCong!$B$3:$J$18,MATCH(TKB_Nhap!D41,PhanCong!$A$3:$A$18,0),MATCH($A41,PhanCong!$B$2:$J$2,0))),""))</f>
        <v/>
      </c>
      <c r="E41" s="30">
        <f>IF(TKB_Nhap!E41="","",IFERROR(T(INDEX(PhanCong!$B$3:$J$18,MATCH(TKB_Nhap!E41,PhanCong!$A$3:$A$18,0),MATCH($A41,PhanCong!$B$2:$J$2,0))),""))</f>
        <v/>
      </c>
      <c r="F41" s="30">
        <f>IF(TKB_Nhap!F41="","",IFERROR(T(INDEX(PhanCong!$B$3:$J$18,MATCH(TKB_Nhap!F41,PhanCong!$A$3:$A$18,0),MATCH($A41,PhanCong!$B$2:$J$2,0))),""))</f>
        <v/>
      </c>
      <c r="G41" s="30">
        <f>IF(TKB_Nhap!G41="","",IFERROR(T(INDEX(PhanCong!$B$3:$J$18,MATCH(TKB_Nhap!G41,PhanCong!$A$3:$A$18,0),MATCH($A41,PhanCong!$B$2:$J$2,0))),""))</f>
        <v/>
      </c>
      <c r="H41" s="30">
        <f>IF(TKB_Nhap!H41="","",IFERROR(T(INDEX(PhanCong!$B$3:$J$18,MATCH(TKB_Nhap!H41,PhanCong!$A$3:$A$18,0),MATCH($A41,PhanCong!$B$2:$J$2,0))),""))</f>
        <v/>
      </c>
      <c r="I41" s="30">
        <f>IF(TKB_Nhap!I41="","",IFERROR(T(INDEX(PhanCong!$B$3:$J$18,MATCH(TKB_Nhap!I41,PhanCong!$A$3:$A$18,0),MATCH($A41,PhanCong!$B$2:$J$2,0))),""))</f>
        <v/>
      </c>
      <c r="J41" s="30">
        <f>IF(TKB_Nhap!J41="","",IFERROR(T(INDEX(PhanCong!$B$3:$J$18,MATCH(TKB_Nhap!J41,PhanCong!$A$3:$A$18,0),MATCH($A41,PhanCong!$B$2:$J$2,0))),""))</f>
        <v/>
      </c>
      <c r="L41" s="39">
        <f>IF(D41="",0,IF(COUNTIFS($B$2:$B$73,$B41,$C$2:$C$73,$C41,D$2:D$73,D41)&gt;1,1,0))</f>
        <v/>
      </c>
      <c r="M41" s="39">
        <f>IF(E41="",0,IF(COUNTIFS($B$2:$B$73,$B41,$C$2:$C$73,$C41,E$2:E$73,E41)&gt;1,1,0))</f>
        <v/>
      </c>
      <c r="N41" s="39">
        <f>IF(F41="",0,IF(COUNTIFS($B$2:$B$73,$B41,$C$2:$C$73,$C41,F$2:F$73,F41)&gt;1,1,0))</f>
        <v/>
      </c>
      <c r="O41" s="39">
        <f>IF(G41="",0,IF(COUNTIFS($B$2:$B$73,$B41,$C$2:$C$73,$C41,G$2:G$73,G41)&gt;1,1,0))</f>
        <v/>
      </c>
      <c r="P41" s="39">
        <f>IF(H41="",0,IF(COUNTIFS($B$2:$B$73,$B41,$C$2:$C$73,$C41,H$2:H$73,H41)&gt;1,1,0))</f>
        <v/>
      </c>
      <c r="Q41" s="39">
        <f>IF(I41="",0,IF(COUNTIFS($B$2:$B$73,$B41,$C$2:$C$73,$C41,I$2:I$73,I41)&gt;1,1,0))</f>
        <v/>
      </c>
      <c r="R41" s="39">
        <f>IF(J41="",0,IF(COUNTIFS($B$2:$B$73,$B41,$C$2:$C$73,$C41,J$2:J$73,J41)&gt;1,1,0))</f>
        <v/>
      </c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IF(TKB_Nhap!D42="","",IFERROR(T(INDEX(PhanCong!$B$3:$J$18,MATCH(TKB_Nhap!D42,PhanCong!$A$3:$A$18,0),MATCH($A42,PhanCong!$B$2:$J$2,0))),""))</f>
        <v/>
      </c>
      <c r="E42" s="36">
        <f>IF(TKB_Nhap!E42="","",IFERROR(T(INDEX(PhanCong!$B$3:$J$18,MATCH(TKB_Nhap!E42,PhanCong!$A$3:$A$18,0),MATCH($A42,PhanCong!$B$2:$J$2,0))),""))</f>
        <v/>
      </c>
      <c r="F42" s="36">
        <f>IF(TKB_Nhap!F42="","",IFERROR(T(INDEX(PhanCong!$B$3:$J$18,MATCH(TKB_Nhap!F42,PhanCong!$A$3:$A$18,0),MATCH($A42,PhanCong!$B$2:$J$2,0))),""))</f>
        <v/>
      </c>
      <c r="G42" s="36">
        <f>IF(TKB_Nhap!G42="","",IFERROR(T(INDEX(PhanCong!$B$3:$J$18,MATCH(TKB_Nhap!G42,PhanCong!$A$3:$A$18,0),MATCH($A42,PhanCong!$B$2:$J$2,0))),""))</f>
        <v/>
      </c>
      <c r="H42" s="36">
        <f>IF(TKB_Nhap!H42="","",IFERROR(T(INDEX(PhanCong!$B$3:$J$18,MATCH(TKB_Nhap!H42,PhanCong!$A$3:$A$18,0),MATCH($A42,PhanCong!$B$2:$J$2,0))),""))</f>
        <v/>
      </c>
      <c r="I42" s="36">
        <f>IF(TKB_Nhap!I42="","",IFERROR(T(INDEX(PhanCong!$B$3:$J$18,MATCH(TKB_Nhap!I42,PhanCong!$A$3:$A$18,0),MATCH($A42,PhanCong!$B$2:$J$2,0))),""))</f>
        <v/>
      </c>
      <c r="J42" s="36">
        <f>IF(TKB_Nhap!J42="","",IFERROR(T(INDEX(PhanCong!$B$3:$J$18,MATCH(TKB_Nhap!J42,PhanCong!$A$3:$A$18,0),MATCH($A42,PhanCong!$B$2:$J$2,0))),""))</f>
        <v/>
      </c>
      <c r="L42" s="39">
        <f>IF(D42="",0,IF(COUNTIFS($B$2:$B$73,$B42,$C$2:$C$73,$C42,D$2:D$73,D42)&gt;1,1,0))</f>
        <v/>
      </c>
      <c r="M42" s="39">
        <f>IF(E42="",0,IF(COUNTIFS($B$2:$B$73,$B42,$C$2:$C$73,$C42,E$2:E$73,E42)&gt;1,1,0))</f>
        <v/>
      </c>
      <c r="N42" s="39">
        <f>IF(F42="",0,IF(COUNTIFS($B$2:$B$73,$B42,$C$2:$C$73,$C42,F$2:F$73,F42)&gt;1,1,0))</f>
        <v/>
      </c>
      <c r="O42" s="39">
        <f>IF(G42="",0,IF(COUNTIFS($B$2:$B$73,$B42,$C$2:$C$73,$C42,G$2:G$73,G42)&gt;1,1,0))</f>
        <v/>
      </c>
      <c r="P42" s="39">
        <f>IF(H42="",0,IF(COUNTIFS($B$2:$B$73,$B42,$C$2:$C$73,$C42,H$2:H$73,H42)&gt;1,1,0))</f>
        <v/>
      </c>
      <c r="Q42" s="39">
        <f>IF(I42="",0,IF(COUNTIFS($B$2:$B$73,$B42,$C$2:$C$73,$C42,I$2:I$73,I42)&gt;1,1,0))</f>
        <v/>
      </c>
      <c r="R42" s="39">
        <f>IF(J42="",0,IF(COUNTIFS($B$2:$B$73,$B42,$C$2:$C$73,$C42,J$2:J$73,J42)&gt;1,1,0))</f>
        <v/>
      </c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IF(TKB_Nhap!D43="","",IFERROR(T(INDEX(PhanCong!$B$3:$J$18,MATCH(TKB_Nhap!D43,PhanCong!$A$3:$A$18,0),MATCH($A43,PhanCong!$B$2:$J$2,0))),""))</f>
        <v/>
      </c>
      <c r="E43" s="36">
        <f>IF(TKB_Nhap!E43="","",IFERROR(T(INDEX(PhanCong!$B$3:$J$18,MATCH(TKB_Nhap!E43,PhanCong!$A$3:$A$18,0),MATCH($A43,PhanCong!$B$2:$J$2,0))),""))</f>
        <v/>
      </c>
      <c r="F43" s="36">
        <f>IF(TKB_Nhap!F43="","",IFERROR(T(INDEX(PhanCong!$B$3:$J$18,MATCH(TKB_Nhap!F43,PhanCong!$A$3:$A$18,0),MATCH($A43,PhanCong!$B$2:$J$2,0))),""))</f>
        <v/>
      </c>
      <c r="G43" s="36">
        <f>IF(TKB_Nhap!G43="","",IFERROR(T(INDEX(PhanCong!$B$3:$J$18,MATCH(TKB_Nhap!G43,PhanCong!$A$3:$A$18,0),MATCH($A43,PhanCong!$B$2:$J$2,0))),""))</f>
        <v/>
      </c>
      <c r="H43" s="36">
        <f>IF(TKB_Nhap!H43="","",IFERROR(T(INDEX(PhanCong!$B$3:$J$18,MATCH(TKB_Nhap!H43,PhanCong!$A$3:$A$18,0),MATCH($A43,PhanCong!$B$2:$J$2,0))),""))</f>
        <v/>
      </c>
      <c r="I43" s="36">
        <f>IF(TKB_Nhap!I43="","",IFERROR(T(INDEX(PhanCong!$B$3:$J$18,MATCH(TKB_Nhap!I43,PhanCong!$A$3:$A$18,0),MATCH($A43,PhanCong!$B$2:$J$2,0))),""))</f>
        <v/>
      </c>
      <c r="J43" s="36">
        <f>IF(TKB_Nhap!J43="","",IFERROR(T(INDEX(PhanCong!$B$3:$J$18,MATCH(TKB_Nhap!J43,PhanCong!$A$3:$A$18,0),MATCH($A43,PhanCong!$B$2:$J$2,0))),""))</f>
        <v/>
      </c>
      <c r="L43" s="39">
        <f>IF(D43="",0,IF(COUNTIFS($B$2:$B$73,$B43,$C$2:$C$73,$C43,D$2:D$73,D43)&gt;1,1,0))</f>
        <v/>
      </c>
      <c r="M43" s="39">
        <f>IF(E43="",0,IF(COUNTIFS($B$2:$B$73,$B43,$C$2:$C$73,$C43,E$2:E$73,E43)&gt;1,1,0))</f>
        <v/>
      </c>
      <c r="N43" s="39">
        <f>IF(F43="",0,IF(COUNTIFS($B$2:$B$73,$B43,$C$2:$C$73,$C43,F$2:F$73,F43)&gt;1,1,0))</f>
        <v/>
      </c>
      <c r="O43" s="39">
        <f>IF(G43="",0,IF(COUNTIFS($B$2:$B$73,$B43,$C$2:$C$73,$C43,G$2:G$73,G43)&gt;1,1,0))</f>
        <v/>
      </c>
      <c r="P43" s="39">
        <f>IF(H43="",0,IF(COUNTIFS($B$2:$B$73,$B43,$C$2:$C$73,$C43,H$2:H$73,H43)&gt;1,1,0))</f>
        <v/>
      </c>
      <c r="Q43" s="39">
        <f>IF(I43="",0,IF(COUNTIFS($B$2:$B$73,$B43,$C$2:$C$73,$C43,I$2:I$73,I43)&gt;1,1,0))</f>
        <v/>
      </c>
      <c r="R43" s="39">
        <f>IF(J43="",0,IF(COUNTIFS($B$2:$B$73,$B43,$C$2:$C$73,$C43,J$2:J$73,J43)&gt;1,1,0))</f>
        <v/>
      </c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IF(TKB_Nhap!D44="","",IFERROR(T(INDEX(PhanCong!$B$3:$J$18,MATCH(TKB_Nhap!D44,PhanCong!$A$3:$A$18,0),MATCH($A44,PhanCong!$B$2:$J$2,0))),""))</f>
        <v/>
      </c>
      <c r="E44" s="36">
        <f>IF(TKB_Nhap!E44="","",IFERROR(T(INDEX(PhanCong!$B$3:$J$18,MATCH(TKB_Nhap!E44,PhanCong!$A$3:$A$18,0),MATCH($A44,PhanCong!$B$2:$J$2,0))),""))</f>
        <v/>
      </c>
      <c r="F44" s="36">
        <f>IF(TKB_Nhap!F44="","",IFERROR(T(INDEX(PhanCong!$B$3:$J$18,MATCH(TKB_Nhap!F44,PhanCong!$A$3:$A$18,0),MATCH($A44,PhanCong!$B$2:$J$2,0))),""))</f>
        <v/>
      </c>
      <c r="G44" s="36">
        <f>IF(TKB_Nhap!G44="","",IFERROR(T(INDEX(PhanCong!$B$3:$J$18,MATCH(TKB_Nhap!G44,PhanCong!$A$3:$A$18,0),MATCH($A44,PhanCong!$B$2:$J$2,0))),""))</f>
        <v/>
      </c>
      <c r="H44" s="36">
        <f>IF(TKB_Nhap!H44="","",IFERROR(T(INDEX(PhanCong!$B$3:$J$18,MATCH(TKB_Nhap!H44,PhanCong!$A$3:$A$18,0),MATCH($A44,PhanCong!$B$2:$J$2,0))),""))</f>
        <v/>
      </c>
      <c r="I44" s="36">
        <f>IF(TKB_Nhap!I44="","",IFERROR(T(INDEX(PhanCong!$B$3:$J$18,MATCH(TKB_Nhap!I44,PhanCong!$A$3:$A$18,0),MATCH($A44,PhanCong!$B$2:$J$2,0))),""))</f>
        <v/>
      </c>
      <c r="J44" s="36">
        <f>IF(TKB_Nhap!J44="","",IFERROR(T(INDEX(PhanCong!$B$3:$J$18,MATCH(TKB_Nhap!J44,PhanCong!$A$3:$A$18,0),MATCH($A44,PhanCong!$B$2:$J$2,0))),""))</f>
        <v/>
      </c>
      <c r="L44" s="39">
        <f>IF(D44="",0,IF(COUNTIFS($B$2:$B$73,$B44,$C$2:$C$73,$C44,D$2:D$73,D44)&gt;1,1,0))</f>
        <v/>
      </c>
      <c r="M44" s="39">
        <f>IF(E44="",0,IF(COUNTIFS($B$2:$B$73,$B44,$C$2:$C$73,$C44,E$2:E$73,E44)&gt;1,1,0))</f>
        <v/>
      </c>
      <c r="N44" s="39">
        <f>IF(F44="",0,IF(COUNTIFS($B$2:$B$73,$B44,$C$2:$C$73,$C44,F$2:F$73,F44)&gt;1,1,0))</f>
        <v/>
      </c>
      <c r="O44" s="39">
        <f>IF(G44="",0,IF(COUNTIFS($B$2:$B$73,$B44,$C$2:$C$73,$C44,G$2:G$73,G44)&gt;1,1,0))</f>
        <v/>
      </c>
      <c r="P44" s="39">
        <f>IF(H44="",0,IF(COUNTIFS($B$2:$B$73,$B44,$C$2:$C$73,$C44,H$2:H$73,H44)&gt;1,1,0))</f>
        <v/>
      </c>
      <c r="Q44" s="39">
        <f>IF(I44="",0,IF(COUNTIFS($B$2:$B$73,$B44,$C$2:$C$73,$C44,I$2:I$73,I44)&gt;1,1,0))</f>
        <v/>
      </c>
      <c r="R44" s="39">
        <f>IF(J44="",0,IF(COUNTIFS($B$2:$B$73,$B44,$C$2:$C$73,$C44,J$2:J$73,J44)&gt;1,1,0))</f>
        <v/>
      </c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IF(TKB_Nhap!D45="","",IFERROR(T(INDEX(PhanCong!$B$3:$J$18,MATCH(TKB_Nhap!D45,PhanCong!$A$3:$A$18,0),MATCH($A45,PhanCong!$B$2:$J$2,0))),""))</f>
        <v/>
      </c>
      <c r="E45" s="36">
        <f>IF(TKB_Nhap!E45="","",IFERROR(T(INDEX(PhanCong!$B$3:$J$18,MATCH(TKB_Nhap!E45,PhanCong!$A$3:$A$18,0),MATCH($A45,PhanCong!$B$2:$J$2,0))),""))</f>
        <v/>
      </c>
      <c r="F45" s="36">
        <f>IF(TKB_Nhap!F45="","",IFERROR(T(INDEX(PhanCong!$B$3:$J$18,MATCH(TKB_Nhap!F45,PhanCong!$A$3:$A$18,0),MATCH($A45,PhanCong!$B$2:$J$2,0))),""))</f>
        <v/>
      </c>
      <c r="G45" s="36">
        <f>IF(TKB_Nhap!G45="","",IFERROR(T(INDEX(PhanCong!$B$3:$J$18,MATCH(TKB_Nhap!G45,PhanCong!$A$3:$A$18,0),MATCH($A45,PhanCong!$B$2:$J$2,0))),""))</f>
        <v/>
      </c>
      <c r="H45" s="36">
        <f>IF(TKB_Nhap!H45="","",IFERROR(T(INDEX(PhanCong!$B$3:$J$18,MATCH(TKB_Nhap!H45,PhanCong!$A$3:$A$18,0),MATCH($A45,PhanCong!$B$2:$J$2,0))),""))</f>
        <v/>
      </c>
      <c r="I45" s="36">
        <f>IF(TKB_Nhap!I45="","",IFERROR(T(INDEX(PhanCong!$B$3:$J$18,MATCH(TKB_Nhap!I45,PhanCong!$A$3:$A$18,0),MATCH($A45,PhanCong!$B$2:$J$2,0))),""))</f>
        <v/>
      </c>
      <c r="J45" s="36">
        <f>IF(TKB_Nhap!J45="","",IFERROR(T(INDEX(PhanCong!$B$3:$J$18,MATCH(TKB_Nhap!J45,PhanCong!$A$3:$A$18,0),MATCH($A45,PhanCong!$B$2:$J$2,0))),""))</f>
        <v/>
      </c>
      <c r="L45" s="39">
        <f>IF(D45="",0,IF(COUNTIFS($B$2:$B$73,$B45,$C$2:$C$73,$C45,D$2:D$73,D45)&gt;1,1,0))</f>
        <v/>
      </c>
      <c r="M45" s="39">
        <f>IF(E45="",0,IF(COUNTIFS($B$2:$B$73,$B45,$C$2:$C$73,$C45,E$2:E$73,E45)&gt;1,1,0))</f>
        <v/>
      </c>
      <c r="N45" s="39">
        <f>IF(F45="",0,IF(COUNTIFS($B$2:$B$73,$B45,$C$2:$C$73,$C45,F$2:F$73,F45)&gt;1,1,0))</f>
        <v/>
      </c>
      <c r="O45" s="39">
        <f>IF(G45="",0,IF(COUNTIFS($B$2:$B$73,$B45,$C$2:$C$73,$C45,G$2:G$73,G45)&gt;1,1,0))</f>
        <v/>
      </c>
      <c r="P45" s="39">
        <f>IF(H45="",0,IF(COUNTIFS($B$2:$B$73,$B45,$C$2:$C$73,$C45,H$2:H$73,H45)&gt;1,1,0))</f>
        <v/>
      </c>
      <c r="Q45" s="39">
        <f>IF(I45="",0,IF(COUNTIFS($B$2:$B$73,$B45,$C$2:$C$73,$C45,I$2:I$73,I45)&gt;1,1,0))</f>
        <v/>
      </c>
      <c r="R45" s="39">
        <f>IF(J45="",0,IF(COUNTIFS($B$2:$B$73,$B45,$C$2:$C$73,$C45,J$2:J$73,J45)&gt;1,1,0))</f>
        <v/>
      </c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IF(TKB_Nhap!D46="","",IFERROR(T(INDEX(PhanCong!$B$3:$J$18,MATCH(TKB_Nhap!D46,PhanCong!$A$3:$A$18,0),MATCH($A46,PhanCong!$B$2:$J$2,0))),""))</f>
        <v/>
      </c>
      <c r="E46" s="36">
        <f>IF(TKB_Nhap!E46="","",IFERROR(T(INDEX(PhanCong!$B$3:$J$18,MATCH(TKB_Nhap!E46,PhanCong!$A$3:$A$18,0),MATCH($A46,PhanCong!$B$2:$J$2,0))),""))</f>
        <v/>
      </c>
      <c r="F46" s="36">
        <f>IF(TKB_Nhap!F46="","",IFERROR(T(INDEX(PhanCong!$B$3:$J$18,MATCH(TKB_Nhap!F46,PhanCong!$A$3:$A$18,0),MATCH($A46,PhanCong!$B$2:$J$2,0))),""))</f>
        <v/>
      </c>
      <c r="G46" s="36">
        <f>IF(TKB_Nhap!G46="","",IFERROR(T(INDEX(PhanCong!$B$3:$J$18,MATCH(TKB_Nhap!G46,PhanCong!$A$3:$A$18,0),MATCH($A46,PhanCong!$B$2:$J$2,0))),""))</f>
        <v/>
      </c>
      <c r="H46" s="36">
        <f>IF(TKB_Nhap!H46="","",IFERROR(T(INDEX(PhanCong!$B$3:$J$18,MATCH(TKB_Nhap!H46,PhanCong!$A$3:$A$18,0),MATCH($A46,PhanCong!$B$2:$J$2,0))),""))</f>
        <v/>
      </c>
      <c r="I46" s="36">
        <f>IF(TKB_Nhap!I46="","",IFERROR(T(INDEX(PhanCong!$B$3:$J$18,MATCH(TKB_Nhap!I46,PhanCong!$A$3:$A$18,0),MATCH($A46,PhanCong!$B$2:$J$2,0))),""))</f>
        <v/>
      </c>
      <c r="J46" s="36">
        <f>IF(TKB_Nhap!J46="","",IFERROR(T(INDEX(PhanCong!$B$3:$J$18,MATCH(TKB_Nhap!J46,PhanCong!$A$3:$A$18,0),MATCH($A46,PhanCong!$B$2:$J$2,0))),""))</f>
        <v/>
      </c>
      <c r="L46" s="39">
        <f>IF(D46="",0,IF(COUNTIFS($B$2:$B$73,$B46,$C$2:$C$73,$C46,D$2:D$73,D46)&gt;1,1,0))</f>
        <v/>
      </c>
      <c r="M46" s="39">
        <f>IF(E46="",0,IF(COUNTIFS($B$2:$B$73,$B46,$C$2:$C$73,$C46,E$2:E$73,E46)&gt;1,1,0))</f>
        <v/>
      </c>
      <c r="N46" s="39">
        <f>IF(F46="",0,IF(COUNTIFS($B$2:$B$73,$B46,$C$2:$C$73,$C46,F$2:F$73,F46)&gt;1,1,0))</f>
        <v/>
      </c>
      <c r="O46" s="39">
        <f>IF(G46="",0,IF(COUNTIFS($B$2:$B$73,$B46,$C$2:$C$73,$C46,G$2:G$73,G46)&gt;1,1,0))</f>
        <v/>
      </c>
      <c r="P46" s="39">
        <f>IF(H46="",0,IF(COUNTIFS($B$2:$B$73,$B46,$C$2:$C$73,$C46,H$2:H$73,H46)&gt;1,1,0))</f>
        <v/>
      </c>
      <c r="Q46" s="39">
        <f>IF(I46="",0,IF(COUNTIFS($B$2:$B$73,$B46,$C$2:$C$73,$C46,I$2:I$73,I46)&gt;1,1,0))</f>
        <v/>
      </c>
      <c r="R46" s="39">
        <f>IF(J46="",0,IF(COUNTIFS($B$2:$B$73,$B46,$C$2:$C$73,$C46,J$2:J$73,J46)&gt;1,1,0))</f>
        <v/>
      </c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IF(TKB_Nhap!D47="","",IFERROR(T(INDEX(PhanCong!$B$3:$J$18,MATCH(TKB_Nhap!D47,PhanCong!$A$3:$A$18,0),MATCH($A47,PhanCong!$B$2:$J$2,0))),""))</f>
        <v/>
      </c>
      <c r="E47" s="36">
        <f>IF(TKB_Nhap!E47="","",IFERROR(T(INDEX(PhanCong!$B$3:$J$18,MATCH(TKB_Nhap!E47,PhanCong!$A$3:$A$18,0),MATCH($A47,PhanCong!$B$2:$J$2,0))),""))</f>
        <v/>
      </c>
      <c r="F47" s="36">
        <f>IF(TKB_Nhap!F47="","",IFERROR(T(INDEX(PhanCong!$B$3:$J$18,MATCH(TKB_Nhap!F47,PhanCong!$A$3:$A$18,0),MATCH($A47,PhanCong!$B$2:$J$2,0))),""))</f>
        <v/>
      </c>
      <c r="G47" s="36">
        <f>IF(TKB_Nhap!G47="","",IFERROR(T(INDEX(PhanCong!$B$3:$J$18,MATCH(TKB_Nhap!G47,PhanCong!$A$3:$A$18,0),MATCH($A47,PhanCong!$B$2:$J$2,0))),""))</f>
        <v/>
      </c>
      <c r="H47" s="36">
        <f>IF(TKB_Nhap!H47="","",IFERROR(T(INDEX(PhanCong!$B$3:$J$18,MATCH(TKB_Nhap!H47,PhanCong!$A$3:$A$18,0),MATCH($A47,PhanCong!$B$2:$J$2,0))),""))</f>
        <v/>
      </c>
      <c r="I47" s="36">
        <f>IF(TKB_Nhap!I47="","",IFERROR(T(INDEX(PhanCong!$B$3:$J$18,MATCH(TKB_Nhap!I47,PhanCong!$A$3:$A$18,0),MATCH($A47,PhanCong!$B$2:$J$2,0))),""))</f>
        <v/>
      </c>
      <c r="J47" s="36">
        <f>IF(TKB_Nhap!J47="","",IFERROR(T(INDEX(PhanCong!$B$3:$J$18,MATCH(TKB_Nhap!J47,PhanCong!$A$3:$A$18,0),MATCH($A47,PhanCong!$B$2:$J$2,0))),""))</f>
        <v/>
      </c>
      <c r="L47" s="39">
        <f>IF(D47="",0,IF(COUNTIFS($B$2:$B$73,$B47,$C$2:$C$73,$C47,D$2:D$73,D47)&gt;1,1,0))</f>
        <v/>
      </c>
      <c r="M47" s="39">
        <f>IF(E47="",0,IF(COUNTIFS($B$2:$B$73,$B47,$C$2:$C$73,$C47,E$2:E$73,E47)&gt;1,1,0))</f>
        <v/>
      </c>
      <c r="N47" s="39">
        <f>IF(F47="",0,IF(COUNTIFS($B$2:$B$73,$B47,$C$2:$C$73,$C47,F$2:F$73,F47)&gt;1,1,0))</f>
        <v/>
      </c>
      <c r="O47" s="39">
        <f>IF(G47="",0,IF(COUNTIFS($B$2:$B$73,$B47,$C$2:$C$73,$C47,G$2:G$73,G47)&gt;1,1,0))</f>
        <v/>
      </c>
      <c r="P47" s="39">
        <f>IF(H47="",0,IF(COUNTIFS($B$2:$B$73,$B47,$C$2:$C$73,$C47,H$2:H$73,H47)&gt;1,1,0))</f>
        <v/>
      </c>
      <c r="Q47" s="39">
        <f>IF(I47="",0,IF(COUNTIFS($B$2:$B$73,$B47,$C$2:$C$73,$C47,I$2:I$73,I47)&gt;1,1,0))</f>
        <v/>
      </c>
      <c r="R47" s="39">
        <f>IF(J47="",0,IF(COUNTIFS($B$2:$B$73,$B47,$C$2:$C$73,$C47,J$2:J$73,J47)&gt;1,1,0))</f>
        <v/>
      </c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IF(TKB_Nhap!D48="","",IFERROR(T(INDEX(PhanCong!$B$3:$J$18,MATCH(TKB_Nhap!D48,PhanCong!$A$3:$A$18,0),MATCH($A48,PhanCong!$B$2:$J$2,0))),""))</f>
        <v/>
      </c>
      <c r="E48" s="36">
        <f>IF(TKB_Nhap!E48="","",IFERROR(T(INDEX(PhanCong!$B$3:$J$18,MATCH(TKB_Nhap!E48,PhanCong!$A$3:$A$18,0),MATCH($A48,PhanCong!$B$2:$J$2,0))),""))</f>
        <v/>
      </c>
      <c r="F48" s="36">
        <f>IF(TKB_Nhap!F48="","",IFERROR(T(INDEX(PhanCong!$B$3:$J$18,MATCH(TKB_Nhap!F48,PhanCong!$A$3:$A$18,0),MATCH($A48,PhanCong!$B$2:$J$2,0))),""))</f>
        <v/>
      </c>
      <c r="G48" s="36">
        <f>IF(TKB_Nhap!G48="","",IFERROR(T(INDEX(PhanCong!$B$3:$J$18,MATCH(TKB_Nhap!G48,PhanCong!$A$3:$A$18,0),MATCH($A48,PhanCong!$B$2:$J$2,0))),""))</f>
        <v/>
      </c>
      <c r="H48" s="36">
        <f>IF(TKB_Nhap!H48="","",IFERROR(T(INDEX(PhanCong!$B$3:$J$18,MATCH(TKB_Nhap!H48,PhanCong!$A$3:$A$18,0),MATCH($A48,PhanCong!$B$2:$J$2,0))),""))</f>
        <v/>
      </c>
      <c r="I48" s="36">
        <f>IF(TKB_Nhap!I48="","",IFERROR(T(INDEX(PhanCong!$B$3:$J$18,MATCH(TKB_Nhap!I48,PhanCong!$A$3:$A$18,0),MATCH($A48,PhanCong!$B$2:$J$2,0))),""))</f>
        <v/>
      </c>
      <c r="J48" s="36">
        <f>IF(TKB_Nhap!J48="","",IFERROR(T(INDEX(PhanCong!$B$3:$J$18,MATCH(TKB_Nhap!J48,PhanCong!$A$3:$A$18,0),MATCH($A48,PhanCong!$B$2:$J$2,0))),""))</f>
        <v/>
      </c>
      <c r="L48" s="39">
        <f>IF(D48="",0,IF(COUNTIFS($B$2:$B$73,$B48,$C$2:$C$73,$C48,D$2:D$73,D48)&gt;1,1,0))</f>
        <v/>
      </c>
      <c r="M48" s="39">
        <f>IF(E48="",0,IF(COUNTIFS($B$2:$B$73,$B48,$C$2:$C$73,$C48,E$2:E$73,E48)&gt;1,1,0))</f>
        <v/>
      </c>
      <c r="N48" s="39">
        <f>IF(F48="",0,IF(COUNTIFS($B$2:$B$73,$B48,$C$2:$C$73,$C48,F$2:F$73,F48)&gt;1,1,0))</f>
        <v/>
      </c>
      <c r="O48" s="39">
        <f>IF(G48="",0,IF(COUNTIFS($B$2:$B$73,$B48,$C$2:$C$73,$C48,G$2:G$73,G48)&gt;1,1,0))</f>
        <v/>
      </c>
      <c r="P48" s="39">
        <f>IF(H48="",0,IF(COUNTIFS($B$2:$B$73,$B48,$C$2:$C$73,$C48,H$2:H$73,H48)&gt;1,1,0))</f>
        <v/>
      </c>
      <c r="Q48" s="39">
        <f>IF(I48="",0,IF(COUNTIFS($B$2:$B$73,$B48,$C$2:$C$73,$C48,I$2:I$73,I48)&gt;1,1,0))</f>
        <v/>
      </c>
      <c r="R48" s="39">
        <f>IF(J48="",0,IF(COUNTIFS($B$2:$B$73,$B48,$C$2:$C$73,$C48,J$2:J$73,J48)&gt;1,1,0))</f>
        <v/>
      </c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IF(TKB_Nhap!D49="","",IFERROR(T(INDEX(PhanCong!$B$3:$J$18,MATCH(TKB_Nhap!D49,PhanCong!$A$3:$A$18,0),MATCH($A49,PhanCong!$B$2:$J$2,0))),""))</f>
        <v/>
      </c>
      <c r="E49" s="36">
        <f>IF(TKB_Nhap!E49="","",IFERROR(T(INDEX(PhanCong!$B$3:$J$18,MATCH(TKB_Nhap!E49,PhanCong!$A$3:$A$18,0),MATCH($A49,PhanCong!$B$2:$J$2,0))),""))</f>
        <v/>
      </c>
      <c r="F49" s="36">
        <f>IF(TKB_Nhap!F49="","",IFERROR(T(INDEX(PhanCong!$B$3:$J$18,MATCH(TKB_Nhap!F49,PhanCong!$A$3:$A$18,0),MATCH($A49,PhanCong!$B$2:$J$2,0))),""))</f>
        <v/>
      </c>
      <c r="G49" s="36">
        <f>IF(TKB_Nhap!G49="","",IFERROR(T(INDEX(PhanCong!$B$3:$J$18,MATCH(TKB_Nhap!G49,PhanCong!$A$3:$A$18,0),MATCH($A49,PhanCong!$B$2:$J$2,0))),""))</f>
        <v/>
      </c>
      <c r="H49" s="36">
        <f>IF(TKB_Nhap!H49="","",IFERROR(T(INDEX(PhanCong!$B$3:$J$18,MATCH(TKB_Nhap!H49,PhanCong!$A$3:$A$18,0),MATCH($A49,PhanCong!$B$2:$J$2,0))),""))</f>
        <v/>
      </c>
      <c r="I49" s="36">
        <f>IF(TKB_Nhap!I49="","",IFERROR(T(INDEX(PhanCong!$B$3:$J$18,MATCH(TKB_Nhap!I49,PhanCong!$A$3:$A$18,0),MATCH($A49,PhanCong!$B$2:$J$2,0))),""))</f>
        <v/>
      </c>
      <c r="J49" s="36">
        <f>IF(TKB_Nhap!J49="","",IFERROR(T(INDEX(PhanCong!$B$3:$J$18,MATCH(TKB_Nhap!J49,PhanCong!$A$3:$A$18,0),MATCH($A49,PhanCong!$B$2:$J$2,0))),""))</f>
        <v/>
      </c>
      <c r="L49" s="39">
        <f>IF(D49="",0,IF(COUNTIFS($B$2:$B$73,$B49,$C$2:$C$73,$C49,D$2:D$73,D49)&gt;1,1,0))</f>
        <v/>
      </c>
      <c r="M49" s="39">
        <f>IF(E49="",0,IF(COUNTIFS($B$2:$B$73,$B49,$C$2:$C$73,$C49,E$2:E$73,E49)&gt;1,1,0))</f>
        <v/>
      </c>
      <c r="N49" s="39">
        <f>IF(F49="",0,IF(COUNTIFS($B$2:$B$73,$B49,$C$2:$C$73,$C49,F$2:F$73,F49)&gt;1,1,0))</f>
        <v/>
      </c>
      <c r="O49" s="39">
        <f>IF(G49="",0,IF(COUNTIFS($B$2:$B$73,$B49,$C$2:$C$73,$C49,G$2:G$73,G49)&gt;1,1,0))</f>
        <v/>
      </c>
      <c r="P49" s="39">
        <f>IF(H49="",0,IF(COUNTIFS($B$2:$B$73,$B49,$C$2:$C$73,$C49,H$2:H$73,H49)&gt;1,1,0))</f>
        <v/>
      </c>
      <c r="Q49" s="39">
        <f>IF(I49="",0,IF(COUNTIFS($B$2:$B$73,$B49,$C$2:$C$73,$C49,I$2:I$73,I49)&gt;1,1,0))</f>
        <v/>
      </c>
      <c r="R49" s="39">
        <f>IF(J49="",0,IF(COUNTIFS($B$2:$B$73,$B49,$C$2:$C$73,$C49,J$2:J$73,J49)&gt;1,1,0))</f>
        <v/>
      </c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IF(TKB_Nhap!D50="","",IFERROR(T(INDEX(PhanCong!$B$3:$J$18,MATCH(TKB_Nhap!D50,PhanCong!$A$3:$A$18,0),MATCH($A50,PhanCong!$B$2:$J$2,0))),""))</f>
        <v/>
      </c>
      <c r="E50" s="30">
        <f>IF(TKB_Nhap!E50="","",IFERROR(T(INDEX(PhanCong!$B$3:$J$18,MATCH(TKB_Nhap!E50,PhanCong!$A$3:$A$18,0),MATCH($A50,PhanCong!$B$2:$J$2,0))),""))</f>
        <v/>
      </c>
      <c r="F50" s="30">
        <f>IF(TKB_Nhap!F50="","",IFERROR(T(INDEX(PhanCong!$B$3:$J$18,MATCH(TKB_Nhap!F50,PhanCong!$A$3:$A$18,0),MATCH($A50,PhanCong!$B$2:$J$2,0))),""))</f>
        <v/>
      </c>
      <c r="G50" s="30">
        <f>IF(TKB_Nhap!G50="","",IFERROR(T(INDEX(PhanCong!$B$3:$J$18,MATCH(TKB_Nhap!G50,PhanCong!$A$3:$A$18,0),MATCH($A50,PhanCong!$B$2:$J$2,0))),""))</f>
        <v/>
      </c>
      <c r="H50" s="30">
        <f>IF(TKB_Nhap!H50="","",IFERROR(T(INDEX(PhanCong!$B$3:$J$18,MATCH(TKB_Nhap!H50,PhanCong!$A$3:$A$18,0),MATCH($A50,PhanCong!$B$2:$J$2,0))),""))</f>
        <v/>
      </c>
      <c r="I50" s="30">
        <f>IF(TKB_Nhap!I50="","",IFERROR(T(INDEX(PhanCong!$B$3:$J$18,MATCH(TKB_Nhap!I50,PhanCong!$A$3:$A$18,0),MATCH($A50,PhanCong!$B$2:$J$2,0))),""))</f>
        <v/>
      </c>
      <c r="J50" s="30">
        <f>IF(TKB_Nhap!J50="","",IFERROR(T(INDEX(PhanCong!$B$3:$J$18,MATCH(TKB_Nhap!J50,PhanCong!$A$3:$A$18,0),MATCH($A50,PhanCong!$B$2:$J$2,0))),""))</f>
        <v/>
      </c>
      <c r="L50" s="39">
        <f>IF(D50="",0,IF(COUNTIFS($B$2:$B$73,$B50,$C$2:$C$73,$C50,D$2:D$73,D50)&gt;1,1,0))</f>
        <v/>
      </c>
      <c r="M50" s="39">
        <f>IF(E50="",0,IF(COUNTIFS($B$2:$B$73,$B50,$C$2:$C$73,$C50,E$2:E$73,E50)&gt;1,1,0))</f>
        <v/>
      </c>
      <c r="N50" s="39">
        <f>IF(F50="",0,IF(COUNTIFS($B$2:$B$73,$B50,$C$2:$C$73,$C50,F$2:F$73,F50)&gt;1,1,0))</f>
        <v/>
      </c>
      <c r="O50" s="39">
        <f>IF(G50="",0,IF(COUNTIFS($B$2:$B$73,$B50,$C$2:$C$73,$C50,G$2:G$73,G50)&gt;1,1,0))</f>
        <v/>
      </c>
      <c r="P50" s="39">
        <f>IF(H50="",0,IF(COUNTIFS($B$2:$B$73,$B50,$C$2:$C$73,$C50,H$2:H$73,H50)&gt;1,1,0))</f>
        <v/>
      </c>
      <c r="Q50" s="39">
        <f>IF(I50="",0,IF(COUNTIFS($B$2:$B$73,$B50,$C$2:$C$73,$C50,I$2:I$73,I50)&gt;1,1,0))</f>
        <v/>
      </c>
      <c r="R50" s="39">
        <f>IF(J50="",0,IF(COUNTIFS($B$2:$B$73,$B50,$C$2:$C$73,$C50,J$2:J$73,J50)&gt;1,1,0))</f>
        <v/>
      </c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IF(TKB_Nhap!D51="","",IFERROR(T(INDEX(PhanCong!$B$3:$J$18,MATCH(TKB_Nhap!D51,PhanCong!$A$3:$A$18,0),MATCH($A51,PhanCong!$B$2:$J$2,0))),""))</f>
        <v/>
      </c>
      <c r="E51" s="30">
        <f>IF(TKB_Nhap!E51="","",IFERROR(T(INDEX(PhanCong!$B$3:$J$18,MATCH(TKB_Nhap!E51,PhanCong!$A$3:$A$18,0),MATCH($A51,PhanCong!$B$2:$J$2,0))),""))</f>
        <v/>
      </c>
      <c r="F51" s="30">
        <f>IF(TKB_Nhap!F51="","",IFERROR(T(INDEX(PhanCong!$B$3:$J$18,MATCH(TKB_Nhap!F51,PhanCong!$A$3:$A$18,0),MATCH($A51,PhanCong!$B$2:$J$2,0))),""))</f>
        <v/>
      </c>
      <c r="G51" s="30">
        <f>IF(TKB_Nhap!G51="","",IFERROR(T(INDEX(PhanCong!$B$3:$J$18,MATCH(TKB_Nhap!G51,PhanCong!$A$3:$A$18,0),MATCH($A51,PhanCong!$B$2:$J$2,0))),""))</f>
        <v/>
      </c>
      <c r="H51" s="30">
        <f>IF(TKB_Nhap!H51="","",IFERROR(T(INDEX(PhanCong!$B$3:$J$18,MATCH(TKB_Nhap!H51,PhanCong!$A$3:$A$18,0),MATCH($A51,PhanCong!$B$2:$J$2,0))),""))</f>
        <v/>
      </c>
      <c r="I51" s="30">
        <f>IF(TKB_Nhap!I51="","",IFERROR(T(INDEX(PhanCong!$B$3:$J$18,MATCH(TKB_Nhap!I51,PhanCong!$A$3:$A$18,0),MATCH($A51,PhanCong!$B$2:$J$2,0))),""))</f>
        <v/>
      </c>
      <c r="J51" s="30">
        <f>IF(TKB_Nhap!J51="","",IFERROR(T(INDEX(PhanCong!$B$3:$J$18,MATCH(TKB_Nhap!J51,PhanCong!$A$3:$A$18,0),MATCH($A51,PhanCong!$B$2:$J$2,0))),""))</f>
        <v/>
      </c>
      <c r="L51" s="39">
        <f>IF(D51="",0,IF(COUNTIFS($B$2:$B$73,$B51,$C$2:$C$73,$C51,D$2:D$73,D51)&gt;1,1,0))</f>
        <v/>
      </c>
      <c r="M51" s="39">
        <f>IF(E51="",0,IF(COUNTIFS($B$2:$B$73,$B51,$C$2:$C$73,$C51,E$2:E$73,E51)&gt;1,1,0))</f>
        <v/>
      </c>
      <c r="N51" s="39">
        <f>IF(F51="",0,IF(COUNTIFS($B$2:$B$73,$B51,$C$2:$C$73,$C51,F$2:F$73,F51)&gt;1,1,0))</f>
        <v/>
      </c>
      <c r="O51" s="39">
        <f>IF(G51="",0,IF(COUNTIFS($B$2:$B$73,$B51,$C$2:$C$73,$C51,G$2:G$73,G51)&gt;1,1,0))</f>
        <v/>
      </c>
      <c r="P51" s="39">
        <f>IF(H51="",0,IF(COUNTIFS($B$2:$B$73,$B51,$C$2:$C$73,$C51,H$2:H$73,H51)&gt;1,1,0))</f>
        <v/>
      </c>
      <c r="Q51" s="39">
        <f>IF(I51="",0,IF(COUNTIFS($B$2:$B$73,$B51,$C$2:$C$73,$C51,I$2:I$73,I51)&gt;1,1,0))</f>
        <v/>
      </c>
      <c r="R51" s="39">
        <f>IF(J51="",0,IF(COUNTIFS($B$2:$B$73,$B51,$C$2:$C$73,$C51,J$2:J$73,J51)&gt;1,1,0))</f>
        <v/>
      </c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IF(TKB_Nhap!D52="","",IFERROR(T(INDEX(PhanCong!$B$3:$J$18,MATCH(TKB_Nhap!D52,PhanCong!$A$3:$A$18,0),MATCH($A52,PhanCong!$B$2:$J$2,0))),""))</f>
        <v/>
      </c>
      <c r="E52" s="30">
        <f>IF(TKB_Nhap!E52="","",IFERROR(T(INDEX(PhanCong!$B$3:$J$18,MATCH(TKB_Nhap!E52,PhanCong!$A$3:$A$18,0),MATCH($A52,PhanCong!$B$2:$J$2,0))),""))</f>
        <v/>
      </c>
      <c r="F52" s="30">
        <f>IF(TKB_Nhap!F52="","",IFERROR(T(INDEX(PhanCong!$B$3:$J$18,MATCH(TKB_Nhap!F52,PhanCong!$A$3:$A$18,0),MATCH($A52,PhanCong!$B$2:$J$2,0))),""))</f>
        <v/>
      </c>
      <c r="G52" s="30">
        <f>IF(TKB_Nhap!G52="","",IFERROR(T(INDEX(PhanCong!$B$3:$J$18,MATCH(TKB_Nhap!G52,PhanCong!$A$3:$A$18,0),MATCH($A52,PhanCong!$B$2:$J$2,0))),""))</f>
        <v/>
      </c>
      <c r="H52" s="30">
        <f>IF(TKB_Nhap!H52="","",IFERROR(T(INDEX(PhanCong!$B$3:$J$18,MATCH(TKB_Nhap!H52,PhanCong!$A$3:$A$18,0),MATCH($A52,PhanCong!$B$2:$J$2,0))),""))</f>
        <v/>
      </c>
      <c r="I52" s="30">
        <f>IF(TKB_Nhap!I52="","",IFERROR(T(INDEX(PhanCong!$B$3:$J$18,MATCH(TKB_Nhap!I52,PhanCong!$A$3:$A$18,0),MATCH($A52,PhanCong!$B$2:$J$2,0))),""))</f>
        <v/>
      </c>
      <c r="J52" s="30">
        <f>IF(TKB_Nhap!J52="","",IFERROR(T(INDEX(PhanCong!$B$3:$J$18,MATCH(TKB_Nhap!J52,PhanCong!$A$3:$A$18,0),MATCH($A52,PhanCong!$B$2:$J$2,0))),""))</f>
        <v/>
      </c>
      <c r="L52" s="39">
        <f>IF(D52="",0,IF(COUNTIFS($B$2:$B$73,$B52,$C$2:$C$73,$C52,D$2:D$73,D52)&gt;1,1,0))</f>
        <v/>
      </c>
      <c r="M52" s="39">
        <f>IF(E52="",0,IF(COUNTIFS($B$2:$B$73,$B52,$C$2:$C$73,$C52,E$2:E$73,E52)&gt;1,1,0))</f>
        <v/>
      </c>
      <c r="N52" s="39">
        <f>IF(F52="",0,IF(COUNTIFS($B$2:$B$73,$B52,$C$2:$C$73,$C52,F$2:F$73,F52)&gt;1,1,0))</f>
        <v/>
      </c>
      <c r="O52" s="39">
        <f>IF(G52="",0,IF(COUNTIFS($B$2:$B$73,$B52,$C$2:$C$73,$C52,G$2:G$73,G52)&gt;1,1,0))</f>
        <v/>
      </c>
      <c r="P52" s="39">
        <f>IF(H52="",0,IF(COUNTIFS($B$2:$B$73,$B52,$C$2:$C$73,$C52,H$2:H$73,H52)&gt;1,1,0))</f>
        <v/>
      </c>
      <c r="Q52" s="39">
        <f>IF(I52="",0,IF(COUNTIFS($B$2:$B$73,$B52,$C$2:$C$73,$C52,I$2:I$73,I52)&gt;1,1,0))</f>
        <v/>
      </c>
      <c r="R52" s="39">
        <f>IF(J52="",0,IF(COUNTIFS($B$2:$B$73,$B52,$C$2:$C$73,$C52,J$2:J$73,J52)&gt;1,1,0))</f>
        <v/>
      </c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IF(TKB_Nhap!D53="","",IFERROR(T(INDEX(PhanCong!$B$3:$J$18,MATCH(TKB_Nhap!D53,PhanCong!$A$3:$A$18,0),MATCH($A53,PhanCong!$B$2:$J$2,0))),""))</f>
        <v/>
      </c>
      <c r="E53" s="30">
        <f>IF(TKB_Nhap!E53="","",IFERROR(T(INDEX(PhanCong!$B$3:$J$18,MATCH(TKB_Nhap!E53,PhanCong!$A$3:$A$18,0),MATCH($A53,PhanCong!$B$2:$J$2,0))),""))</f>
        <v/>
      </c>
      <c r="F53" s="30">
        <f>IF(TKB_Nhap!F53="","",IFERROR(T(INDEX(PhanCong!$B$3:$J$18,MATCH(TKB_Nhap!F53,PhanCong!$A$3:$A$18,0),MATCH($A53,PhanCong!$B$2:$J$2,0))),""))</f>
        <v/>
      </c>
      <c r="G53" s="30">
        <f>IF(TKB_Nhap!G53="","",IFERROR(T(INDEX(PhanCong!$B$3:$J$18,MATCH(TKB_Nhap!G53,PhanCong!$A$3:$A$18,0),MATCH($A53,PhanCong!$B$2:$J$2,0))),""))</f>
        <v/>
      </c>
      <c r="H53" s="30">
        <f>IF(TKB_Nhap!H53="","",IFERROR(T(INDEX(PhanCong!$B$3:$J$18,MATCH(TKB_Nhap!H53,PhanCong!$A$3:$A$18,0),MATCH($A53,PhanCong!$B$2:$J$2,0))),""))</f>
        <v/>
      </c>
      <c r="I53" s="30">
        <f>IF(TKB_Nhap!I53="","",IFERROR(T(INDEX(PhanCong!$B$3:$J$18,MATCH(TKB_Nhap!I53,PhanCong!$A$3:$A$18,0),MATCH($A53,PhanCong!$B$2:$J$2,0))),""))</f>
        <v/>
      </c>
      <c r="J53" s="30">
        <f>IF(TKB_Nhap!J53="","",IFERROR(T(INDEX(PhanCong!$B$3:$J$18,MATCH(TKB_Nhap!J53,PhanCong!$A$3:$A$18,0),MATCH($A53,PhanCong!$B$2:$J$2,0))),""))</f>
        <v/>
      </c>
      <c r="L53" s="39">
        <f>IF(D53="",0,IF(COUNTIFS($B$2:$B$73,$B53,$C$2:$C$73,$C53,D$2:D$73,D53)&gt;1,1,0))</f>
        <v/>
      </c>
      <c r="M53" s="39">
        <f>IF(E53="",0,IF(COUNTIFS($B$2:$B$73,$B53,$C$2:$C$73,$C53,E$2:E$73,E53)&gt;1,1,0))</f>
        <v/>
      </c>
      <c r="N53" s="39">
        <f>IF(F53="",0,IF(COUNTIFS($B$2:$B$73,$B53,$C$2:$C$73,$C53,F$2:F$73,F53)&gt;1,1,0))</f>
        <v/>
      </c>
      <c r="O53" s="39">
        <f>IF(G53="",0,IF(COUNTIFS($B$2:$B$73,$B53,$C$2:$C$73,$C53,G$2:G$73,G53)&gt;1,1,0))</f>
        <v/>
      </c>
      <c r="P53" s="39">
        <f>IF(H53="",0,IF(COUNTIFS($B$2:$B$73,$B53,$C$2:$C$73,$C53,H$2:H$73,H53)&gt;1,1,0))</f>
        <v/>
      </c>
      <c r="Q53" s="39">
        <f>IF(I53="",0,IF(COUNTIFS($B$2:$B$73,$B53,$C$2:$C$73,$C53,I$2:I$73,I53)&gt;1,1,0))</f>
        <v/>
      </c>
      <c r="R53" s="39">
        <f>IF(J53="",0,IF(COUNTIFS($B$2:$B$73,$B53,$C$2:$C$73,$C53,J$2:J$73,J53)&gt;1,1,0))</f>
        <v/>
      </c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IF(TKB_Nhap!D54="","",IFERROR(T(INDEX(PhanCong!$B$3:$J$18,MATCH(TKB_Nhap!D54,PhanCong!$A$3:$A$18,0),MATCH($A54,PhanCong!$B$2:$J$2,0))),""))</f>
        <v/>
      </c>
      <c r="E54" s="30">
        <f>IF(TKB_Nhap!E54="","",IFERROR(T(INDEX(PhanCong!$B$3:$J$18,MATCH(TKB_Nhap!E54,PhanCong!$A$3:$A$18,0),MATCH($A54,PhanCong!$B$2:$J$2,0))),""))</f>
        <v/>
      </c>
      <c r="F54" s="30">
        <f>IF(TKB_Nhap!F54="","",IFERROR(T(INDEX(PhanCong!$B$3:$J$18,MATCH(TKB_Nhap!F54,PhanCong!$A$3:$A$18,0),MATCH($A54,PhanCong!$B$2:$J$2,0))),""))</f>
        <v/>
      </c>
      <c r="G54" s="30">
        <f>IF(TKB_Nhap!G54="","",IFERROR(T(INDEX(PhanCong!$B$3:$J$18,MATCH(TKB_Nhap!G54,PhanCong!$A$3:$A$18,0),MATCH($A54,PhanCong!$B$2:$J$2,0))),""))</f>
        <v/>
      </c>
      <c r="H54" s="30">
        <f>IF(TKB_Nhap!H54="","",IFERROR(T(INDEX(PhanCong!$B$3:$J$18,MATCH(TKB_Nhap!H54,PhanCong!$A$3:$A$18,0),MATCH($A54,PhanCong!$B$2:$J$2,0))),""))</f>
        <v/>
      </c>
      <c r="I54" s="30">
        <f>IF(TKB_Nhap!I54="","",IFERROR(T(INDEX(PhanCong!$B$3:$J$18,MATCH(TKB_Nhap!I54,PhanCong!$A$3:$A$18,0),MATCH($A54,PhanCong!$B$2:$J$2,0))),""))</f>
        <v/>
      </c>
      <c r="J54" s="30">
        <f>IF(TKB_Nhap!J54="","",IFERROR(T(INDEX(PhanCong!$B$3:$J$18,MATCH(TKB_Nhap!J54,PhanCong!$A$3:$A$18,0),MATCH($A54,PhanCong!$B$2:$J$2,0))),""))</f>
        <v/>
      </c>
      <c r="L54" s="39">
        <f>IF(D54="",0,IF(COUNTIFS($B$2:$B$73,$B54,$C$2:$C$73,$C54,D$2:D$73,D54)&gt;1,1,0))</f>
        <v/>
      </c>
      <c r="M54" s="39">
        <f>IF(E54="",0,IF(COUNTIFS($B$2:$B$73,$B54,$C$2:$C$73,$C54,E$2:E$73,E54)&gt;1,1,0))</f>
        <v/>
      </c>
      <c r="N54" s="39">
        <f>IF(F54="",0,IF(COUNTIFS($B$2:$B$73,$B54,$C$2:$C$73,$C54,F$2:F$73,F54)&gt;1,1,0))</f>
        <v/>
      </c>
      <c r="O54" s="39">
        <f>IF(G54="",0,IF(COUNTIFS($B$2:$B$73,$B54,$C$2:$C$73,$C54,G$2:G$73,G54)&gt;1,1,0))</f>
        <v/>
      </c>
      <c r="P54" s="39">
        <f>IF(H54="",0,IF(COUNTIFS($B$2:$B$73,$B54,$C$2:$C$73,$C54,H$2:H$73,H54)&gt;1,1,0))</f>
        <v/>
      </c>
      <c r="Q54" s="39">
        <f>IF(I54="",0,IF(COUNTIFS($B$2:$B$73,$B54,$C$2:$C$73,$C54,I$2:I$73,I54)&gt;1,1,0))</f>
        <v/>
      </c>
      <c r="R54" s="39">
        <f>IF(J54="",0,IF(COUNTIFS($B$2:$B$73,$B54,$C$2:$C$73,$C54,J$2:J$73,J54)&gt;1,1,0))</f>
        <v/>
      </c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IF(TKB_Nhap!D55="","",IFERROR(T(INDEX(PhanCong!$B$3:$J$18,MATCH(TKB_Nhap!D55,PhanCong!$A$3:$A$18,0),MATCH($A55,PhanCong!$B$2:$J$2,0))),""))</f>
        <v/>
      </c>
      <c r="E55" s="30">
        <f>IF(TKB_Nhap!E55="","",IFERROR(T(INDEX(PhanCong!$B$3:$J$18,MATCH(TKB_Nhap!E55,PhanCong!$A$3:$A$18,0),MATCH($A55,PhanCong!$B$2:$J$2,0))),""))</f>
        <v/>
      </c>
      <c r="F55" s="30">
        <f>IF(TKB_Nhap!F55="","",IFERROR(T(INDEX(PhanCong!$B$3:$J$18,MATCH(TKB_Nhap!F55,PhanCong!$A$3:$A$18,0),MATCH($A55,PhanCong!$B$2:$J$2,0))),""))</f>
        <v/>
      </c>
      <c r="G55" s="30">
        <f>IF(TKB_Nhap!G55="","",IFERROR(T(INDEX(PhanCong!$B$3:$J$18,MATCH(TKB_Nhap!G55,PhanCong!$A$3:$A$18,0),MATCH($A55,PhanCong!$B$2:$J$2,0))),""))</f>
        <v/>
      </c>
      <c r="H55" s="30">
        <f>IF(TKB_Nhap!H55="","",IFERROR(T(INDEX(PhanCong!$B$3:$J$18,MATCH(TKB_Nhap!H55,PhanCong!$A$3:$A$18,0),MATCH($A55,PhanCong!$B$2:$J$2,0))),""))</f>
        <v/>
      </c>
      <c r="I55" s="30">
        <f>IF(TKB_Nhap!I55="","",IFERROR(T(INDEX(PhanCong!$B$3:$J$18,MATCH(TKB_Nhap!I55,PhanCong!$A$3:$A$18,0),MATCH($A55,PhanCong!$B$2:$J$2,0))),""))</f>
        <v/>
      </c>
      <c r="J55" s="30">
        <f>IF(TKB_Nhap!J55="","",IFERROR(T(INDEX(PhanCong!$B$3:$J$18,MATCH(TKB_Nhap!J55,PhanCong!$A$3:$A$18,0),MATCH($A55,PhanCong!$B$2:$J$2,0))),""))</f>
        <v/>
      </c>
      <c r="L55" s="39">
        <f>IF(D55="",0,IF(COUNTIFS($B$2:$B$73,$B55,$C$2:$C$73,$C55,D$2:D$73,D55)&gt;1,1,0))</f>
        <v/>
      </c>
      <c r="M55" s="39">
        <f>IF(E55="",0,IF(COUNTIFS($B$2:$B$73,$B55,$C$2:$C$73,$C55,E$2:E$73,E55)&gt;1,1,0))</f>
        <v/>
      </c>
      <c r="N55" s="39">
        <f>IF(F55="",0,IF(COUNTIFS($B$2:$B$73,$B55,$C$2:$C$73,$C55,F$2:F$73,F55)&gt;1,1,0))</f>
        <v/>
      </c>
      <c r="O55" s="39">
        <f>IF(G55="",0,IF(COUNTIFS($B$2:$B$73,$B55,$C$2:$C$73,$C55,G$2:G$73,G55)&gt;1,1,0))</f>
        <v/>
      </c>
      <c r="P55" s="39">
        <f>IF(H55="",0,IF(COUNTIFS($B$2:$B$73,$B55,$C$2:$C$73,$C55,H$2:H$73,H55)&gt;1,1,0))</f>
        <v/>
      </c>
      <c r="Q55" s="39">
        <f>IF(I55="",0,IF(COUNTIFS($B$2:$B$73,$B55,$C$2:$C$73,$C55,I$2:I$73,I55)&gt;1,1,0))</f>
        <v/>
      </c>
      <c r="R55" s="39">
        <f>IF(J55="",0,IF(COUNTIFS($B$2:$B$73,$B55,$C$2:$C$73,$C55,J$2:J$73,J55)&gt;1,1,0))</f>
        <v/>
      </c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IF(TKB_Nhap!D56="","",IFERROR(T(INDEX(PhanCong!$B$3:$J$18,MATCH(TKB_Nhap!D56,PhanCong!$A$3:$A$18,0),MATCH($A56,PhanCong!$B$2:$J$2,0))),""))</f>
        <v/>
      </c>
      <c r="E56" s="30">
        <f>IF(TKB_Nhap!E56="","",IFERROR(T(INDEX(PhanCong!$B$3:$J$18,MATCH(TKB_Nhap!E56,PhanCong!$A$3:$A$18,0),MATCH($A56,PhanCong!$B$2:$J$2,0))),""))</f>
        <v/>
      </c>
      <c r="F56" s="30">
        <f>IF(TKB_Nhap!F56="","",IFERROR(T(INDEX(PhanCong!$B$3:$J$18,MATCH(TKB_Nhap!F56,PhanCong!$A$3:$A$18,0),MATCH($A56,PhanCong!$B$2:$J$2,0))),""))</f>
        <v/>
      </c>
      <c r="G56" s="30">
        <f>IF(TKB_Nhap!G56="","",IFERROR(T(INDEX(PhanCong!$B$3:$J$18,MATCH(TKB_Nhap!G56,PhanCong!$A$3:$A$18,0),MATCH($A56,PhanCong!$B$2:$J$2,0))),""))</f>
        <v/>
      </c>
      <c r="H56" s="30">
        <f>IF(TKB_Nhap!H56="","",IFERROR(T(INDEX(PhanCong!$B$3:$J$18,MATCH(TKB_Nhap!H56,PhanCong!$A$3:$A$18,0),MATCH($A56,PhanCong!$B$2:$J$2,0))),""))</f>
        <v/>
      </c>
      <c r="I56" s="30">
        <f>IF(TKB_Nhap!I56="","",IFERROR(T(INDEX(PhanCong!$B$3:$J$18,MATCH(TKB_Nhap!I56,PhanCong!$A$3:$A$18,0),MATCH($A56,PhanCong!$B$2:$J$2,0))),""))</f>
        <v/>
      </c>
      <c r="J56" s="30">
        <f>IF(TKB_Nhap!J56="","",IFERROR(T(INDEX(PhanCong!$B$3:$J$18,MATCH(TKB_Nhap!J56,PhanCong!$A$3:$A$18,0),MATCH($A56,PhanCong!$B$2:$J$2,0))),""))</f>
        <v/>
      </c>
      <c r="L56" s="39">
        <f>IF(D56="",0,IF(COUNTIFS($B$2:$B$73,$B56,$C$2:$C$73,$C56,D$2:D$73,D56)&gt;1,1,0))</f>
        <v/>
      </c>
      <c r="M56" s="39">
        <f>IF(E56="",0,IF(COUNTIFS($B$2:$B$73,$B56,$C$2:$C$73,$C56,E$2:E$73,E56)&gt;1,1,0))</f>
        <v/>
      </c>
      <c r="N56" s="39">
        <f>IF(F56="",0,IF(COUNTIFS($B$2:$B$73,$B56,$C$2:$C$73,$C56,F$2:F$73,F56)&gt;1,1,0))</f>
        <v/>
      </c>
      <c r="O56" s="39">
        <f>IF(G56="",0,IF(COUNTIFS($B$2:$B$73,$B56,$C$2:$C$73,$C56,G$2:G$73,G56)&gt;1,1,0))</f>
        <v/>
      </c>
      <c r="P56" s="39">
        <f>IF(H56="",0,IF(COUNTIFS($B$2:$B$73,$B56,$C$2:$C$73,$C56,H$2:H$73,H56)&gt;1,1,0))</f>
        <v/>
      </c>
      <c r="Q56" s="39">
        <f>IF(I56="",0,IF(COUNTIFS($B$2:$B$73,$B56,$C$2:$C$73,$C56,I$2:I$73,I56)&gt;1,1,0))</f>
        <v/>
      </c>
      <c r="R56" s="39">
        <f>IF(J56="",0,IF(COUNTIFS($B$2:$B$73,$B56,$C$2:$C$73,$C56,J$2:J$73,J56)&gt;1,1,0))</f>
        <v/>
      </c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IF(TKB_Nhap!D57="","",IFERROR(T(INDEX(PhanCong!$B$3:$J$18,MATCH(TKB_Nhap!D57,PhanCong!$A$3:$A$18,0),MATCH($A57,PhanCong!$B$2:$J$2,0))),""))</f>
        <v/>
      </c>
      <c r="E57" s="30">
        <f>IF(TKB_Nhap!E57="","",IFERROR(T(INDEX(PhanCong!$B$3:$J$18,MATCH(TKB_Nhap!E57,PhanCong!$A$3:$A$18,0),MATCH($A57,PhanCong!$B$2:$J$2,0))),""))</f>
        <v/>
      </c>
      <c r="F57" s="30">
        <f>IF(TKB_Nhap!F57="","",IFERROR(T(INDEX(PhanCong!$B$3:$J$18,MATCH(TKB_Nhap!F57,PhanCong!$A$3:$A$18,0),MATCH($A57,PhanCong!$B$2:$J$2,0))),""))</f>
        <v/>
      </c>
      <c r="G57" s="30">
        <f>IF(TKB_Nhap!G57="","",IFERROR(T(INDEX(PhanCong!$B$3:$J$18,MATCH(TKB_Nhap!G57,PhanCong!$A$3:$A$18,0),MATCH($A57,PhanCong!$B$2:$J$2,0))),""))</f>
        <v/>
      </c>
      <c r="H57" s="30">
        <f>IF(TKB_Nhap!H57="","",IFERROR(T(INDEX(PhanCong!$B$3:$J$18,MATCH(TKB_Nhap!H57,PhanCong!$A$3:$A$18,0),MATCH($A57,PhanCong!$B$2:$J$2,0))),""))</f>
        <v/>
      </c>
      <c r="I57" s="30">
        <f>IF(TKB_Nhap!I57="","",IFERROR(T(INDEX(PhanCong!$B$3:$J$18,MATCH(TKB_Nhap!I57,PhanCong!$A$3:$A$18,0),MATCH($A57,PhanCong!$B$2:$J$2,0))),""))</f>
        <v/>
      </c>
      <c r="J57" s="30">
        <f>IF(TKB_Nhap!J57="","",IFERROR(T(INDEX(PhanCong!$B$3:$J$18,MATCH(TKB_Nhap!J57,PhanCong!$A$3:$A$18,0),MATCH($A57,PhanCong!$B$2:$J$2,0))),""))</f>
        <v/>
      </c>
      <c r="L57" s="39">
        <f>IF(D57="",0,IF(COUNTIFS($B$2:$B$73,$B57,$C$2:$C$73,$C57,D$2:D$73,D57)&gt;1,1,0))</f>
        <v/>
      </c>
      <c r="M57" s="39">
        <f>IF(E57="",0,IF(COUNTIFS($B$2:$B$73,$B57,$C$2:$C$73,$C57,E$2:E$73,E57)&gt;1,1,0))</f>
        <v/>
      </c>
      <c r="N57" s="39">
        <f>IF(F57="",0,IF(COUNTIFS($B$2:$B$73,$B57,$C$2:$C$73,$C57,F$2:F$73,F57)&gt;1,1,0))</f>
        <v/>
      </c>
      <c r="O57" s="39">
        <f>IF(G57="",0,IF(COUNTIFS($B$2:$B$73,$B57,$C$2:$C$73,$C57,G$2:G$73,G57)&gt;1,1,0))</f>
        <v/>
      </c>
      <c r="P57" s="39">
        <f>IF(H57="",0,IF(COUNTIFS($B$2:$B$73,$B57,$C$2:$C$73,$C57,H$2:H$73,H57)&gt;1,1,0))</f>
        <v/>
      </c>
      <c r="Q57" s="39">
        <f>IF(I57="",0,IF(COUNTIFS($B$2:$B$73,$B57,$C$2:$C$73,$C57,I$2:I$73,I57)&gt;1,1,0))</f>
        <v/>
      </c>
      <c r="R57" s="39">
        <f>IF(J57="",0,IF(COUNTIFS($B$2:$B$73,$B57,$C$2:$C$73,$C57,J$2:J$73,J57)&gt;1,1,0))</f>
        <v/>
      </c>
    </row>
    <row r="58" ht="15" customHeight="1">
      <c r="A58" s="36">
        <f>TKB_Nhap!A58</f>
        <v/>
      </c>
      <c r="B58" s="36">
        <f>TKB_Nhap!B58</f>
        <v/>
      </c>
      <c r="C58" s="36">
        <f>TKB_Nhap!C58</f>
        <v/>
      </c>
      <c r="D58" s="36">
        <f>IF(TKB_Nhap!D58="","",IFERROR(T(INDEX(PhanCong!$B$3:$J$18,MATCH(TKB_Nhap!D58,PhanCong!$A$3:$A$18,0),MATCH($A58,PhanCong!$B$2:$J$2,0))),""))</f>
        <v/>
      </c>
      <c r="E58" s="36">
        <f>IF(TKB_Nhap!E58="","",IFERROR(T(INDEX(PhanCong!$B$3:$J$18,MATCH(TKB_Nhap!E58,PhanCong!$A$3:$A$18,0),MATCH($A58,PhanCong!$B$2:$J$2,0))),""))</f>
        <v/>
      </c>
      <c r="F58" s="36">
        <f>IF(TKB_Nhap!F58="","",IFERROR(T(INDEX(PhanCong!$B$3:$J$18,MATCH(TKB_Nhap!F58,PhanCong!$A$3:$A$18,0),MATCH($A58,PhanCong!$B$2:$J$2,0))),""))</f>
        <v/>
      </c>
      <c r="G58" s="36">
        <f>IF(TKB_Nhap!G58="","",IFERROR(T(INDEX(PhanCong!$B$3:$J$18,MATCH(TKB_Nhap!G58,PhanCong!$A$3:$A$18,0),MATCH($A58,PhanCong!$B$2:$J$2,0))),""))</f>
        <v/>
      </c>
      <c r="H58" s="36">
        <f>IF(TKB_Nhap!H58="","",IFERROR(T(INDEX(PhanCong!$B$3:$J$18,MATCH(TKB_Nhap!H58,PhanCong!$A$3:$A$18,0),MATCH($A58,PhanCong!$B$2:$J$2,0))),""))</f>
        <v/>
      </c>
      <c r="I58" s="36">
        <f>IF(TKB_Nhap!I58="","",IFERROR(T(INDEX(PhanCong!$B$3:$J$18,MATCH(TKB_Nhap!I58,PhanCong!$A$3:$A$18,0),MATCH($A58,PhanCong!$B$2:$J$2,0))),""))</f>
        <v/>
      </c>
      <c r="J58" s="36">
        <f>IF(TKB_Nhap!J58="","",IFERROR(T(INDEX(PhanCong!$B$3:$J$18,MATCH(TKB_Nhap!J58,PhanCong!$A$3:$A$18,0),MATCH($A58,PhanCong!$B$2:$J$2,0))),""))</f>
        <v/>
      </c>
      <c r="L58" s="39">
        <f>IF(D58="",0,IF(COUNTIFS($B$2:$B$73,$B58,$C$2:$C$73,$C58,D$2:D$73,D58)&gt;1,1,0))</f>
        <v/>
      </c>
      <c r="M58" s="39">
        <f>IF(E58="",0,IF(COUNTIFS($B$2:$B$73,$B58,$C$2:$C$73,$C58,E$2:E$73,E58)&gt;1,1,0))</f>
        <v/>
      </c>
      <c r="N58" s="39">
        <f>IF(F58="",0,IF(COUNTIFS($B$2:$B$73,$B58,$C$2:$C$73,$C58,F$2:F$73,F58)&gt;1,1,0))</f>
        <v/>
      </c>
      <c r="O58" s="39">
        <f>IF(G58="",0,IF(COUNTIFS($B$2:$B$73,$B58,$C$2:$C$73,$C58,G$2:G$73,G58)&gt;1,1,0))</f>
        <v/>
      </c>
      <c r="P58" s="39">
        <f>IF(H58="",0,IF(COUNTIFS($B$2:$B$73,$B58,$C$2:$C$73,$C58,H$2:H$73,H58)&gt;1,1,0))</f>
        <v/>
      </c>
      <c r="Q58" s="39">
        <f>IF(I58="",0,IF(COUNTIFS($B$2:$B$73,$B58,$C$2:$C$73,$C58,I$2:I$73,I58)&gt;1,1,0))</f>
        <v/>
      </c>
      <c r="R58" s="39">
        <f>IF(J58="",0,IF(COUNTIFS($B$2:$B$73,$B58,$C$2:$C$73,$C58,J$2:J$73,J58)&gt;1,1,0))</f>
        <v/>
      </c>
    </row>
    <row r="59" ht="15" customHeight="1">
      <c r="A59" s="36">
        <f>TKB_Nhap!A59</f>
        <v/>
      </c>
      <c r="B59" s="36">
        <f>TKB_Nhap!B59</f>
        <v/>
      </c>
      <c r="C59" s="36">
        <f>TKB_Nhap!C59</f>
        <v/>
      </c>
      <c r="D59" s="36">
        <f>IF(TKB_Nhap!D59="","",IFERROR(T(INDEX(PhanCong!$B$3:$J$18,MATCH(TKB_Nhap!D59,PhanCong!$A$3:$A$18,0),MATCH($A59,PhanCong!$B$2:$J$2,0))),""))</f>
        <v/>
      </c>
      <c r="E59" s="36">
        <f>IF(TKB_Nhap!E59="","",IFERROR(T(INDEX(PhanCong!$B$3:$J$18,MATCH(TKB_Nhap!E59,PhanCong!$A$3:$A$18,0),MATCH($A59,PhanCong!$B$2:$J$2,0))),""))</f>
        <v/>
      </c>
      <c r="F59" s="36">
        <f>IF(TKB_Nhap!F59="","",IFERROR(T(INDEX(PhanCong!$B$3:$J$18,MATCH(TKB_Nhap!F59,PhanCong!$A$3:$A$18,0),MATCH($A59,PhanCong!$B$2:$J$2,0))),""))</f>
        <v/>
      </c>
      <c r="G59" s="36">
        <f>IF(TKB_Nhap!G59="","",IFERROR(T(INDEX(PhanCong!$B$3:$J$18,MATCH(TKB_Nhap!G59,PhanCong!$A$3:$A$18,0),MATCH($A59,PhanCong!$B$2:$J$2,0))),""))</f>
        <v/>
      </c>
      <c r="H59" s="36">
        <f>IF(TKB_Nhap!H59="","",IFERROR(T(INDEX(PhanCong!$B$3:$J$18,MATCH(TKB_Nhap!H59,PhanCong!$A$3:$A$18,0),MATCH($A59,PhanCong!$B$2:$J$2,0))),""))</f>
        <v/>
      </c>
      <c r="I59" s="36">
        <f>IF(TKB_Nhap!I59="","",IFERROR(T(INDEX(PhanCong!$B$3:$J$18,MATCH(TKB_Nhap!I59,PhanCong!$A$3:$A$18,0),MATCH($A59,PhanCong!$B$2:$J$2,0))),""))</f>
        <v/>
      </c>
      <c r="J59" s="36">
        <f>IF(TKB_Nhap!J59="","",IFERROR(T(INDEX(PhanCong!$B$3:$J$18,MATCH(TKB_Nhap!J59,PhanCong!$A$3:$A$18,0),MATCH($A59,PhanCong!$B$2:$J$2,0))),""))</f>
        <v/>
      </c>
      <c r="L59" s="39">
        <f>IF(D59="",0,IF(COUNTIFS($B$2:$B$73,$B59,$C$2:$C$73,$C59,D$2:D$73,D59)&gt;1,1,0))</f>
        <v/>
      </c>
      <c r="M59" s="39">
        <f>IF(E59="",0,IF(COUNTIFS($B$2:$B$73,$B59,$C$2:$C$73,$C59,E$2:E$73,E59)&gt;1,1,0))</f>
        <v/>
      </c>
      <c r="N59" s="39">
        <f>IF(F59="",0,IF(COUNTIFS($B$2:$B$73,$B59,$C$2:$C$73,$C59,F$2:F$73,F59)&gt;1,1,0))</f>
        <v/>
      </c>
      <c r="O59" s="39">
        <f>IF(G59="",0,IF(COUNTIFS($B$2:$B$73,$B59,$C$2:$C$73,$C59,G$2:G$73,G59)&gt;1,1,0))</f>
        <v/>
      </c>
      <c r="P59" s="39">
        <f>IF(H59="",0,IF(COUNTIFS($B$2:$B$73,$B59,$C$2:$C$73,$C59,H$2:H$73,H59)&gt;1,1,0))</f>
        <v/>
      </c>
      <c r="Q59" s="39">
        <f>IF(I59="",0,IF(COUNTIFS($B$2:$B$73,$B59,$C$2:$C$73,$C59,I$2:I$73,I59)&gt;1,1,0))</f>
        <v/>
      </c>
      <c r="R59" s="39">
        <f>IF(J59="",0,IF(COUNTIFS($B$2:$B$73,$B59,$C$2:$C$73,$C59,J$2:J$73,J59)&gt;1,1,0))</f>
        <v/>
      </c>
    </row>
    <row r="60" ht="15" customHeight="1">
      <c r="A60" s="36">
        <f>TKB_Nhap!A60</f>
        <v/>
      </c>
      <c r="B60" s="36">
        <f>TKB_Nhap!B60</f>
        <v/>
      </c>
      <c r="C60" s="36">
        <f>TKB_Nhap!C60</f>
        <v/>
      </c>
      <c r="D60" s="36">
        <f>IF(TKB_Nhap!D60="","",IFERROR(T(INDEX(PhanCong!$B$3:$J$18,MATCH(TKB_Nhap!D60,PhanCong!$A$3:$A$18,0),MATCH($A60,PhanCong!$B$2:$J$2,0))),""))</f>
        <v/>
      </c>
      <c r="E60" s="36">
        <f>IF(TKB_Nhap!E60="","",IFERROR(T(INDEX(PhanCong!$B$3:$J$18,MATCH(TKB_Nhap!E60,PhanCong!$A$3:$A$18,0),MATCH($A60,PhanCong!$B$2:$J$2,0))),""))</f>
        <v/>
      </c>
      <c r="F60" s="36">
        <f>IF(TKB_Nhap!F60="","",IFERROR(T(INDEX(PhanCong!$B$3:$J$18,MATCH(TKB_Nhap!F60,PhanCong!$A$3:$A$18,0),MATCH($A60,PhanCong!$B$2:$J$2,0))),""))</f>
        <v/>
      </c>
      <c r="G60" s="36">
        <f>IF(TKB_Nhap!G60="","",IFERROR(T(INDEX(PhanCong!$B$3:$J$18,MATCH(TKB_Nhap!G60,PhanCong!$A$3:$A$18,0),MATCH($A60,PhanCong!$B$2:$J$2,0))),""))</f>
        <v/>
      </c>
      <c r="H60" s="36">
        <f>IF(TKB_Nhap!H60="","",IFERROR(T(INDEX(PhanCong!$B$3:$J$18,MATCH(TKB_Nhap!H60,PhanCong!$A$3:$A$18,0),MATCH($A60,PhanCong!$B$2:$J$2,0))),""))</f>
        <v/>
      </c>
      <c r="I60" s="36">
        <f>IF(TKB_Nhap!I60="","",IFERROR(T(INDEX(PhanCong!$B$3:$J$18,MATCH(TKB_Nhap!I60,PhanCong!$A$3:$A$18,0),MATCH($A60,PhanCong!$B$2:$J$2,0))),""))</f>
        <v/>
      </c>
      <c r="J60" s="36">
        <f>IF(TKB_Nhap!J60="","",IFERROR(T(INDEX(PhanCong!$B$3:$J$18,MATCH(TKB_Nhap!J60,PhanCong!$A$3:$A$18,0),MATCH($A60,PhanCong!$B$2:$J$2,0))),""))</f>
        <v/>
      </c>
      <c r="L60" s="39">
        <f>IF(D60="",0,IF(COUNTIFS($B$2:$B$73,$B60,$C$2:$C$73,$C60,D$2:D$73,D60)&gt;1,1,0))</f>
        <v/>
      </c>
      <c r="M60" s="39">
        <f>IF(E60="",0,IF(COUNTIFS($B$2:$B$73,$B60,$C$2:$C$73,$C60,E$2:E$73,E60)&gt;1,1,0))</f>
        <v/>
      </c>
      <c r="N60" s="39">
        <f>IF(F60="",0,IF(COUNTIFS($B$2:$B$73,$B60,$C$2:$C$73,$C60,F$2:F$73,F60)&gt;1,1,0))</f>
        <v/>
      </c>
      <c r="O60" s="39">
        <f>IF(G60="",0,IF(COUNTIFS($B$2:$B$73,$B60,$C$2:$C$73,$C60,G$2:G$73,G60)&gt;1,1,0))</f>
        <v/>
      </c>
      <c r="P60" s="39">
        <f>IF(H60="",0,IF(COUNTIFS($B$2:$B$73,$B60,$C$2:$C$73,$C60,H$2:H$73,H60)&gt;1,1,0))</f>
        <v/>
      </c>
      <c r="Q60" s="39">
        <f>IF(I60="",0,IF(COUNTIFS($B$2:$B$73,$B60,$C$2:$C$73,$C60,I$2:I$73,I60)&gt;1,1,0))</f>
        <v/>
      </c>
      <c r="R60" s="39">
        <f>IF(J60="",0,IF(COUNTIFS($B$2:$B$73,$B60,$C$2:$C$73,$C60,J$2:J$73,J60)&gt;1,1,0))</f>
        <v/>
      </c>
    </row>
    <row r="61" ht="15" customHeight="1">
      <c r="A61" s="36">
        <f>TKB_Nhap!A61</f>
        <v/>
      </c>
      <c r="B61" s="36">
        <f>TKB_Nhap!B61</f>
        <v/>
      </c>
      <c r="C61" s="36">
        <f>TKB_Nhap!C61</f>
        <v/>
      </c>
      <c r="D61" s="36">
        <f>IF(TKB_Nhap!D61="","",IFERROR(T(INDEX(PhanCong!$B$3:$J$18,MATCH(TKB_Nhap!D61,PhanCong!$A$3:$A$18,0),MATCH($A61,PhanCong!$B$2:$J$2,0))),""))</f>
        <v/>
      </c>
      <c r="E61" s="36">
        <f>IF(TKB_Nhap!E61="","",IFERROR(T(INDEX(PhanCong!$B$3:$J$18,MATCH(TKB_Nhap!E61,PhanCong!$A$3:$A$18,0),MATCH($A61,PhanCong!$B$2:$J$2,0))),""))</f>
        <v/>
      </c>
      <c r="F61" s="36">
        <f>IF(TKB_Nhap!F61="","",IFERROR(T(INDEX(PhanCong!$B$3:$J$18,MATCH(TKB_Nhap!F61,PhanCong!$A$3:$A$18,0),MATCH($A61,PhanCong!$B$2:$J$2,0))),""))</f>
        <v/>
      </c>
      <c r="G61" s="36">
        <f>IF(TKB_Nhap!G61="","",IFERROR(T(INDEX(PhanCong!$B$3:$J$18,MATCH(TKB_Nhap!G61,PhanCong!$A$3:$A$18,0),MATCH($A61,PhanCong!$B$2:$J$2,0))),""))</f>
        <v/>
      </c>
      <c r="H61" s="36">
        <f>IF(TKB_Nhap!H61="","",IFERROR(T(INDEX(PhanCong!$B$3:$J$18,MATCH(TKB_Nhap!H61,PhanCong!$A$3:$A$18,0),MATCH($A61,PhanCong!$B$2:$J$2,0))),""))</f>
        <v/>
      </c>
      <c r="I61" s="36">
        <f>IF(TKB_Nhap!I61="","",IFERROR(T(INDEX(PhanCong!$B$3:$J$18,MATCH(TKB_Nhap!I61,PhanCong!$A$3:$A$18,0),MATCH($A61,PhanCong!$B$2:$J$2,0))),""))</f>
        <v/>
      </c>
      <c r="J61" s="36">
        <f>IF(TKB_Nhap!J61="","",IFERROR(T(INDEX(PhanCong!$B$3:$J$18,MATCH(TKB_Nhap!J61,PhanCong!$A$3:$A$18,0),MATCH($A61,PhanCong!$B$2:$J$2,0))),""))</f>
        <v/>
      </c>
      <c r="L61" s="39">
        <f>IF(D61="",0,IF(COUNTIFS($B$2:$B$73,$B61,$C$2:$C$73,$C61,D$2:D$73,D61)&gt;1,1,0))</f>
        <v/>
      </c>
      <c r="M61" s="39">
        <f>IF(E61="",0,IF(COUNTIFS($B$2:$B$73,$B61,$C$2:$C$73,$C61,E$2:E$73,E61)&gt;1,1,0))</f>
        <v/>
      </c>
      <c r="N61" s="39">
        <f>IF(F61="",0,IF(COUNTIFS($B$2:$B$73,$B61,$C$2:$C$73,$C61,F$2:F$73,F61)&gt;1,1,0))</f>
        <v/>
      </c>
      <c r="O61" s="39">
        <f>IF(G61="",0,IF(COUNTIFS($B$2:$B$73,$B61,$C$2:$C$73,$C61,G$2:G$73,G61)&gt;1,1,0))</f>
        <v/>
      </c>
      <c r="P61" s="39">
        <f>IF(H61="",0,IF(COUNTIFS($B$2:$B$73,$B61,$C$2:$C$73,$C61,H$2:H$73,H61)&gt;1,1,0))</f>
        <v/>
      </c>
      <c r="Q61" s="39">
        <f>IF(I61="",0,IF(COUNTIFS($B$2:$B$73,$B61,$C$2:$C$73,$C61,I$2:I$73,I61)&gt;1,1,0))</f>
        <v/>
      </c>
      <c r="R61" s="39">
        <f>IF(J61="",0,IF(COUNTIFS($B$2:$B$73,$B61,$C$2:$C$73,$C61,J$2:J$73,J61)&gt;1,1,0))</f>
        <v/>
      </c>
    </row>
    <row r="62" ht="15" customHeight="1">
      <c r="A62" s="36">
        <f>TKB_Nhap!A62</f>
        <v/>
      </c>
      <c r="B62" s="36">
        <f>TKB_Nhap!B62</f>
        <v/>
      </c>
      <c r="C62" s="36">
        <f>TKB_Nhap!C62</f>
        <v/>
      </c>
      <c r="D62" s="36">
        <f>IF(TKB_Nhap!D62="","",IFERROR(T(INDEX(PhanCong!$B$3:$J$18,MATCH(TKB_Nhap!D62,PhanCong!$A$3:$A$18,0),MATCH($A62,PhanCong!$B$2:$J$2,0))),""))</f>
        <v/>
      </c>
      <c r="E62" s="36">
        <f>IF(TKB_Nhap!E62="","",IFERROR(T(INDEX(PhanCong!$B$3:$J$18,MATCH(TKB_Nhap!E62,PhanCong!$A$3:$A$18,0),MATCH($A62,PhanCong!$B$2:$J$2,0))),""))</f>
        <v/>
      </c>
      <c r="F62" s="36">
        <f>IF(TKB_Nhap!F62="","",IFERROR(T(INDEX(PhanCong!$B$3:$J$18,MATCH(TKB_Nhap!F62,PhanCong!$A$3:$A$18,0),MATCH($A62,PhanCong!$B$2:$J$2,0))),""))</f>
        <v/>
      </c>
      <c r="G62" s="36">
        <f>IF(TKB_Nhap!G62="","",IFERROR(T(INDEX(PhanCong!$B$3:$J$18,MATCH(TKB_Nhap!G62,PhanCong!$A$3:$A$18,0),MATCH($A62,PhanCong!$B$2:$J$2,0))),""))</f>
        <v/>
      </c>
      <c r="H62" s="36">
        <f>IF(TKB_Nhap!H62="","",IFERROR(T(INDEX(PhanCong!$B$3:$J$18,MATCH(TKB_Nhap!H62,PhanCong!$A$3:$A$18,0),MATCH($A62,PhanCong!$B$2:$J$2,0))),""))</f>
        <v/>
      </c>
      <c r="I62" s="36">
        <f>IF(TKB_Nhap!I62="","",IFERROR(T(INDEX(PhanCong!$B$3:$J$18,MATCH(TKB_Nhap!I62,PhanCong!$A$3:$A$18,0),MATCH($A62,PhanCong!$B$2:$J$2,0))),""))</f>
        <v/>
      </c>
      <c r="J62" s="36">
        <f>IF(TKB_Nhap!J62="","",IFERROR(T(INDEX(PhanCong!$B$3:$J$18,MATCH(TKB_Nhap!J62,PhanCong!$A$3:$A$18,0),MATCH($A62,PhanCong!$B$2:$J$2,0))),""))</f>
        <v/>
      </c>
      <c r="L62" s="39">
        <f>IF(D62="",0,IF(COUNTIFS($B$2:$B$73,$B62,$C$2:$C$73,$C62,D$2:D$73,D62)&gt;1,1,0))</f>
        <v/>
      </c>
      <c r="M62" s="39">
        <f>IF(E62="",0,IF(COUNTIFS($B$2:$B$73,$B62,$C$2:$C$73,$C62,E$2:E$73,E62)&gt;1,1,0))</f>
        <v/>
      </c>
      <c r="N62" s="39">
        <f>IF(F62="",0,IF(COUNTIFS($B$2:$B$73,$B62,$C$2:$C$73,$C62,F$2:F$73,F62)&gt;1,1,0))</f>
        <v/>
      </c>
      <c r="O62" s="39">
        <f>IF(G62="",0,IF(COUNTIFS($B$2:$B$73,$B62,$C$2:$C$73,$C62,G$2:G$73,G62)&gt;1,1,0))</f>
        <v/>
      </c>
      <c r="P62" s="39">
        <f>IF(H62="",0,IF(COUNTIFS($B$2:$B$73,$B62,$C$2:$C$73,$C62,H$2:H$73,H62)&gt;1,1,0))</f>
        <v/>
      </c>
      <c r="Q62" s="39">
        <f>IF(I62="",0,IF(COUNTIFS($B$2:$B$73,$B62,$C$2:$C$73,$C62,I$2:I$73,I62)&gt;1,1,0))</f>
        <v/>
      </c>
      <c r="R62" s="39">
        <f>IF(J62="",0,IF(COUNTIFS($B$2:$B$73,$B62,$C$2:$C$73,$C62,J$2:J$73,J62)&gt;1,1,0))</f>
        <v/>
      </c>
    </row>
    <row r="63" ht="15" customHeight="1">
      <c r="A63" s="36">
        <f>TKB_Nhap!A63</f>
        <v/>
      </c>
      <c r="B63" s="36">
        <f>TKB_Nhap!B63</f>
        <v/>
      </c>
      <c r="C63" s="36">
        <f>TKB_Nhap!C63</f>
        <v/>
      </c>
      <c r="D63" s="36">
        <f>IF(TKB_Nhap!D63="","",IFERROR(T(INDEX(PhanCong!$B$3:$J$18,MATCH(TKB_Nhap!D63,PhanCong!$A$3:$A$18,0),MATCH($A63,PhanCong!$B$2:$J$2,0))),""))</f>
        <v/>
      </c>
      <c r="E63" s="36">
        <f>IF(TKB_Nhap!E63="","",IFERROR(T(INDEX(PhanCong!$B$3:$J$18,MATCH(TKB_Nhap!E63,PhanCong!$A$3:$A$18,0),MATCH($A63,PhanCong!$B$2:$J$2,0))),""))</f>
        <v/>
      </c>
      <c r="F63" s="36">
        <f>IF(TKB_Nhap!F63="","",IFERROR(T(INDEX(PhanCong!$B$3:$J$18,MATCH(TKB_Nhap!F63,PhanCong!$A$3:$A$18,0),MATCH($A63,PhanCong!$B$2:$J$2,0))),""))</f>
        <v/>
      </c>
      <c r="G63" s="36">
        <f>IF(TKB_Nhap!G63="","",IFERROR(T(INDEX(PhanCong!$B$3:$J$18,MATCH(TKB_Nhap!G63,PhanCong!$A$3:$A$18,0),MATCH($A63,PhanCong!$B$2:$J$2,0))),""))</f>
        <v/>
      </c>
      <c r="H63" s="36">
        <f>IF(TKB_Nhap!H63="","",IFERROR(T(INDEX(PhanCong!$B$3:$J$18,MATCH(TKB_Nhap!H63,PhanCong!$A$3:$A$18,0),MATCH($A63,PhanCong!$B$2:$J$2,0))),""))</f>
        <v/>
      </c>
      <c r="I63" s="36">
        <f>IF(TKB_Nhap!I63="","",IFERROR(T(INDEX(PhanCong!$B$3:$J$18,MATCH(TKB_Nhap!I63,PhanCong!$A$3:$A$18,0),MATCH($A63,PhanCong!$B$2:$J$2,0))),""))</f>
        <v/>
      </c>
      <c r="J63" s="36">
        <f>IF(TKB_Nhap!J63="","",IFERROR(T(INDEX(PhanCong!$B$3:$J$18,MATCH(TKB_Nhap!J63,PhanCong!$A$3:$A$18,0),MATCH($A63,PhanCong!$B$2:$J$2,0))),""))</f>
        <v/>
      </c>
      <c r="L63" s="39">
        <f>IF(D63="",0,IF(COUNTIFS($B$2:$B$73,$B63,$C$2:$C$73,$C63,D$2:D$73,D63)&gt;1,1,0))</f>
        <v/>
      </c>
      <c r="M63" s="39">
        <f>IF(E63="",0,IF(COUNTIFS($B$2:$B$73,$B63,$C$2:$C$73,$C63,E$2:E$73,E63)&gt;1,1,0))</f>
        <v/>
      </c>
      <c r="N63" s="39">
        <f>IF(F63="",0,IF(COUNTIFS($B$2:$B$73,$B63,$C$2:$C$73,$C63,F$2:F$73,F63)&gt;1,1,0))</f>
        <v/>
      </c>
      <c r="O63" s="39">
        <f>IF(G63="",0,IF(COUNTIFS($B$2:$B$73,$B63,$C$2:$C$73,$C63,G$2:G$73,G63)&gt;1,1,0))</f>
        <v/>
      </c>
      <c r="P63" s="39">
        <f>IF(H63="",0,IF(COUNTIFS($B$2:$B$73,$B63,$C$2:$C$73,$C63,H$2:H$73,H63)&gt;1,1,0))</f>
        <v/>
      </c>
      <c r="Q63" s="39">
        <f>IF(I63="",0,IF(COUNTIFS($B$2:$B$73,$B63,$C$2:$C$73,$C63,I$2:I$73,I63)&gt;1,1,0))</f>
        <v/>
      </c>
      <c r="R63" s="39">
        <f>IF(J63="",0,IF(COUNTIFS($B$2:$B$73,$B63,$C$2:$C$73,$C63,J$2:J$73,J63)&gt;1,1,0))</f>
        <v/>
      </c>
    </row>
    <row r="64" ht="15" customHeight="1">
      <c r="A64" s="36">
        <f>TKB_Nhap!A64</f>
        <v/>
      </c>
      <c r="B64" s="36">
        <f>TKB_Nhap!B64</f>
        <v/>
      </c>
      <c r="C64" s="36">
        <f>TKB_Nhap!C64</f>
        <v/>
      </c>
      <c r="D64" s="36">
        <f>IF(TKB_Nhap!D64="","",IFERROR(T(INDEX(PhanCong!$B$3:$J$18,MATCH(TKB_Nhap!D64,PhanCong!$A$3:$A$18,0),MATCH($A64,PhanCong!$B$2:$J$2,0))),""))</f>
        <v/>
      </c>
      <c r="E64" s="36">
        <f>IF(TKB_Nhap!E64="","",IFERROR(T(INDEX(PhanCong!$B$3:$J$18,MATCH(TKB_Nhap!E64,PhanCong!$A$3:$A$18,0),MATCH($A64,PhanCong!$B$2:$J$2,0))),""))</f>
        <v/>
      </c>
      <c r="F64" s="36">
        <f>IF(TKB_Nhap!F64="","",IFERROR(T(INDEX(PhanCong!$B$3:$J$18,MATCH(TKB_Nhap!F64,PhanCong!$A$3:$A$18,0),MATCH($A64,PhanCong!$B$2:$J$2,0))),""))</f>
        <v/>
      </c>
      <c r="G64" s="36">
        <f>IF(TKB_Nhap!G64="","",IFERROR(T(INDEX(PhanCong!$B$3:$J$18,MATCH(TKB_Nhap!G64,PhanCong!$A$3:$A$18,0),MATCH($A64,PhanCong!$B$2:$J$2,0))),""))</f>
        <v/>
      </c>
      <c r="H64" s="36">
        <f>IF(TKB_Nhap!H64="","",IFERROR(T(INDEX(PhanCong!$B$3:$J$18,MATCH(TKB_Nhap!H64,PhanCong!$A$3:$A$18,0),MATCH($A64,PhanCong!$B$2:$J$2,0))),""))</f>
        <v/>
      </c>
      <c r="I64" s="36">
        <f>IF(TKB_Nhap!I64="","",IFERROR(T(INDEX(PhanCong!$B$3:$J$18,MATCH(TKB_Nhap!I64,PhanCong!$A$3:$A$18,0),MATCH($A64,PhanCong!$B$2:$J$2,0))),""))</f>
        <v/>
      </c>
      <c r="J64" s="36">
        <f>IF(TKB_Nhap!J64="","",IFERROR(T(INDEX(PhanCong!$B$3:$J$18,MATCH(TKB_Nhap!J64,PhanCong!$A$3:$A$18,0),MATCH($A64,PhanCong!$B$2:$J$2,0))),""))</f>
        <v/>
      </c>
      <c r="L64" s="39">
        <f>IF(D64="",0,IF(COUNTIFS($B$2:$B$73,$B64,$C$2:$C$73,$C64,D$2:D$73,D64)&gt;1,1,0))</f>
        <v/>
      </c>
      <c r="M64" s="39">
        <f>IF(E64="",0,IF(COUNTIFS($B$2:$B$73,$B64,$C$2:$C$73,$C64,E$2:E$73,E64)&gt;1,1,0))</f>
        <v/>
      </c>
      <c r="N64" s="39">
        <f>IF(F64="",0,IF(COUNTIFS($B$2:$B$73,$B64,$C$2:$C$73,$C64,F$2:F$73,F64)&gt;1,1,0))</f>
        <v/>
      </c>
      <c r="O64" s="39">
        <f>IF(G64="",0,IF(COUNTIFS($B$2:$B$73,$B64,$C$2:$C$73,$C64,G$2:G$73,G64)&gt;1,1,0))</f>
        <v/>
      </c>
      <c r="P64" s="39">
        <f>IF(H64="",0,IF(COUNTIFS($B$2:$B$73,$B64,$C$2:$C$73,$C64,H$2:H$73,H64)&gt;1,1,0))</f>
        <v/>
      </c>
      <c r="Q64" s="39">
        <f>IF(I64="",0,IF(COUNTIFS($B$2:$B$73,$B64,$C$2:$C$73,$C64,I$2:I$73,I64)&gt;1,1,0))</f>
        <v/>
      </c>
      <c r="R64" s="39">
        <f>IF(J64="",0,IF(COUNTIFS($B$2:$B$73,$B64,$C$2:$C$73,$C64,J$2:J$73,J64)&gt;1,1,0))</f>
        <v/>
      </c>
    </row>
    <row r="65" ht="15" customHeight="1">
      <c r="A65" s="36">
        <f>TKB_Nhap!A65</f>
        <v/>
      </c>
      <c r="B65" s="36">
        <f>TKB_Nhap!B65</f>
        <v/>
      </c>
      <c r="C65" s="36">
        <f>TKB_Nhap!C65</f>
        <v/>
      </c>
      <c r="D65" s="36">
        <f>IF(TKB_Nhap!D65="","",IFERROR(T(INDEX(PhanCong!$B$3:$J$18,MATCH(TKB_Nhap!D65,PhanCong!$A$3:$A$18,0),MATCH($A65,PhanCong!$B$2:$J$2,0))),""))</f>
        <v/>
      </c>
      <c r="E65" s="36">
        <f>IF(TKB_Nhap!E65="","",IFERROR(T(INDEX(PhanCong!$B$3:$J$18,MATCH(TKB_Nhap!E65,PhanCong!$A$3:$A$18,0),MATCH($A65,PhanCong!$B$2:$J$2,0))),""))</f>
        <v/>
      </c>
      <c r="F65" s="36">
        <f>IF(TKB_Nhap!F65="","",IFERROR(T(INDEX(PhanCong!$B$3:$J$18,MATCH(TKB_Nhap!F65,PhanCong!$A$3:$A$18,0),MATCH($A65,PhanCong!$B$2:$J$2,0))),""))</f>
        <v/>
      </c>
      <c r="G65" s="36">
        <f>IF(TKB_Nhap!G65="","",IFERROR(T(INDEX(PhanCong!$B$3:$J$18,MATCH(TKB_Nhap!G65,PhanCong!$A$3:$A$18,0),MATCH($A65,PhanCong!$B$2:$J$2,0))),""))</f>
        <v/>
      </c>
      <c r="H65" s="36">
        <f>IF(TKB_Nhap!H65="","",IFERROR(T(INDEX(PhanCong!$B$3:$J$18,MATCH(TKB_Nhap!H65,PhanCong!$A$3:$A$18,0),MATCH($A65,PhanCong!$B$2:$J$2,0))),""))</f>
        <v/>
      </c>
      <c r="I65" s="36">
        <f>IF(TKB_Nhap!I65="","",IFERROR(T(INDEX(PhanCong!$B$3:$J$18,MATCH(TKB_Nhap!I65,PhanCong!$A$3:$A$18,0),MATCH($A65,PhanCong!$B$2:$J$2,0))),""))</f>
        <v/>
      </c>
      <c r="J65" s="36">
        <f>IF(TKB_Nhap!J65="","",IFERROR(T(INDEX(PhanCong!$B$3:$J$18,MATCH(TKB_Nhap!J65,PhanCong!$A$3:$A$18,0),MATCH($A65,PhanCong!$B$2:$J$2,0))),""))</f>
        <v/>
      </c>
      <c r="L65" s="39">
        <f>IF(D65="",0,IF(COUNTIFS($B$2:$B$73,$B65,$C$2:$C$73,$C65,D$2:D$73,D65)&gt;1,1,0))</f>
        <v/>
      </c>
      <c r="M65" s="39">
        <f>IF(E65="",0,IF(COUNTIFS($B$2:$B$73,$B65,$C$2:$C$73,$C65,E$2:E$73,E65)&gt;1,1,0))</f>
        <v/>
      </c>
      <c r="N65" s="39">
        <f>IF(F65="",0,IF(COUNTIFS($B$2:$B$73,$B65,$C$2:$C$73,$C65,F$2:F$73,F65)&gt;1,1,0))</f>
        <v/>
      </c>
      <c r="O65" s="39">
        <f>IF(G65="",0,IF(COUNTIFS($B$2:$B$73,$B65,$C$2:$C$73,$C65,G$2:G$73,G65)&gt;1,1,0))</f>
        <v/>
      </c>
      <c r="P65" s="39">
        <f>IF(H65="",0,IF(COUNTIFS($B$2:$B$73,$B65,$C$2:$C$73,$C65,H$2:H$73,H65)&gt;1,1,0))</f>
        <v/>
      </c>
      <c r="Q65" s="39">
        <f>IF(I65="",0,IF(COUNTIFS($B$2:$B$73,$B65,$C$2:$C$73,$C65,I$2:I$73,I65)&gt;1,1,0))</f>
        <v/>
      </c>
      <c r="R65" s="39">
        <f>IF(J65="",0,IF(COUNTIFS($B$2:$B$73,$B65,$C$2:$C$73,$C65,J$2:J$73,J65)&gt;1,1,0))</f>
        <v/>
      </c>
    </row>
    <row r="66" ht="15" customHeight="1">
      <c r="A66" s="30">
        <f>TKB_Nhap!A66</f>
        <v/>
      </c>
      <c r="B66" s="30">
        <f>TKB_Nhap!B66</f>
        <v/>
      </c>
      <c r="C66" s="30">
        <f>TKB_Nhap!C66</f>
        <v/>
      </c>
      <c r="D66" s="30">
        <f>IF(TKB_Nhap!D66="","",IFERROR(T(INDEX(PhanCong!$B$3:$J$18,MATCH(TKB_Nhap!D66,PhanCong!$A$3:$A$18,0),MATCH($A66,PhanCong!$B$2:$J$2,0))),""))</f>
        <v/>
      </c>
      <c r="E66" s="30">
        <f>IF(TKB_Nhap!E66="","",IFERROR(T(INDEX(PhanCong!$B$3:$J$18,MATCH(TKB_Nhap!E66,PhanCong!$A$3:$A$18,0),MATCH($A66,PhanCong!$B$2:$J$2,0))),""))</f>
        <v/>
      </c>
      <c r="F66" s="30">
        <f>IF(TKB_Nhap!F66="","",IFERROR(T(INDEX(PhanCong!$B$3:$J$18,MATCH(TKB_Nhap!F66,PhanCong!$A$3:$A$18,0),MATCH($A66,PhanCong!$B$2:$J$2,0))),""))</f>
        <v/>
      </c>
      <c r="G66" s="30">
        <f>IF(TKB_Nhap!G66="","",IFERROR(T(INDEX(PhanCong!$B$3:$J$18,MATCH(TKB_Nhap!G66,PhanCong!$A$3:$A$18,0),MATCH($A66,PhanCong!$B$2:$J$2,0))),""))</f>
        <v/>
      </c>
      <c r="H66" s="30">
        <f>IF(TKB_Nhap!H66="","",IFERROR(T(INDEX(PhanCong!$B$3:$J$18,MATCH(TKB_Nhap!H66,PhanCong!$A$3:$A$18,0),MATCH($A66,PhanCong!$B$2:$J$2,0))),""))</f>
        <v/>
      </c>
      <c r="I66" s="30">
        <f>IF(TKB_Nhap!I66="","",IFERROR(T(INDEX(PhanCong!$B$3:$J$18,MATCH(TKB_Nhap!I66,PhanCong!$A$3:$A$18,0),MATCH($A66,PhanCong!$B$2:$J$2,0))),""))</f>
        <v/>
      </c>
      <c r="J66" s="30">
        <f>IF(TKB_Nhap!J66="","",IFERROR(T(INDEX(PhanCong!$B$3:$J$18,MATCH(TKB_Nhap!J66,PhanCong!$A$3:$A$18,0),MATCH($A66,PhanCong!$B$2:$J$2,0))),""))</f>
        <v/>
      </c>
      <c r="L66" s="39">
        <f>IF(D66="",0,IF(COUNTIFS($B$2:$B$73,$B66,$C$2:$C$73,$C66,D$2:D$73,D66)&gt;1,1,0))</f>
        <v/>
      </c>
      <c r="M66" s="39">
        <f>IF(E66="",0,IF(COUNTIFS($B$2:$B$73,$B66,$C$2:$C$73,$C66,E$2:E$73,E66)&gt;1,1,0))</f>
        <v/>
      </c>
      <c r="N66" s="39">
        <f>IF(F66="",0,IF(COUNTIFS($B$2:$B$73,$B66,$C$2:$C$73,$C66,F$2:F$73,F66)&gt;1,1,0))</f>
        <v/>
      </c>
      <c r="O66" s="39">
        <f>IF(G66="",0,IF(COUNTIFS($B$2:$B$73,$B66,$C$2:$C$73,$C66,G$2:G$73,G66)&gt;1,1,0))</f>
        <v/>
      </c>
      <c r="P66" s="39">
        <f>IF(H66="",0,IF(COUNTIFS($B$2:$B$73,$B66,$C$2:$C$73,$C66,H$2:H$73,H66)&gt;1,1,0))</f>
        <v/>
      </c>
      <c r="Q66" s="39">
        <f>IF(I66="",0,IF(COUNTIFS($B$2:$B$73,$B66,$C$2:$C$73,$C66,I$2:I$73,I66)&gt;1,1,0))</f>
        <v/>
      </c>
      <c r="R66" s="39">
        <f>IF(J66="",0,IF(COUNTIFS($B$2:$B$73,$B66,$C$2:$C$73,$C66,J$2:J$73,J66)&gt;1,1,0))</f>
        <v/>
      </c>
    </row>
    <row r="67" ht="15" customHeight="1">
      <c r="A67" s="30">
        <f>TKB_Nhap!A67</f>
        <v/>
      </c>
      <c r="B67" s="30">
        <f>TKB_Nhap!B67</f>
        <v/>
      </c>
      <c r="C67" s="30">
        <f>TKB_Nhap!C67</f>
        <v/>
      </c>
      <c r="D67" s="30">
        <f>IF(TKB_Nhap!D67="","",IFERROR(T(INDEX(PhanCong!$B$3:$J$18,MATCH(TKB_Nhap!D67,PhanCong!$A$3:$A$18,0),MATCH($A67,PhanCong!$B$2:$J$2,0))),""))</f>
        <v/>
      </c>
      <c r="E67" s="30">
        <f>IF(TKB_Nhap!E67="","",IFERROR(T(INDEX(PhanCong!$B$3:$J$18,MATCH(TKB_Nhap!E67,PhanCong!$A$3:$A$18,0),MATCH($A67,PhanCong!$B$2:$J$2,0))),""))</f>
        <v/>
      </c>
      <c r="F67" s="30">
        <f>IF(TKB_Nhap!F67="","",IFERROR(T(INDEX(PhanCong!$B$3:$J$18,MATCH(TKB_Nhap!F67,PhanCong!$A$3:$A$18,0),MATCH($A67,PhanCong!$B$2:$J$2,0))),""))</f>
        <v/>
      </c>
      <c r="G67" s="30">
        <f>IF(TKB_Nhap!G67="","",IFERROR(T(INDEX(PhanCong!$B$3:$J$18,MATCH(TKB_Nhap!G67,PhanCong!$A$3:$A$18,0),MATCH($A67,PhanCong!$B$2:$J$2,0))),""))</f>
        <v/>
      </c>
      <c r="H67" s="30">
        <f>IF(TKB_Nhap!H67="","",IFERROR(T(INDEX(PhanCong!$B$3:$J$18,MATCH(TKB_Nhap!H67,PhanCong!$A$3:$A$18,0),MATCH($A67,PhanCong!$B$2:$J$2,0))),""))</f>
        <v/>
      </c>
      <c r="I67" s="30">
        <f>IF(TKB_Nhap!I67="","",IFERROR(T(INDEX(PhanCong!$B$3:$J$18,MATCH(TKB_Nhap!I67,PhanCong!$A$3:$A$18,0),MATCH($A67,PhanCong!$B$2:$J$2,0))),""))</f>
        <v/>
      </c>
      <c r="J67" s="30">
        <f>IF(TKB_Nhap!J67="","",IFERROR(T(INDEX(PhanCong!$B$3:$J$18,MATCH(TKB_Nhap!J67,PhanCong!$A$3:$A$18,0),MATCH($A67,PhanCong!$B$2:$J$2,0))),""))</f>
        <v/>
      </c>
      <c r="L67" s="39">
        <f>IF(D67="",0,IF(COUNTIFS($B$2:$B$73,$B67,$C$2:$C$73,$C67,D$2:D$73,D67)&gt;1,1,0))</f>
        <v/>
      </c>
      <c r="M67" s="39">
        <f>IF(E67="",0,IF(COUNTIFS($B$2:$B$73,$B67,$C$2:$C$73,$C67,E$2:E$73,E67)&gt;1,1,0))</f>
        <v/>
      </c>
      <c r="N67" s="39">
        <f>IF(F67="",0,IF(COUNTIFS($B$2:$B$73,$B67,$C$2:$C$73,$C67,F$2:F$73,F67)&gt;1,1,0))</f>
        <v/>
      </c>
      <c r="O67" s="39">
        <f>IF(G67="",0,IF(COUNTIFS($B$2:$B$73,$B67,$C$2:$C$73,$C67,G$2:G$73,G67)&gt;1,1,0))</f>
        <v/>
      </c>
      <c r="P67" s="39">
        <f>IF(H67="",0,IF(COUNTIFS($B$2:$B$73,$B67,$C$2:$C$73,$C67,H$2:H$73,H67)&gt;1,1,0))</f>
        <v/>
      </c>
      <c r="Q67" s="39">
        <f>IF(I67="",0,IF(COUNTIFS($B$2:$B$73,$B67,$C$2:$C$73,$C67,I$2:I$73,I67)&gt;1,1,0))</f>
        <v/>
      </c>
      <c r="R67" s="39">
        <f>IF(J67="",0,IF(COUNTIFS($B$2:$B$73,$B67,$C$2:$C$73,$C67,J$2:J$73,J67)&gt;1,1,0))</f>
        <v/>
      </c>
    </row>
    <row r="68" ht="15" customHeight="1">
      <c r="A68" s="30">
        <f>TKB_Nhap!A68</f>
        <v/>
      </c>
      <c r="B68" s="30">
        <f>TKB_Nhap!B68</f>
        <v/>
      </c>
      <c r="C68" s="30">
        <f>TKB_Nhap!C68</f>
        <v/>
      </c>
      <c r="D68" s="30">
        <f>IF(TKB_Nhap!D68="","",IFERROR(T(INDEX(PhanCong!$B$3:$J$18,MATCH(TKB_Nhap!D68,PhanCong!$A$3:$A$18,0),MATCH($A68,PhanCong!$B$2:$J$2,0))),""))</f>
        <v/>
      </c>
      <c r="E68" s="30">
        <f>IF(TKB_Nhap!E68="","",IFERROR(T(INDEX(PhanCong!$B$3:$J$18,MATCH(TKB_Nhap!E68,PhanCong!$A$3:$A$18,0),MATCH($A68,PhanCong!$B$2:$J$2,0))),""))</f>
        <v/>
      </c>
      <c r="F68" s="30">
        <f>IF(TKB_Nhap!F68="","",IFERROR(T(INDEX(PhanCong!$B$3:$J$18,MATCH(TKB_Nhap!F68,PhanCong!$A$3:$A$18,0),MATCH($A68,PhanCong!$B$2:$J$2,0))),""))</f>
        <v/>
      </c>
      <c r="G68" s="30">
        <f>IF(TKB_Nhap!G68="","",IFERROR(T(INDEX(PhanCong!$B$3:$J$18,MATCH(TKB_Nhap!G68,PhanCong!$A$3:$A$18,0),MATCH($A68,PhanCong!$B$2:$J$2,0))),""))</f>
        <v/>
      </c>
      <c r="H68" s="30">
        <f>IF(TKB_Nhap!H68="","",IFERROR(T(INDEX(PhanCong!$B$3:$J$18,MATCH(TKB_Nhap!H68,PhanCong!$A$3:$A$18,0),MATCH($A68,PhanCong!$B$2:$J$2,0))),""))</f>
        <v/>
      </c>
      <c r="I68" s="30">
        <f>IF(TKB_Nhap!I68="","",IFERROR(T(INDEX(PhanCong!$B$3:$J$18,MATCH(TKB_Nhap!I68,PhanCong!$A$3:$A$18,0),MATCH($A68,PhanCong!$B$2:$J$2,0))),""))</f>
        <v/>
      </c>
      <c r="J68" s="30">
        <f>IF(TKB_Nhap!J68="","",IFERROR(T(INDEX(PhanCong!$B$3:$J$18,MATCH(TKB_Nhap!J68,PhanCong!$A$3:$A$18,0),MATCH($A68,PhanCong!$B$2:$J$2,0))),""))</f>
        <v/>
      </c>
      <c r="L68" s="39">
        <f>IF(D68="",0,IF(COUNTIFS($B$2:$B$73,$B68,$C$2:$C$73,$C68,D$2:D$73,D68)&gt;1,1,0))</f>
        <v/>
      </c>
      <c r="M68" s="39">
        <f>IF(E68="",0,IF(COUNTIFS($B$2:$B$73,$B68,$C$2:$C$73,$C68,E$2:E$73,E68)&gt;1,1,0))</f>
        <v/>
      </c>
      <c r="N68" s="39">
        <f>IF(F68="",0,IF(COUNTIFS($B$2:$B$73,$B68,$C$2:$C$73,$C68,F$2:F$73,F68)&gt;1,1,0))</f>
        <v/>
      </c>
      <c r="O68" s="39">
        <f>IF(G68="",0,IF(COUNTIFS($B$2:$B$73,$B68,$C$2:$C$73,$C68,G$2:G$73,G68)&gt;1,1,0))</f>
        <v/>
      </c>
      <c r="P68" s="39">
        <f>IF(H68="",0,IF(COUNTIFS($B$2:$B$73,$B68,$C$2:$C$73,$C68,H$2:H$73,H68)&gt;1,1,0))</f>
        <v/>
      </c>
      <c r="Q68" s="39">
        <f>IF(I68="",0,IF(COUNTIFS($B$2:$B$73,$B68,$C$2:$C$73,$C68,I$2:I$73,I68)&gt;1,1,0))</f>
        <v/>
      </c>
      <c r="R68" s="39">
        <f>IF(J68="",0,IF(COUNTIFS($B$2:$B$73,$B68,$C$2:$C$73,$C68,J$2:J$73,J68)&gt;1,1,0))</f>
        <v/>
      </c>
    </row>
    <row r="69" ht="15" customHeight="1">
      <c r="A69" s="30">
        <f>TKB_Nhap!A69</f>
        <v/>
      </c>
      <c r="B69" s="30">
        <f>TKB_Nhap!B69</f>
        <v/>
      </c>
      <c r="C69" s="30">
        <f>TKB_Nhap!C69</f>
        <v/>
      </c>
      <c r="D69" s="30">
        <f>IF(TKB_Nhap!D69="","",IFERROR(T(INDEX(PhanCong!$B$3:$J$18,MATCH(TKB_Nhap!D69,PhanCong!$A$3:$A$18,0),MATCH($A69,PhanCong!$B$2:$J$2,0))),""))</f>
        <v/>
      </c>
      <c r="E69" s="30">
        <f>IF(TKB_Nhap!E69="","",IFERROR(T(INDEX(PhanCong!$B$3:$J$18,MATCH(TKB_Nhap!E69,PhanCong!$A$3:$A$18,0),MATCH($A69,PhanCong!$B$2:$J$2,0))),""))</f>
        <v/>
      </c>
      <c r="F69" s="30">
        <f>IF(TKB_Nhap!F69="","",IFERROR(T(INDEX(PhanCong!$B$3:$J$18,MATCH(TKB_Nhap!F69,PhanCong!$A$3:$A$18,0),MATCH($A69,PhanCong!$B$2:$J$2,0))),""))</f>
        <v/>
      </c>
      <c r="G69" s="30">
        <f>IF(TKB_Nhap!G69="","",IFERROR(T(INDEX(PhanCong!$B$3:$J$18,MATCH(TKB_Nhap!G69,PhanCong!$A$3:$A$18,0),MATCH($A69,PhanCong!$B$2:$J$2,0))),""))</f>
        <v/>
      </c>
      <c r="H69" s="30">
        <f>IF(TKB_Nhap!H69="","",IFERROR(T(INDEX(PhanCong!$B$3:$J$18,MATCH(TKB_Nhap!H69,PhanCong!$A$3:$A$18,0),MATCH($A69,PhanCong!$B$2:$J$2,0))),""))</f>
        <v/>
      </c>
      <c r="I69" s="30">
        <f>IF(TKB_Nhap!I69="","",IFERROR(T(INDEX(PhanCong!$B$3:$J$18,MATCH(TKB_Nhap!I69,PhanCong!$A$3:$A$18,0),MATCH($A69,PhanCong!$B$2:$J$2,0))),""))</f>
        <v/>
      </c>
      <c r="J69" s="30">
        <f>IF(TKB_Nhap!J69="","",IFERROR(T(INDEX(PhanCong!$B$3:$J$18,MATCH(TKB_Nhap!J69,PhanCong!$A$3:$A$18,0),MATCH($A69,PhanCong!$B$2:$J$2,0))),""))</f>
        <v/>
      </c>
      <c r="L69" s="39">
        <f>IF(D69="",0,IF(COUNTIFS($B$2:$B$73,$B69,$C$2:$C$73,$C69,D$2:D$73,D69)&gt;1,1,0))</f>
        <v/>
      </c>
      <c r="M69" s="39">
        <f>IF(E69="",0,IF(COUNTIFS($B$2:$B$73,$B69,$C$2:$C$73,$C69,E$2:E$73,E69)&gt;1,1,0))</f>
        <v/>
      </c>
      <c r="N69" s="39">
        <f>IF(F69="",0,IF(COUNTIFS($B$2:$B$73,$B69,$C$2:$C$73,$C69,F$2:F$73,F69)&gt;1,1,0))</f>
        <v/>
      </c>
      <c r="O69" s="39">
        <f>IF(G69="",0,IF(COUNTIFS($B$2:$B$73,$B69,$C$2:$C$73,$C69,G$2:G$73,G69)&gt;1,1,0))</f>
        <v/>
      </c>
      <c r="P69" s="39">
        <f>IF(H69="",0,IF(COUNTIFS($B$2:$B$73,$B69,$C$2:$C$73,$C69,H$2:H$73,H69)&gt;1,1,0))</f>
        <v/>
      </c>
      <c r="Q69" s="39">
        <f>IF(I69="",0,IF(COUNTIFS($B$2:$B$73,$B69,$C$2:$C$73,$C69,I$2:I$73,I69)&gt;1,1,0))</f>
        <v/>
      </c>
      <c r="R69" s="39">
        <f>IF(J69="",0,IF(COUNTIFS($B$2:$B$73,$B69,$C$2:$C$73,$C69,J$2:J$73,J69)&gt;1,1,0))</f>
        <v/>
      </c>
    </row>
    <row r="70" ht="15" customHeight="1">
      <c r="A70" s="30">
        <f>TKB_Nhap!A70</f>
        <v/>
      </c>
      <c r="B70" s="30">
        <f>TKB_Nhap!B70</f>
        <v/>
      </c>
      <c r="C70" s="30">
        <f>TKB_Nhap!C70</f>
        <v/>
      </c>
      <c r="D70" s="30">
        <f>IF(TKB_Nhap!D70="","",IFERROR(T(INDEX(PhanCong!$B$3:$J$18,MATCH(TKB_Nhap!D70,PhanCong!$A$3:$A$18,0),MATCH($A70,PhanCong!$B$2:$J$2,0))),""))</f>
        <v/>
      </c>
      <c r="E70" s="30">
        <f>IF(TKB_Nhap!E70="","",IFERROR(T(INDEX(PhanCong!$B$3:$J$18,MATCH(TKB_Nhap!E70,PhanCong!$A$3:$A$18,0),MATCH($A70,PhanCong!$B$2:$J$2,0))),""))</f>
        <v/>
      </c>
      <c r="F70" s="30">
        <f>IF(TKB_Nhap!F70="","",IFERROR(T(INDEX(PhanCong!$B$3:$J$18,MATCH(TKB_Nhap!F70,PhanCong!$A$3:$A$18,0),MATCH($A70,PhanCong!$B$2:$J$2,0))),""))</f>
        <v/>
      </c>
      <c r="G70" s="30">
        <f>IF(TKB_Nhap!G70="","",IFERROR(T(INDEX(PhanCong!$B$3:$J$18,MATCH(TKB_Nhap!G70,PhanCong!$A$3:$A$18,0),MATCH($A70,PhanCong!$B$2:$J$2,0))),""))</f>
        <v/>
      </c>
      <c r="H70" s="30">
        <f>IF(TKB_Nhap!H70="","",IFERROR(T(INDEX(PhanCong!$B$3:$J$18,MATCH(TKB_Nhap!H70,PhanCong!$A$3:$A$18,0),MATCH($A70,PhanCong!$B$2:$J$2,0))),""))</f>
        <v/>
      </c>
      <c r="I70" s="30">
        <f>IF(TKB_Nhap!I70="","",IFERROR(T(INDEX(PhanCong!$B$3:$J$18,MATCH(TKB_Nhap!I70,PhanCong!$A$3:$A$18,0),MATCH($A70,PhanCong!$B$2:$J$2,0))),""))</f>
        <v/>
      </c>
      <c r="J70" s="30">
        <f>IF(TKB_Nhap!J70="","",IFERROR(T(INDEX(PhanCong!$B$3:$J$18,MATCH(TKB_Nhap!J70,PhanCong!$A$3:$A$18,0),MATCH($A70,PhanCong!$B$2:$J$2,0))),""))</f>
        <v/>
      </c>
      <c r="L70" s="39">
        <f>IF(D70="",0,IF(COUNTIFS($B$2:$B$73,$B70,$C$2:$C$73,$C70,D$2:D$73,D70)&gt;1,1,0))</f>
        <v/>
      </c>
      <c r="M70" s="39">
        <f>IF(E70="",0,IF(COUNTIFS($B$2:$B$73,$B70,$C$2:$C$73,$C70,E$2:E$73,E70)&gt;1,1,0))</f>
        <v/>
      </c>
      <c r="N70" s="39">
        <f>IF(F70="",0,IF(COUNTIFS($B$2:$B$73,$B70,$C$2:$C$73,$C70,F$2:F$73,F70)&gt;1,1,0))</f>
        <v/>
      </c>
      <c r="O70" s="39">
        <f>IF(G70="",0,IF(COUNTIFS($B$2:$B$73,$B70,$C$2:$C$73,$C70,G$2:G$73,G70)&gt;1,1,0))</f>
        <v/>
      </c>
      <c r="P70" s="39">
        <f>IF(H70="",0,IF(COUNTIFS($B$2:$B$73,$B70,$C$2:$C$73,$C70,H$2:H$73,H70)&gt;1,1,0))</f>
        <v/>
      </c>
      <c r="Q70" s="39">
        <f>IF(I70="",0,IF(COUNTIFS($B$2:$B$73,$B70,$C$2:$C$73,$C70,I$2:I$73,I70)&gt;1,1,0))</f>
        <v/>
      </c>
      <c r="R70" s="39">
        <f>IF(J70="",0,IF(COUNTIFS($B$2:$B$73,$B70,$C$2:$C$73,$C70,J$2:J$73,J70)&gt;1,1,0))</f>
        <v/>
      </c>
    </row>
    <row r="71" ht="15" customHeight="1">
      <c r="A71" s="30">
        <f>TKB_Nhap!A71</f>
        <v/>
      </c>
      <c r="B71" s="30">
        <f>TKB_Nhap!B71</f>
        <v/>
      </c>
      <c r="C71" s="30">
        <f>TKB_Nhap!C71</f>
        <v/>
      </c>
      <c r="D71" s="30">
        <f>IF(TKB_Nhap!D71="","",IFERROR(T(INDEX(PhanCong!$B$3:$J$18,MATCH(TKB_Nhap!D71,PhanCong!$A$3:$A$18,0),MATCH($A71,PhanCong!$B$2:$J$2,0))),""))</f>
        <v/>
      </c>
      <c r="E71" s="30">
        <f>IF(TKB_Nhap!E71="","",IFERROR(T(INDEX(PhanCong!$B$3:$J$18,MATCH(TKB_Nhap!E71,PhanCong!$A$3:$A$18,0),MATCH($A71,PhanCong!$B$2:$J$2,0))),""))</f>
        <v/>
      </c>
      <c r="F71" s="30">
        <f>IF(TKB_Nhap!F71="","",IFERROR(T(INDEX(PhanCong!$B$3:$J$18,MATCH(TKB_Nhap!F71,PhanCong!$A$3:$A$18,0),MATCH($A71,PhanCong!$B$2:$J$2,0))),""))</f>
        <v/>
      </c>
      <c r="G71" s="30">
        <f>IF(TKB_Nhap!G71="","",IFERROR(T(INDEX(PhanCong!$B$3:$J$18,MATCH(TKB_Nhap!G71,PhanCong!$A$3:$A$18,0),MATCH($A71,PhanCong!$B$2:$J$2,0))),""))</f>
        <v/>
      </c>
      <c r="H71" s="30">
        <f>IF(TKB_Nhap!H71="","",IFERROR(T(INDEX(PhanCong!$B$3:$J$18,MATCH(TKB_Nhap!H71,PhanCong!$A$3:$A$18,0),MATCH($A71,PhanCong!$B$2:$J$2,0))),""))</f>
        <v/>
      </c>
      <c r="I71" s="30">
        <f>IF(TKB_Nhap!I71="","",IFERROR(T(INDEX(PhanCong!$B$3:$J$18,MATCH(TKB_Nhap!I71,PhanCong!$A$3:$A$18,0),MATCH($A71,PhanCong!$B$2:$J$2,0))),""))</f>
        <v/>
      </c>
      <c r="J71" s="30">
        <f>IF(TKB_Nhap!J71="","",IFERROR(T(INDEX(PhanCong!$B$3:$J$18,MATCH(TKB_Nhap!J71,PhanCong!$A$3:$A$18,0),MATCH($A71,PhanCong!$B$2:$J$2,0))),""))</f>
        <v/>
      </c>
      <c r="L71" s="39">
        <f>IF(D71="",0,IF(COUNTIFS($B$2:$B$73,$B71,$C$2:$C$73,$C71,D$2:D$73,D71)&gt;1,1,0))</f>
        <v/>
      </c>
      <c r="M71" s="39">
        <f>IF(E71="",0,IF(COUNTIFS($B$2:$B$73,$B71,$C$2:$C$73,$C71,E$2:E$73,E71)&gt;1,1,0))</f>
        <v/>
      </c>
      <c r="N71" s="39">
        <f>IF(F71="",0,IF(COUNTIFS($B$2:$B$73,$B71,$C$2:$C$73,$C71,F$2:F$73,F71)&gt;1,1,0))</f>
        <v/>
      </c>
      <c r="O71" s="39">
        <f>IF(G71="",0,IF(COUNTIFS($B$2:$B$73,$B71,$C$2:$C$73,$C71,G$2:G$73,G71)&gt;1,1,0))</f>
        <v/>
      </c>
      <c r="P71" s="39">
        <f>IF(H71="",0,IF(COUNTIFS($B$2:$B$73,$B71,$C$2:$C$73,$C71,H$2:H$73,H71)&gt;1,1,0))</f>
        <v/>
      </c>
      <c r="Q71" s="39">
        <f>IF(I71="",0,IF(COUNTIFS($B$2:$B$73,$B71,$C$2:$C$73,$C71,I$2:I$73,I71)&gt;1,1,0))</f>
        <v/>
      </c>
      <c r="R71" s="39">
        <f>IF(J71="",0,IF(COUNTIFS($B$2:$B$73,$B71,$C$2:$C$73,$C71,J$2:J$73,J71)&gt;1,1,0))</f>
        <v/>
      </c>
    </row>
    <row r="72" ht="15" customHeight="1">
      <c r="A72" s="30">
        <f>TKB_Nhap!A72</f>
        <v/>
      </c>
      <c r="B72" s="30">
        <f>TKB_Nhap!B72</f>
        <v/>
      </c>
      <c r="C72" s="30">
        <f>TKB_Nhap!C72</f>
        <v/>
      </c>
      <c r="D72" s="30">
        <f>IF(TKB_Nhap!D72="","",IFERROR(T(INDEX(PhanCong!$B$3:$J$18,MATCH(TKB_Nhap!D72,PhanCong!$A$3:$A$18,0),MATCH($A72,PhanCong!$B$2:$J$2,0))),""))</f>
        <v/>
      </c>
      <c r="E72" s="30">
        <f>IF(TKB_Nhap!E72="","",IFERROR(T(INDEX(PhanCong!$B$3:$J$18,MATCH(TKB_Nhap!E72,PhanCong!$A$3:$A$18,0),MATCH($A72,PhanCong!$B$2:$J$2,0))),""))</f>
        <v/>
      </c>
      <c r="F72" s="30">
        <f>IF(TKB_Nhap!F72="","",IFERROR(T(INDEX(PhanCong!$B$3:$J$18,MATCH(TKB_Nhap!F72,PhanCong!$A$3:$A$18,0),MATCH($A72,PhanCong!$B$2:$J$2,0))),""))</f>
        <v/>
      </c>
      <c r="G72" s="30">
        <f>IF(TKB_Nhap!G72="","",IFERROR(T(INDEX(PhanCong!$B$3:$J$18,MATCH(TKB_Nhap!G72,PhanCong!$A$3:$A$18,0),MATCH($A72,PhanCong!$B$2:$J$2,0))),""))</f>
        <v/>
      </c>
      <c r="H72" s="30">
        <f>IF(TKB_Nhap!H72="","",IFERROR(T(INDEX(PhanCong!$B$3:$J$18,MATCH(TKB_Nhap!H72,PhanCong!$A$3:$A$18,0),MATCH($A72,PhanCong!$B$2:$J$2,0))),""))</f>
        <v/>
      </c>
      <c r="I72" s="30">
        <f>IF(TKB_Nhap!I72="","",IFERROR(T(INDEX(PhanCong!$B$3:$J$18,MATCH(TKB_Nhap!I72,PhanCong!$A$3:$A$18,0),MATCH($A72,PhanCong!$B$2:$J$2,0))),""))</f>
        <v/>
      </c>
      <c r="J72" s="30">
        <f>IF(TKB_Nhap!J72="","",IFERROR(T(INDEX(PhanCong!$B$3:$J$18,MATCH(TKB_Nhap!J72,PhanCong!$A$3:$A$18,0),MATCH($A72,PhanCong!$B$2:$J$2,0))),""))</f>
        <v/>
      </c>
      <c r="L72" s="39">
        <f>IF(D72="",0,IF(COUNTIFS($B$2:$B$73,$B72,$C$2:$C$73,$C72,D$2:D$73,D72)&gt;1,1,0))</f>
        <v/>
      </c>
      <c r="M72" s="39">
        <f>IF(E72="",0,IF(COUNTIFS($B$2:$B$73,$B72,$C$2:$C$73,$C72,E$2:E$73,E72)&gt;1,1,0))</f>
        <v/>
      </c>
      <c r="N72" s="39">
        <f>IF(F72="",0,IF(COUNTIFS($B$2:$B$73,$B72,$C$2:$C$73,$C72,F$2:F$73,F72)&gt;1,1,0))</f>
        <v/>
      </c>
      <c r="O72" s="39">
        <f>IF(G72="",0,IF(COUNTIFS($B$2:$B$73,$B72,$C$2:$C$73,$C72,G$2:G$73,G72)&gt;1,1,0))</f>
        <v/>
      </c>
      <c r="P72" s="39">
        <f>IF(H72="",0,IF(COUNTIFS($B$2:$B$73,$B72,$C$2:$C$73,$C72,H$2:H$73,H72)&gt;1,1,0))</f>
        <v/>
      </c>
      <c r="Q72" s="39">
        <f>IF(I72="",0,IF(COUNTIFS($B$2:$B$73,$B72,$C$2:$C$73,$C72,I$2:I$73,I72)&gt;1,1,0))</f>
        <v/>
      </c>
      <c r="R72" s="39">
        <f>IF(J72="",0,IF(COUNTIFS($B$2:$B$73,$B72,$C$2:$C$73,$C72,J$2:J$73,J72)&gt;1,1,0))</f>
        <v/>
      </c>
    </row>
    <row r="73" ht="15" customHeight="1">
      <c r="A73" s="30">
        <f>TKB_Nhap!A73</f>
        <v/>
      </c>
      <c r="B73" s="30">
        <f>TKB_Nhap!B73</f>
        <v/>
      </c>
      <c r="C73" s="30">
        <f>TKB_Nhap!C73</f>
        <v/>
      </c>
      <c r="D73" s="30">
        <f>IF(TKB_Nhap!D73="","",IFERROR(T(INDEX(PhanCong!$B$3:$J$18,MATCH(TKB_Nhap!D73,PhanCong!$A$3:$A$18,0),MATCH($A73,PhanCong!$B$2:$J$2,0))),""))</f>
        <v/>
      </c>
      <c r="E73" s="30">
        <f>IF(TKB_Nhap!E73="","",IFERROR(T(INDEX(PhanCong!$B$3:$J$18,MATCH(TKB_Nhap!E73,PhanCong!$A$3:$A$18,0),MATCH($A73,PhanCong!$B$2:$J$2,0))),""))</f>
        <v/>
      </c>
      <c r="F73" s="30">
        <f>IF(TKB_Nhap!F73="","",IFERROR(T(INDEX(PhanCong!$B$3:$J$18,MATCH(TKB_Nhap!F73,PhanCong!$A$3:$A$18,0),MATCH($A73,PhanCong!$B$2:$J$2,0))),""))</f>
        <v/>
      </c>
      <c r="G73" s="30">
        <f>IF(TKB_Nhap!G73="","",IFERROR(T(INDEX(PhanCong!$B$3:$J$18,MATCH(TKB_Nhap!G73,PhanCong!$A$3:$A$18,0),MATCH($A73,PhanCong!$B$2:$J$2,0))),""))</f>
        <v/>
      </c>
      <c r="H73" s="30">
        <f>IF(TKB_Nhap!H73="","",IFERROR(T(INDEX(PhanCong!$B$3:$J$18,MATCH(TKB_Nhap!H73,PhanCong!$A$3:$A$18,0),MATCH($A73,PhanCong!$B$2:$J$2,0))),""))</f>
        <v/>
      </c>
      <c r="I73" s="30">
        <f>IF(TKB_Nhap!I73="","",IFERROR(T(INDEX(PhanCong!$B$3:$J$18,MATCH(TKB_Nhap!I73,PhanCong!$A$3:$A$18,0),MATCH($A73,PhanCong!$B$2:$J$2,0))),""))</f>
        <v/>
      </c>
      <c r="J73" s="30">
        <f>IF(TKB_Nhap!J73="","",IFERROR(T(INDEX(PhanCong!$B$3:$J$18,MATCH(TKB_Nhap!J73,PhanCong!$A$3:$A$18,0),MATCH($A73,PhanCong!$B$2:$J$2,0))),""))</f>
        <v/>
      </c>
      <c r="L73" s="39">
        <f>IF(D73="",0,IF(COUNTIFS($B$2:$B$73,$B73,$C$2:$C$73,$C73,D$2:D$73,D73)&gt;1,1,0))</f>
        <v/>
      </c>
      <c r="M73" s="39">
        <f>IF(E73="",0,IF(COUNTIFS($B$2:$B$73,$B73,$C$2:$C$73,$C73,E$2:E$73,E73)&gt;1,1,0))</f>
        <v/>
      </c>
      <c r="N73" s="39">
        <f>IF(F73="",0,IF(COUNTIFS($B$2:$B$73,$B73,$C$2:$C$73,$C73,F$2:F$73,F73)&gt;1,1,0))</f>
        <v/>
      </c>
      <c r="O73" s="39">
        <f>IF(G73="",0,IF(COUNTIFS($B$2:$B$73,$B73,$C$2:$C$73,$C73,G$2:G$73,G73)&gt;1,1,0))</f>
        <v/>
      </c>
      <c r="P73" s="39">
        <f>IF(H73="",0,IF(COUNTIFS($B$2:$B$73,$B73,$C$2:$C$73,$C73,H$2:H$73,H73)&gt;1,1,0))</f>
        <v/>
      </c>
      <c r="Q73" s="39">
        <f>IF(I73="",0,IF(COUNTIFS($B$2:$B$73,$B73,$C$2:$C$73,$C73,I$2:I$73,I73)&gt;1,1,0))</f>
        <v/>
      </c>
      <c r="R73" s="39">
        <f>IF(J73="",0,IF(COUNTIFS($B$2:$B$73,$B73,$C$2:$C$73,$C73,J$2:J$73,J73)&gt;1,1,0))</f>
        <v/>
      </c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</t>
        </is>
      </c>
      <c r="C3" s="11" t="inlineStr">
        <is>
          <t>6B</t>
        </is>
      </c>
      <c r="D3" s="11" t="inlineStr">
        <is>
          <t>6C</t>
        </is>
      </c>
      <c r="E3" s="11" t="inlineStr">
        <is>
          <t>7A</t>
        </is>
      </c>
      <c r="F3" s="11" t="inlineStr">
        <is>
          <t>7B</t>
        </is>
      </c>
      <c r="G3" s="11" t="inlineStr">
        <is>
          <t>8A</t>
        </is>
      </c>
      <c r="H3" s="11" t="inlineStr">
        <is>
          <t>8B</t>
        </is>
      </c>
      <c r="I3" s="11" t="inlineStr">
        <is>
          <t>9A</t>
        </is>
      </c>
      <c r="J3" s="11" t="inlineStr">
        <is>
          <t>9B</t>
        </is>
      </c>
    </row>
    <row r="4" ht="15" customHeight="1">
      <c r="A4" s="26" t="inlineStr">
        <is>
          <t>Toán học</t>
        </is>
      </c>
      <c r="B4" s="30">
        <f>SUMPRODUCT((TKB_Nhap!$A$2:$A$73=B$3)*(TKB_Nhap!$D$2:$J$73=$A4))-IFERROR(N(IF(TuanConfig!$B$2="C",INDEX(SoTiet!$B$3:$J$18,MATCH($A4,SoTiet!$A$3:$A$18,0),1),INDEX(SoTiet!$L$3:$T$18,MATCH($A4,SoTiet!$A$3:$A$18,0),1))),0)</f>
        <v/>
      </c>
      <c r="C4" s="30">
        <f>SUMPRODUCT((TKB_Nhap!$A$2:$A$73=C$3)*(TKB_Nhap!$D$2:$J$73=$A4))-IFERROR(N(IF(TuanConfig!$B$2="C",INDEX(SoTiet!$B$3:$J$18,MATCH($A4,SoTiet!$A$3:$A$18,0),2),INDEX(SoTiet!$L$3:$T$18,MATCH($A4,SoTiet!$A$3:$A$18,0),2))),0)</f>
        <v/>
      </c>
      <c r="D4" s="30">
        <f>SUMPRODUCT((TKB_Nhap!$A$2:$A$73=D$3)*(TKB_Nhap!$D$2:$J$73=$A4))-IFERROR(N(IF(TuanConfig!$B$2="C",INDEX(SoTiet!$B$3:$J$18,MATCH($A4,SoTiet!$A$3:$A$18,0),3),INDEX(SoTiet!$L$3:$T$18,MATCH($A4,SoTiet!$A$3:$A$18,0),3))),0)</f>
        <v/>
      </c>
      <c r="E4" s="30">
        <f>SUMPRODUCT((TKB_Nhap!$A$2:$A$73=E$3)*(TKB_Nhap!$D$2:$J$73=$A4))-IFERROR(N(IF(TuanConfig!$B$2="C",INDEX(SoTiet!$B$3:$J$18,MATCH($A4,SoTiet!$A$3:$A$18,0),4),INDEX(SoTiet!$L$3:$T$18,MATCH($A4,SoTiet!$A$3:$A$18,0),4))),0)</f>
        <v/>
      </c>
      <c r="F4" s="30">
        <f>SUMPRODUCT((TKB_Nhap!$A$2:$A$73=F$3)*(TKB_Nhap!$D$2:$J$73=$A4))-IFERROR(N(IF(TuanConfig!$B$2="C",INDEX(SoTiet!$B$3:$J$18,MATCH($A4,SoTiet!$A$3:$A$18,0),5),INDEX(SoTiet!$L$3:$T$18,MATCH($A4,SoTiet!$A$3:$A$18,0),5))),0)</f>
        <v/>
      </c>
      <c r="G4" s="30">
        <f>SUMPRODUCT((TKB_Nhap!$A$2:$A$73=G$3)*(TKB_Nhap!$D$2:$J$73=$A4))-IFERROR(N(IF(TuanConfig!$B$2="C",INDEX(SoTiet!$B$3:$J$18,MATCH($A4,SoTiet!$A$3:$A$18,0),6),INDEX(SoTiet!$L$3:$T$18,MATCH($A4,SoTiet!$A$3:$A$18,0),6))),0)</f>
        <v/>
      </c>
      <c r="H4" s="30">
        <f>SUMPRODUCT((TKB_Nhap!$A$2:$A$73=H$3)*(TKB_Nhap!$D$2:$J$73=$A4))-IFERROR(N(IF(TuanConfig!$B$2="C",INDEX(SoTiet!$B$3:$J$18,MATCH($A4,SoTiet!$A$3:$A$18,0),7),INDEX(SoTiet!$L$3:$T$18,MATCH($A4,SoTiet!$A$3:$A$18,0),7))),0)</f>
        <v/>
      </c>
      <c r="I4" s="30">
        <f>SUMPRODUCT((TKB_Nhap!$A$2:$A$73=I$3)*(TKB_Nhap!$D$2:$J$73=$A4))-IFERROR(N(IF(TuanConfig!$B$2="C",INDEX(SoTiet!$B$3:$J$18,MATCH($A4,SoTiet!$A$3:$A$18,0),8),INDEX(SoTiet!$L$3:$T$18,MATCH($A4,SoTiet!$A$3:$A$18,0),8))),0)</f>
        <v/>
      </c>
      <c r="J4" s="30">
        <f>SUMPRODUCT((TKB_Nhap!$A$2:$A$73=J$3)*(TKB_Nhap!$D$2:$J$73=$A4))-IFERROR(N(IF(TuanConfig!$B$2="C",INDEX(SoTiet!$B$3:$J$18,MATCH($A4,SoTiet!$A$3:$A$18,0),9),INDEX(SoTiet!$L$3:$T$18,MATCH($A4,SoTiet!$A$3:$A$18,0),9))),0)</f>
        <v/>
      </c>
    </row>
    <row r="5" ht="15" customHeight="1">
      <c r="A5" s="26" t="inlineStr">
        <is>
          <t>Ngữ văn</t>
        </is>
      </c>
      <c r="B5" s="30">
        <f>SUMPRODUCT((TKB_Nhap!$A$2:$A$73=B$3)*(TKB_Nhap!$D$2:$J$73=$A5))-IFERROR(N(IF(TuanConfig!$B$2="C",INDEX(SoTiet!$B$3:$J$18,MATCH($A5,SoTiet!$A$3:$A$18,0),1),INDEX(SoTiet!$L$3:$T$18,MATCH($A5,SoTiet!$A$3:$A$18,0),1))),0)</f>
        <v/>
      </c>
      <c r="C5" s="30">
        <f>SUMPRODUCT((TKB_Nhap!$A$2:$A$73=C$3)*(TKB_Nhap!$D$2:$J$73=$A5))-IFERROR(N(IF(TuanConfig!$B$2="C",INDEX(SoTiet!$B$3:$J$18,MATCH($A5,SoTiet!$A$3:$A$18,0),2),INDEX(SoTiet!$L$3:$T$18,MATCH($A5,SoTiet!$A$3:$A$18,0),2))),0)</f>
        <v/>
      </c>
      <c r="D5" s="30">
        <f>SUMPRODUCT((TKB_Nhap!$A$2:$A$73=D$3)*(TKB_Nhap!$D$2:$J$73=$A5))-IFERROR(N(IF(TuanConfig!$B$2="C",INDEX(SoTiet!$B$3:$J$18,MATCH($A5,SoTiet!$A$3:$A$18,0),3),INDEX(SoTiet!$L$3:$T$18,MATCH($A5,SoTiet!$A$3:$A$18,0),3))),0)</f>
        <v/>
      </c>
      <c r="E5" s="30">
        <f>SUMPRODUCT((TKB_Nhap!$A$2:$A$73=E$3)*(TKB_Nhap!$D$2:$J$73=$A5))-IFERROR(N(IF(TuanConfig!$B$2="C",INDEX(SoTiet!$B$3:$J$18,MATCH($A5,SoTiet!$A$3:$A$18,0),4),INDEX(SoTiet!$L$3:$T$18,MATCH($A5,SoTiet!$A$3:$A$18,0),4))),0)</f>
        <v/>
      </c>
      <c r="F5" s="30">
        <f>SUMPRODUCT((TKB_Nhap!$A$2:$A$73=F$3)*(TKB_Nhap!$D$2:$J$73=$A5))-IFERROR(N(IF(TuanConfig!$B$2="C",INDEX(SoTiet!$B$3:$J$18,MATCH($A5,SoTiet!$A$3:$A$18,0),5),INDEX(SoTiet!$L$3:$T$18,MATCH($A5,SoTiet!$A$3:$A$18,0),5))),0)</f>
        <v/>
      </c>
      <c r="G5" s="30">
        <f>SUMPRODUCT((TKB_Nhap!$A$2:$A$73=G$3)*(TKB_Nhap!$D$2:$J$73=$A5))-IFERROR(N(IF(TuanConfig!$B$2="C",INDEX(SoTiet!$B$3:$J$18,MATCH($A5,SoTiet!$A$3:$A$18,0),6),INDEX(SoTiet!$L$3:$T$18,MATCH($A5,SoTiet!$A$3:$A$18,0),6))),0)</f>
        <v/>
      </c>
      <c r="H5" s="30">
        <f>SUMPRODUCT((TKB_Nhap!$A$2:$A$73=H$3)*(TKB_Nhap!$D$2:$J$73=$A5))-IFERROR(N(IF(TuanConfig!$B$2="C",INDEX(SoTiet!$B$3:$J$18,MATCH($A5,SoTiet!$A$3:$A$18,0),7),INDEX(SoTiet!$L$3:$T$18,MATCH($A5,SoTiet!$A$3:$A$18,0),7))),0)</f>
        <v/>
      </c>
      <c r="I5" s="30">
        <f>SUMPRODUCT((TKB_Nhap!$A$2:$A$73=I$3)*(TKB_Nhap!$D$2:$J$73=$A5))-IFERROR(N(IF(TuanConfig!$B$2="C",INDEX(SoTiet!$B$3:$J$18,MATCH($A5,SoTiet!$A$3:$A$18,0),8),INDEX(SoTiet!$L$3:$T$18,MATCH($A5,SoTiet!$A$3:$A$18,0),8))),0)</f>
        <v/>
      </c>
      <c r="J5" s="30">
        <f>SUMPRODUCT((TKB_Nhap!$A$2:$A$73=J$3)*(TKB_Nhap!$D$2:$J$73=$A5))-IFERROR(N(IF(TuanConfig!$B$2="C",INDEX(SoTiet!$B$3:$J$18,MATCH($A5,SoTiet!$A$3:$A$18,0),9),INDEX(SoTiet!$L$3:$T$18,MATCH($A5,SoTiet!$A$3:$A$18,0),9))),0)</f>
        <v/>
      </c>
    </row>
    <row r="6" ht="15" customHeight="1">
      <c r="A6" s="26" t="inlineStr">
        <is>
          <t>Ngoại ngữ</t>
        </is>
      </c>
      <c r="B6" s="30">
        <f>SUMPRODUCT((TKB_Nhap!$A$2:$A$73=B$3)*(TKB_Nhap!$D$2:$J$73=$A6))-IFERROR(N(IF(TuanConfig!$B$2="C",INDEX(SoTiet!$B$3:$J$18,MATCH($A6,SoTiet!$A$3:$A$18,0),1),INDEX(SoTiet!$L$3:$T$18,MATCH($A6,SoTiet!$A$3:$A$18,0),1))),0)</f>
        <v/>
      </c>
      <c r="C6" s="30">
        <f>SUMPRODUCT((TKB_Nhap!$A$2:$A$73=C$3)*(TKB_Nhap!$D$2:$J$73=$A6))-IFERROR(N(IF(TuanConfig!$B$2="C",INDEX(SoTiet!$B$3:$J$18,MATCH($A6,SoTiet!$A$3:$A$18,0),2),INDEX(SoTiet!$L$3:$T$18,MATCH($A6,SoTiet!$A$3:$A$18,0),2))),0)</f>
        <v/>
      </c>
      <c r="D6" s="30">
        <f>SUMPRODUCT((TKB_Nhap!$A$2:$A$73=D$3)*(TKB_Nhap!$D$2:$J$73=$A6))-IFERROR(N(IF(TuanConfig!$B$2="C",INDEX(SoTiet!$B$3:$J$18,MATCH($A6,SoTiet!$A$3:$A$18,0),3),INDEX(SoTiet!$L$3:$T$18,MATCH($A6,SoTiet!$A$3:$A$18,0),3))),0)</f>
        <v/>
      </c>
      <c r="E6" s="30">
        <f>SUMPRODUCT((TKB_Nhap!$A$2:$A$73=E$3)*(TKB_Nhap!$D$2:$J$73=$A6))-IFERROR(N(IF(TuanConfig!$B$2="C",INDEX(SoTiet!$B$3:$J$18,MATCH($A6,SoTiet!$A$3:$A$18,0),4),INDEX(SoTiet!$L$3:$T$18,MATCH($A6,SoTiet!$A$3:$A$18,0),4))),0)</f>
        <v/>
      </c>
      <c r="F6" s="30">
        <f>SUMPRODUCT((TKB_Nhap!$A$2:$A$73=F$3)*(TKB_Nhap!$D$2:$J$73=$A6))-IFERROR(N(IF(TuanConfig!$B$2="C",INDEX(SoTiet!$B$3:$J$18,MATCH($A6,SoTiet!$A$3:$A$18,0),5),INDEX(SoTiet!$L$3:$T$18,MATCH($A6,SoTiet!$A$3:$A$18,0),5))),0)</f>
        <v/>
      </c>
      <c r="G6" s="30">
        <f>SUMPRODUCT((TKB_Nhap!$A$2:$A$73=G$3)*(TKB_Nhap!$D$2:$J$73=$A6))-IFERROR(N(IF(TuanConfig!$B$2="C",INDEX(SoTiet!$B$3:$J$18,MATCH($A6,SoTiet!$A$3:$A$18,0),6),INDEX(SoTiet!$L$3:$T$18,MATCH($A6,SoTiet!$A$3:$A$18,0),6))),0)</f>
        <v/>
      </c>
      <c r="H6" s="30">
        <f>SUMPRODUCT((TKB_Nhap!$A$2:$A$73=H$3)*(TKB_Nhap!$D$2:$J$73=$A6))-IFERROR(N(IF(TuanConfig!$B$2="C",INDEX(SoTiet!$B$3:$J$18,MATCH($A6,SoTiet!$A$3:$A$18,0),7),INDEX(SoTiet!$L$3:$T$18,MATCH($A6,SoTiet!$A$3:$A$18,0),7))),0)</f>
        <v/>
      </c>
      <c r="I6" s="30">
        <f>SUMPRODUCT((TKB_Nhap!$A$2:$A$73=I$3)*(TKB_Nhap!$D$2:$J$73=$A6))-IFERROR(N(IF(TuanConfig!$B$2="C",INDEX(SoTiet!$B$3:$J$18,MATCH($A6,SoTiet!$A$3:$A$18,0),8),INDEX(SoTiet!$L$3:$T$18,MATCH($A6,SoTiet!$A$3:$A$18,0),8))),0)</f>
        <v/>
      </c>
      <c r="J6" s="30">
        <f>SUMPRODUCT((TKB_Nhap!$A$2:$A$73=J$3)*(TKB_Nhap!$D$2:$J$73=$A6))-IFERROR(N(IF(TuanConfig!$B$2="C",INDEX(SoTiet!$B$3:$J$18,MATCH($A6,SoTiet!$A$3:$A$18,0),9),INDEX(SoTiet!$L$3:$T$18,MATCH($A6,SoTiet!$A$3:$A$18,0),9))),0)</f>
        <v/>
      </c>
    </row>
    <row r="7" ht="15" customHeight="1">
      <c r="A7" s="26" t="inlineStr">
        <is>
          <t>Khoa học tự nhiên (Vật lý)</t>
        </is>
      </c>
      <c r="B7" s="30">
        <f>SUMPRODUCT((TKB_Nhap!$A$2:$A$73=B$3)*(TKB_Nhap!$D$2:$J$73=$A7))-IFERROR(N(IF(TuanConfig!$B$2="C",INDEX(SoTiet!$B$3:$J$18,MATCH($A7,SoTiet!$A$3:$A$18,0),1),INDEX(SoTiet!$L$3:$T$18,MATCH($A7,SoTiet!$A$3:$A$18,0),1))),0)</f>
        <v/>
      </c>
      <c r="C7" s="30">
        <f>SUMPRODUCT((TKB_Nhap!$A$2:$A$73=C$3)*(TKB_Nhap!$D$2:$J$73=$A7))-IFERROR(N(IF(TuanConfig!$B$2="C",INDEX(SoTiet!$B$3:$J$18,MATCH($A7,SoTiet!$A$3:$A$18,0),2),INDEX(SoTiet!$L$3:$T$18,MATCH($A7,SoTiet!$A$3:$A$18,0),2))),0)</f>
        <v/>
      </c>
      <c r="D7" s="30">
        <f>SUMPRODUCT((TKB_Nhap!$A$2:$A$73=D$3)*(TKB_Nhap!$D$2:$J$73=$A7))-IFERROR(N(IF(TuanConfig!$B$2="C",INDEX(SoTiet!$B$3:$J$18,MATCH($A7,SoTiet!$A$3:$A$18,0),3),INDEX(SoTiet!$L$3:$T$18,MATCH($A7,SoTiet!$A$3:$A$18,0),3))),0)</f>
        <v/>
      </c>
      <c r="E7" s="30">
        <f>SUMPRODUCT((TKB_Nhap!$A$2:$A$73=E$3)*(TKB_Nhap!$D$2:$J$73=$A7))-IFERROR(N(IF(TuanConfig!$B$2="C",INDEX(SoTiet!$B$3:$J$18,MATCH($A7,SoTiet!$A$3:$A$18,0),4),INDEX(SoTiet!$L$3:$T$18,MATCH($A7,SoTiet!$A$3:$A$18,0),4))),0)</f>
        <v/>
      </c>
      <c r="F7" s="30">
        <f>SUMPRODUCT((TKB_Nhap!$A$2:$A$73=F$3)*(TKB_Nhap!$D$2:$J$73=$A7))-IFERROR(N(IF(TuanConfig!$B$2="C",INDEX(SoTiet!$B$3:$J$18,MATCH($A7,SoTiet!$A$3:$A$18,0),5),INDEX(SoTiet!$L$3:$T$18,MATCH($A7,SoTiet!$A$3:$A$18,0),5))),0)</f>
        <v/>
      </c>
      <c r="G7" s="30">
        <f>SUMPRODUCT((TKB_Nhap!$A$2:$A$73=G$3)*(TKB_Nhap!$D$2:$J$73=$A7))-IFERROR(N(IF(TuanConfig!$B$2="C",INDEX(SoTiet!$B$3:$J$18,MATCH($A7,SoTiet!$A$3:$A$18,0),6),INDEX(SoTiet!$L$3:$T$18,MATCH($A7,SoTiet!$A$3:$A$18,0),6))),0)</f>
        <v/>
      </c>
      <c r="H7" s="30">
        <f>SUMPRODUCT((TKB_Nhap!$A$2:$A$73=H$3)*(TKB_Nhap!$D$2:$J$73=$A7))-IFERROR(N(IF(TuanConfig!$B$2="C",INDEX(SoTiet!$B$3:$J$18,MATCH($A7,SoTiet!$A$3:$A$18,0),7),INDEX(SoTiet!$L$3:$T$18,MATCH($A7,SoTiet!$A$3:$A$18,0),7))),0)</f>
        <v/>
      </c>
      <c r="I7" s="30">
        <f>SUMPRODUCT((TKB_Nhap!$A$2:$A$73=I$3)*(TKB_Nhap!$D$2:$J$73=$A7))-IFERROR(N(IF(TuanConfig!$B$2="C",INDEX(SoTiet!$B$3:$J$18,MATCH($A7,SoTiet!$A$3:$A$18,0),8),INDEX(SoTiet!$L$3:$T$18,MATCH($A7,SoTiet!$A$3:$A$18,0),8))),0)</f>
        <v/>
      </c>
      <c r="J7" s="30">
        <f>SUMPRODUCT((TKB_Nhap!$A$2:$A$73=J$3)*(TKB_Nhap!$D$2:$J$73=$A7))-IFERROR(N(IF(TuanConfig!$B$2="C",INDEX(SoTiet!$B$3:$J$18,MATCH($A7,SoTiet!$A$3:$A$18,0),9),INDEX(SoTiet!$L$3:$T$18,MATCH($A7,SoTiet!$A$3:$A$18,0),9))),0)</f>
        <v/>
      </c>
    </row>
    <row r="8" ht="15" customHeight="1">
      <c r="A8" s="26" t="inlineStr">
        <is>
          <t>Khoa học tự nhiên (Hoá học)</t>
        </is>
      </c>
      <c r="B8" s="30">
        <f>SUMPRODUCT((TKB_Nhap!$A$2:$A$73=B$3)*(TKB_Nhap!$D$2:$J$73=$A8))-IFERROR(N(IF(TuanConfig!$B$2="C",INDEX(SoTiet!$B$3:$J$18,MATCH($A8,SoTiet!$A$3:$A$18,0),1),INDEX(SoTiet!$L$3:$T$18,MATCH($A8,SoTiet!$A$3:$A$18,0),1))),0)</f>
        <v/>
      </c>
      <c r="C8" s="30">
        <f>SUMPRODUCT((TKB_Nhap!$A$2:$A$73=C$3)*(TKB_Nhap!$D$2:$J$73=$A8))-IFERROR(N(IF(TuanConfig!$B$2="C",INDEX(SoTiet!$B$3:$J$18,MATCH($A8,SoTiet!$A$3:$A$18,0),2),INDEX(SoTiet!$L$3:$T$18,MATCH($A8,SoTiet!$A$3:$A$18,0),2))),0)</f>
        <v/>
      </c>
      <c r="D8" s="30">
        <f>SUMPRODUCT((TKB_Nhap!$A$2:$A$73=D$3)*(TKB_Nhap!$D$2:$J$73=$A8))-IFERROR(N(IF(TuanConfig!$B$2="C",INDEX(SoTiet!$B$3:$J$18,MATCH($A8,SoTiet!$A$3:$A$18,0),3),INDEX(SoTiet!$L$3:$T$18,MATCH($A8,SoTiet!$A$3:$A$18,0),3))),0)</f>
        <v/>
      </c>
      <c r="E8" s="30">
        <f>SUMPRODUCT((TKB_Nhap!$A$2:$A$73=E$3)*(TKB_Nhap!$D$2:$J$73=$A8))-IFERROR(N(IF(TuanConfig!$B$2="C",INDEX(SoTiet!$B$3:$J$18,MATCH($A8,SoTiet!$A$3:$A$18,0),4),INDEX(SoTiet!$L$3:$T$18,MATCH($A8,SoTiet!$A$3:$A$18,0),4))),0)</f>
        <v/>
      </c>
      <c r="F8" s="30">
        <f>SUMPRODUCT((TKB_Nhap!$A$2:$A$73=F$3)*(TKB_Nhap!$D$2:$J$73=$A8))-IFERROR(N(IF(TuanConfig!$B$2="C",INDEX(SoTiet!$B$3:$J$18,MATCH($A8,SoTiet!$A$3:$A$18,0),5),INDEX(SoTiet!$L$3:$T$18,MATCH($A8,SoTiet!$A$3:$A$18,0),5))),0)</f>
        <v/>
      </c>
      <c r="G8" s="30">
        <f>SUMPRODUCT((TKB_Nhap!$A$2:$A$73=G$3)*(TKB_Nhap!$D$2:$J$73=$A8))-IFERROR(N(IF(TuanConfig!$B$2="C",INDEX(SoTiet!$B$3:$J$18,MATCH($A8,SoTiet!$A$3:$A$18,0),6),INDEX(SoTiet!$L$3:$T$18,MATCH($A8,SoTiet!$A$3:$A$18,0),6))),0)</f>
        <v/>
      </c>
      <c r="H8" s="30">
        <f>SUMPRODUCT((TKB_Nhap!$A$2:$A$73=H$3)*(TKB_Nhap!$D$2:$J$73=$A8))-IFERROR(N(IF(TuanConfig!$B$2="C",INDEX(SoTiet!$B$3:$J$18,MATCH($A8,SoTiet!$A$3:$A$18,0),7),INDEX(SoTiet!$L$3:$T$18,MATCH($A8,SoTiet!$A$3:$A$18,0),7))),0)</f>
        <v/>
      </c>
      <c r="I8" s="30">
        <f>SUMPRODUCT((TKB_Nhap!$A$2:$A$73=I$3)*(TKB_Nhap!$D$2:$J$73=$A8))-IFERROR(N(IF(TuanConfig!$B$2="C",INDEX(SoTiet!$B$3:$J$18,MATCH($A8,SoTiet!$A$3:$A$18,0),8),INDEX(SoTiet!$L$3:$T$18,MATCH($A8,SoTiet!$A$3:$A$18,0),8))),0)</f>
        <v/>
      </c>
      <c r="J8" s="30">
        <f>SUMPRODUCT((TKB_Nhap!$A$2:$A$73=J$3)*(TKB_Nhap!$D$2:$J$73=$A8))-IFERROR(N(IF(TuanConfig!$B$2="C",INDEX(SoTiet!$B$3:$J$18,MATCH($A8,SoTiet!$A$3:$A$18,0),9),INDEX(SoTiet!$L$3:$T$18,MATCH($A8,SoTiet!$A$3:$A$18,0),9))),0)</f>
        <v/>
      </c>
    </row>
    <row r="9" ht="15" customHeight="1">
      <c r="A9" s="26" t="inlineStr">
        <is>
          <t>Khoa học tự nhiên (Sinh học)</t>
        </is>
      </c>
      <c r="B9" s="30">
        <f>SUMPRODUCT((TKB_Nhap!$A$2:$A$73=B$3)*(TKB_Nhap!$D$2:$J$73=$A9))-IFERROR(N(IF(TuanConfig!$B$2="C",INDEX(SoTiet!$B$3:$J$18,MATCH($A9,SoTiet!$A$3:$A$18,0),1),INDEX(SoTiet!$L$3:$T$18,MATCH($A9,SoTiet!$A$3:$A$18,0),1))),0)</f>
        <v/>
      </c>
      <c r="C9" s="30">
        <f>SUMPRODUCT((TKB_Nhap!$A$2:$A$73=C$3)*(TKB_Nhap!$D$2:$J$73=$A9))-IFERROR(N(IF(TuanConfig!$B$2="C",INDEX(SoTiet!$B$3:$J$18,MATCH($A9,SoTiet!$A$3:$A$18,0),2),INDEX(SoTiet!$L$3:$T$18,MATCH($A9,SoTiet!$A$3:$A$18,0),2))),0)</f>
        <v/>
      </c>
      <c r="D9" s="30">
        <f>SUMPRODUCT((TKB_Nhap!$A$2:$A$73=D$3)*(TKB_Nhap!$D$2:$J$73=$A9))-IFERROR(N(IF(TuanConfig!$B$2="C",INDEX(SoTiet!$B$3:$J$18,MATCH($A9,SoTiet!$A$3:$A$18,0),3),INDEX(SoTiet!$L$3:$T$18,MATCH($A9,SoTiet!$A$3:$A$18,0),3))),0)</f>
        <v/>
      </c>
      <c r="E9" s="30">
        <f>SUMPRODUCT((TKB_Nhap!$A$2:$A$73=E$3)*(TKB_Nhap!$D$2:$J$73=$A9))-IFERROR(N(IF(TuanConfig!$B$2="C",INDEX(SoTiet!$B$3:$J$18,MATCH($A9,SoTiet!$A$3:$A$18,0),4),INDEX(SoTiet!$L$3:$T$18,MATCH($A9,SoTiet!$A$3:$A$18,0),4))),0)</f>
        <v/>
      </c>
      <c r="F9" s="30">
        <f>SUMPRODUCT((TKB_Nhap!$A$2:$A$73=F$3)*(TKB_Nhap!$D$2:$J$73=$A9))-IFERROR(N(IF(TuanConfig!$B$2="C",INDEX(SoTiet!$B$3:$J$18,MATCH($A9,SoTiet!$A$3:$A$18,0),5),INDEX(SoTiet!$L$3:$T$18,MATCH($A9,SoTiet!$A$3:$A$18,0),5))),0)</f>
        <v/>
      </c>
      <c r="G9" s="30">
        <f>SUMPRODUCT((TKB_Nhap!$A$2:$A$73=G$3)*(TKB_Nhap!$D$2:$J$73=$A9))-IFERROR(N(IF(TuanConfig!$B$2="C",INDEX(SoTiet!$B$3:$J$18,MATCH($A9,SoTiet!$A$3:$A$18,0),6),INDEX(SoTiet!$L$3:$T$18,MATCH($A9,SoTiet!$A$3:$A$18,0),6))),0)</f>
        <v/>
      </c>
      <c r="H9" s="30">
        <f>SUMPRODUCT((TKB_Nhap!$A$2:$A$73=H$3)*(TKB_Nhap!$D$2:$J$73=$A9))-IFERROR(N(IF(TuanConfig!$B$2="C",INDEX(SoTiet!$B$3:$J$18,MATCH($A9,SoTiet!$A$3:$A$18,0),7),INDEX(SoTiet!$L$3:$T$18,MATCH($A9,SoTiet!$A$3:$A$18,0),7))),0)</f>
        <v/>
      </c>
      <c r="I9" s="30">
        <f>SUMPRODUCT((TKB_Nhap!$A$2:$A$73=I$3)*(TKB_Nhap!$D$2:$J$73=$A9))-IFERROR(N(IF(TuanConfig!$B$2="C",INDEX(SoTiet!$B$3:$J$18,MATCH($A9,SoTiet!$A$3:$A$18,0),8),INDEX(SoTiet!$L$3:$T$18,MATCH($A9,SoTiet!$A$3:$A$18,0),8))),0)</f>
        <v/>
      </c>
      <c r="J9" s="30">
        <f>SUMPRODUCT((TKB_Nhap!$A$2:$A$73=J$3)*(TKB_Nhap!$D$2:$J$73=$A9))-IFERROR(N(IF(TuanConfig!$B$2="C",INDEX(SoTiet!$B$3:$J$18,MATCH($A9,SoTiet!$A$3:$A$18,0),9),INDEX(SoTiet!$L$3:$T$18,MATCH($A9,SoTiet!$A$3:$A$18,0),9))),0)</f>
        <v/>
      </c>
    </row>
    <row r="10" ht="15" customHeight="1">
      <c r="A10" s="26" t="inlineStr">
        <is>
          <t>Lịch sử và địa lý (Lịch sử)</t>
        </is>
      </c>
      <c r="B10" s="30">
        <f>SUMPRODUCT((TKB_Nhap!$A$2:$A$73=B$3)*(TKB_Nhap!$D$2:$J$73=$A10))-IFERROR(N(IF(TuanConfig!$B$2="C",INDEX(SoTiet!$B$3:$J$18,MATCH($A10,SoTiet!$A$3:$A$18,0),1),INDEX(SoTiet!$L$3:$T$18,MATCH($A10,SoTiet!$A$3:$A$18,0),1))),0)</f>
        <v/>
      </c>
      <c r="C10" s="30">
        <f>SUMPRODUCT((TKB_Nhap!$A$2:$A$73=C$3)*(TKB_Nhap!$D$2:$J$73=$A10))-IFERROR(N(IF(TuanConfig!$B$2="C",INDEX(SoTiet!$B$3:$J$18,MATCH($A10,SoTiet!$A$3:$A$18,0),2),INDEX(SoTiet!$L$3:$T$18,MATCH($A10,SoTiet!$A$3:$A$18,0),2))),0)</f>
        <v/>
      </c>
      <c r="D10" s="30">
        <f>SUMPRODUCT((TKB_Nhap!$A$2:$A$73=D$3)*(TKB_Nhap!$D$2:$J$73=$A10))-IFERROR(N(IF(TuanConfig!$B$2="C",INDEX(SoTiet!$B$3:$J$18,MATCH($A10,SoTiet!$A$3:$A$18,0),3),INDEX(SoTiet!$L$3:$T$18,MATCH($A10,SoTiet!$A$3:$A$18,0),3))),0)</f>
        <v/>
      </c>
      <c r="E10" s="30">
        <f>SUMPRODUCT((TKB_Nhap!$A$2:$A$73=E$3)*(TKB_Nhap!$D$2:$J$73=$A10))-IFERROR(N(IF(TuanConfig!$B$2="C",INDEX(SoTiet!$B$3:$J$18,MATCH($A10,SoTiet!$A$3:$A$18,0),4),INDEX(SoTiet!$L$3:$T$18,MATCH($A10,SoTiet!$A$3:$A$18,0),4))),0)</f>
        <v/>
      </c>
      <c r="F10" s="30">
        <f>SUMPRODUCT((TKB_Nhap!$A$2:$A$73=F$3)*(TKB_Nhap!$D$2:$J$73=$A10))-IFERROR(N(IF(TuanConfig!$B$2="C",INDEX(SoTiet!$B$3:$J$18,MATCH($A10,SoTiet!$A$3:$A$18,0),5),INDEX(SoTiet!$L$3:$T$18,MATCH($A10,SoTiet!$A$3:$A$18,0),5))),0)</f>
        <v/>
      </c>
      <c r="G10" s="30">
        <f>SUMPRODUCT((TKB_Nhap!$A$2:$A$73=G$3)*(TKB_Nhap!$D$2:$J$73=$A10))-IFERROR(N(IF(TuanConfig!$B$2="C",INDEX(SoTiet!$B$3:$J$18,MATCH($A10,SoTiet!$A$3:$A$18,0),6),INDEX(SoTiet!$L$3:$T$18,MATCH($A10,SoTiet!$A$3:$A$18,0),6))),0)</f>
        <v/>
      </c>
      <c r="H10" s="30">
        <f>SUMPRODUCT((TKB_Nhap!$A$2:$A$73=H$3)*(TKB_Nhap!$D$2:$J$73=$A10))-IFERROR(N(IF(TuanConfig!$B$2="C",INDEX(SoTiet!$B$3:$J$18,MATCH($A10,SoTiet!$A$3:$A$18,0),7),INDEX(SoTiet!$L$3:$T$18,MATCH($A10,SoTiet!$A$3:$A$18,0),7))),0)</f>
        <v/>
      </c>
      <c r="I10" s="30">
        <f>SUMPRODUCT((TKB_Nhap!$A$2:$A$73=I$3)*(TKB_Nhap!$D$2:$J$73=$A10))-IFERROR(N(IF(TuanConfig!$B$2="C",INDEX(SoTiet!$B$3:$J$18,MATCH($A10,SoTiet!$A$3:$A$18,0),8),INDEX(SoTiet!$L$3:$T$18,MATCH($A10,SoTiet!$A$3:$A$18,0),8))),0)</f>
        <v/>
      </c>
      <c r="J10" s="30">
        <f>SUMPRODUCT((TKB_Nhap!$A$2:$A$73=J$3)*(TKB_Nhap!$D$2:$J$73=$A10))-IFERROR(N(IF(TuanConfig!$B$2="C",INDEX(SoTiet!$B$3:$J$18,MATCH($A10,SoTiet!$A$3:$A$18,0),9),INDEX(SoTiet!$L$3:$T$18,MATCH($A10,SoTiet!$A$3:$A$18,0),9))),0)</f>
        <v/>
      </c>
    </row>
    <row r="11" ht="15" customHeight="1">
      <c r="A11" s="26" t="inlineStr">
        <is>
          <t>Lịch sử và địa lý (Địa lý)</t>
        </is>
      </c>
      <c r="B11" s="30">
        <f>SUMPRODUCT((TKB_Nhap!$A$2:$A$73=B$3)*(TKB_Nhap!$D$2:$J$73=$A11))-IFERROR(N(IF(TuanConfig!$B$2="C",INDEX(SoTiet!$B$3:$J$18,MATCH($A11,SoTiet!$A$3:$A$18,0),1),INDEX(SoTiet!$L$3:$T$18,MATCH($A11,SoTiet!$A$3:$A$18,0),1))),0)</f>
        <v/>
      </c>
      <c r="C11" s="30">
        <f>SUMPRODUCT((TKB_Nhap!$A$2:$A$73=C$3)*(TKB_Nhap!$D$2:$J$73=$A11))-IFERROR(N(IF(TuanConfig!$B$2="C",INDEX(SoTiet!$B$3:$J$18,MATCH($A11,SoTiet!$A$3:$A$18,0),2),INDEX(SoTiet!$L$3:$T$18,MATCH($A11,SoTiet!$A$3:$A$18,0),2))),0)</f>
        <v/>
      </c>
      <c r="D11" s="30">
        <f>SUMPRODUCT((TKB_Nhap!$A$2:$A$73=D$3)*(TKB_Nhap!$D$2:$J$73=$A11))-IFERROR(N(IF(TuanConfig!$B$2="C",INDEX(SoTiet!$B$3:$J$18,MATCH($A11,SoTiet!$A$3:$A$18,0),3),INDEX(SoTiet!$L$3:$T$18,MATCH($A11,SoTiet!$A$3:$A$18,0),3))),0)</f>
        <v/>
      </c>
      <c r="E11" s="30">
        <f>SUMPRODUCT((TKB_Nhap!$A$2:$A$73=E$3)*(TKB_Nhap!$D$2:$J$73=$A11))-IFERROR(N(IF(TuanConfig!$B$2="C",INDEX(SoTiet!$B$3:$J$18,MATCH($A11,SoTiet!$A$3:$A$18,0),4),INDEX(SoTiet!$L$3:$T$18,MATCH($A11,SoTiet!$A$3:$A$18,0),4))),0)</f>
        <v/>
      </c>
      <c r="F11" s="30">
        <f>SUMPRODUCT((TKB_Nhap!$A$2:$A$73=F$3)*(TKB_Nhap!$D$2:$J$73=$A11))-IFERROR(N(IF(TuanConfig!$B$2="C",INDEX(SoTiet!$B$3:$J$18,MATCH($A11,SoTiet!$A$3:$A$18,0),5),INDEX(SoTiet!$L$3:$T$18,MATCH($A11,SoTiet!$A$3:$A$18,0),5))),0)</f>
        <v/>
      </c>
      <c r="G11" s="30">
        <f>SUMPRODUCT((TKB_Nhap!$A$2:$A$73=G$3)*(TKB_Nhap!$D$2:$J$73=$A11))-IFERROR(N(IF(TuanConfig!$B$2="C",INDEX(SoTiet!$B$3:$J$18,MATCH($A11,SoTiet!$A$3:$A$18,0),6),INDEX(SoTiet!$L$3:$T$18,MATCH($A11,SoTiet!$A$3:$A$18,0),6))),0)</f>
        <v/>
      </c>
      <c r="H11" s="30">
        <f>SUMPRODUCT((TKB_Nhap!$A$2:$A$73=H$3)*(TKB_Nhap!$D$2:$J$73=$A11))-IFERROR(N(IF(TuanConfig!$B$2="C",INDEX(SoTiet!$B$3:$J$18,MATCH($A11,SoTiet!$A$3:$A$18,0),7),INDEX(SoTiet!$L$3:$T$18,MATCH($A11,SoTiet!$A$3:$A$18,0),7))),0)</f>
        <v/>
      </c>
      <c r="I11" s="30">
        <f>SUMPRODUCT((TKB_Nhap!$A$2:$A$73=I$3)*(TKB_Nhap!$D$2:$J$73=$A11))-IFERROR(N(IF(TuanConfig!$B$2="C",INDEX(SoTiet!$B$3:$J$18,MATCH($A11,SoTiet!$A$3:$A$18,0),8),INDEX(SoTiet!$L$3:$T$18,MATCH($A11,SoTiet!$A$3:$A$18,0),8))),0)</f>
        <v/>
      </c>
      <c r="J11" s="30">
        <f>SUMPRODUCT((TKB_Nhap!$A$2:$A$73=J$3)*(TKB_Nhap!$D$2:$J$73=$A11))-IFERROR(N(IF(TuanConfig!$B$2="C",INDEX(SoTiet!$B$3:$J$18,MATCH($A11,SoTiet!$A$3:$A$18,0),9),INDEX(SoTiet!$L$3:$T$18,MATCH($A11,SoTiet!$A$3:$A$18,0),9))),0)</f>
        <v/>
      </c>
    </row>
    <row r="12" ht="15" customHeight="1">
      <c r="A12" s="26" t="inlineStr">
        <is>
          <t>Giáo dục công dân</t>
        </is>
      </c>
      <c r="B12" s="30">
        <f>SUMPRODUCT((TKB_Nhap!$A$2:$A$73=B$3)*(TKB_Nhap!$D$2:$J$73=$A12))-IFERROR(N(IF(TuanConfig!$B$2="C",INDEX(SoTiet!$B$3:$J$18,MATCH($A12,SoTiet!$A$3:$A$18,0),1),INDEX(SoTiet!$L$3:$T$18,MATCH($A12,SoTiet!$A$3:$A$18,0),1))),0)</f>
        <v/>
      </c>
      <c r="C12" s="30">
        <f>SUMPRODUCT((TKB_Nhap!$A$2:$A$73=C$3)*(TKB_Nhap!$D$2:$J$73=$A12))-IFERROR(N(IF(TuanConfig!$B$2="C",INDEX(SoTiet!$B$3:$J$18,MATCH($A12,SoTiet!$A$3:$A$18,0),2),INDEX(SoTiet!$L$3:$T$18,MATCH($A12,SoTiet!$A$3:$A$18,0),2))),0)</f>
        <v/>
      </c>
      <c r="D12" s="30">
        <f>SUMPRODUCT((TKB_Nhap!$A$2:$A$73=D$3)*(TKB_Nhap!$D$2:$J$73=$A12))-IFERROR(N(IF(TuanConfig!$B$2="C",INDEX(SoTiet!$B$3:$J$18,MATCH($A12,SoTiet!$A$3:$A$18,0),3),INDEX(SoTiet!$L$3:$T$18,MATCH($A12,SoTiet!$A$3:$A$18,0),3))),0)</f>
        <v/>
      </c>
      <c r="E12" s="30">
        <f>SUMPRODUCT((TKB_Nhap!$A$2:$A$73=E$3)*(TKB_Nhap!$D$2:$J$73=$A12))-IFERROR(N(IF(TuanConfig!$B$2="C",INDEX(SoTiet!$B$3:$J$18,MATCH($A12,SoTiet!$A$3:$A$18,0),4),INDEX(SoTiet!$L$3:$T$18,MATCH($A12,SoTiet!$A$3:$A$18,0),4))),0)</f>
        <v/>
      </c>
      <c r="F12" s="30">
        <f>SUMPRODUCT((TKB_Nhap!$A$2:$A$73=F$3)*(TKB_Nhap!$D$2:$J$73=$A12))-IFERROR(N(IF(TuanConfig!$B$2="C",INDEX(SoTiet!$B$3:$J$18,MATCH($A12,SoTiet!$A$3:$A$18,0),5),INDEX(SoTiet!$L$3:$T$18,MATCH($A12,SoTiet!$A$3:$A$18,0),5))),0)</f>
        <v/>
      </c>
      <c r="G12" s="30">
        <f>SUMPRODUCT((TKB_Nhap!$A$2:$A$73=G$3)*(TKB_Nhap!$D$2:$J$73=$A12))-IFERROR(N(IF(TuanConfig!$B$2="C",INDEX(SoTiet!$B$3:$J$18,MATCH($A12,SoTiet!$A$3:$A$18,0),6),INDEX(SoTiet!$L$3:$T$18,MATCH($A12,SoTiet!$A$3:$A$18,0),6))),0)</f>
        <v/>
      </c>
      <c r="H12" s="30">
        <f>SUMPRODUCT((TKB_Nhap!$A$2:$A$73=H$3)*(TKB_Nhap!$D$2:$J$73=$A12))-IFERROR(N(IF(TuanConfig!$B$2="C",INDEX(SoTiet!$B$3:$J$18,MATCH($A12,SoTiet!$A$3:$A$18,0),7),INDEX(SoTiet!$L$3:$T$18,MATCH($A12,SoTiet!$A$3:$A$18,0),7))),0)</f>
        <v/>
      </c>
      <c r="I12" s="30">
        <f>SUMPRODUCT((TKB_Nhap!$A$2:$A$73=I$3)*(TKB_Nhap!$D$2:$J$73=$A12))-IFERROR(N(IF(TuanConfig!$B$2="C",INDEX(SoTiet!$B$3:$J$18,MATCH($A12,SoTiet!$A$3:$A$18,0),8),INDEX(SoTiet!$L$3:$T$18,MATCH($A12,SoTiet!$A$3:$A$18,0),8))),0)</f>
        <v/>
      </c>
      <c r="J12" s="30">
        <f>SUMPRODUCT((TKB_Nhap!$A$2:$A$73=J$3)*(TKB_Nhap!$D$2:$J$73=$A12))-IFERROR(N(IF(TuanConfig!$B$2="C",INDEX(SoTiet!$B$3:$J$18,MATCH($A12,SoTiet!$A$3:$A$18,0),9),INDEX(SoTiet!$L$3:$T$18,MATCH($A12,SoTiet!$A$3:$A$18,0),9))),0)</f>
        <v/>
      </c>
    </row>
    <row r="13" ht="15" customHeight="1">
      <c r="A13" s="26" t="inlineStr">
        <is>
          <t>Công nghệ</t>
        </is>
      </c>
      <c r="B13" s="30">
        <f>SUMPRODUCT((TKB_Nhap!$A$2:$A$73=B$3)*(TKB_Nhap!$D$2:$J$73=$A13))-IFERROR(N(IF(TuanConfig!$B$2="C",INDEX(SoTiet!$B$3:$J$18,MATCH($A13,SoTiet!$A$3:$A$18,0),1),INDEX(SoTiet!$L$3:$T$18,MATCH($A13,SoTiet!$A$3:$A$18,0),1))),0)</f>
        <v/>
      </c>
      <c r="C13" s="30">
        <f>SUMPRODUCT((TKB_Nhap!$A$2:$A$73=C$3)*(TKB_Nhap!$D$2:$J$73=$A13))-IFERROR(N(IF(TuanConfig!$B$2="C",INDEX(SoTiet!$B$3:$J$18,MATCH($A13,SoTiet!$A$3:$A$18,0),2),INDEX(SoTiet!$L$3:$T$18,MATCH($A13,SoTiet!$A$3:$A$18,0),2))),0)</f>
        <v/>
      </c>
      <c r="D13" s="30">
        <f>SUMPRODUCT((TKB_Nhap!$A$2:$A$73=D$3)*(TKB_Nhap!$D$2:$J$73=$A13))-IFERROR(N(IF(TuanConfig!$B$2="C",INDEX(SoTiet!$B$3:$J$18,MATCH($A13,SoTiet!$A$3:$A$18,0),3),INDEX(SoTiet!$L$3:$T$18,MATCH($A13,SoTiet!$A$3:$A$18,0),3))),0)</f>
        <v/>
      </c>
      <c r="E13" s="30">
        <f>SUMPRODUCT((TKB_Nhap!$A$2:$A$73=E$3)*(TKB_Nhap!$D$2:$J$73=$A13))-IFERROR(N(IF(TuanConfig!$B$2="C",INDEX(SoTiet!$B$3:$J$18,MATCH($A13,SoTiet!$A$3:$A$18,0),4),INDEX(SoTiet!$L$3:$T$18,MATCH($A13,SoTiet!$A$3:$A$18,0),4))),0)</f>
        <v/>
      </c>
      <c r="F13" s="30">
        <f>SUMPRODUCT((TKB_Nhap!$A$2:$A$73=F$3)*(TKB_Nhap!$D$2:$J$73=$A13))-IFERROR(N(IF(TuanConfig!$B$2="C",INDEX(SoTiet!$B$3:$J$18,MATCH($A13,SoTiet!$A$3:$A$18,0),5),INDEX(SoTiet!$L$3:$T$18,MATCH($A13,SoTiet!$A$3:$A$18,0),5))),0)</f>
        <v/>
      </c>
      <c r="G13" s="30">
        <f>SUMPRODUCT((TKB_Nhap!$A$2:$A$73=G$3)*(TKB_Nhap!$D$2:$J$73=$A13))-IFERROR(N(IF(TuanConfig!$B$2="C",INDEX(SoTiet!$B$3:$J$18,MATCH($A13,SoTiet!$A$3:$A$18,0),6),INDEX(SoTiet!$L$3:$T$18,MATCH($A13,SoTiet!$A$3:$A$18,0),6))),0)</f>
        <v/>
      </c>
      <c r="H13" s="30">
        <f>SUMPRODUCT((TKB_Nhap!$A$2:$A$73=H$3)*(TKB_Nhap!$D$2:$J$73=$A13))-IFERROR(N(IF(TuanConfig!$B$2="C",INDEX(SoTiet!$B$3:$J$18,MATCH($A13,SoTiet!$A$3:$A$18,0),7),INDEX(SoTiet!$L$3:$T$18,MATCH($A13,SoTiet!$A$3:$A$18,0),7))),0)</f>
        <v/>
      </c>
      <c r="I13" s="30">
        <f>SUMPRODUCT((TKB_Nhap!$A$2:$A$73=I$3)*(TKB_Nhap!$D$2:$J$73=$A13))-IFERROR(N(IF(TuanConfig!$B$2="C",INDEX(SoTiet!$B$3:$J$18,MATCH($A13,SoTiet!$A$3:$A$18,0),8),INDEX(SoTiet!$L$3:$T$18,MATCH($A13,SoTiet!$A$3:$A$18,0),8))),0)</f>
        <v/>
      </c>
      <c r="J13" s="30">
        <f>SUMPRODUCT((TKB_Nhap!$A$2:$A$73=J$3)*(TKB_Nhap!$D$2:$J$73=$A13))-IFERROR(N(IF(TuanConfig!$B$2="C",INDEX(SoTiet!$B$3:$J$18,MATCH($A13,SoTiet!$A$3:$A$18,0),9),INDEX(SoTiet!$L$3:$T$18,MATCH($A13,SoTiet!$A$3:$A$18,0),9))),0)</f>
        <v/>
      </c>
    </row>
    <row r="14" ht="15" customHeight="1">
      <c r="A14" s="26" t="inlineStr">
        <is>
          <t>Tin</t>
        </is>
      </c>
      <c r="B14" s="30">
        <f>SUMPRODUCT((TKB_Nhap!$A$2:$A$73=B$3)*(TKB_Nhap!$D$2:$J$73=$A14))-IFERROR(N(IF(TuanConfig!$B$2="C",INDEX(SoTiet!$B$3:$J$18,MATCH($A14,SoTiet!$A$3:$A$18,0),1),INDEX(SoTiet!$L$3:$T$18,MATCH($A14,SoTiet!$A$3:$A$18,0),1))),0)</f>
        <v/>
      </c>
      <c r="C14" s="30">
        <f>SUMPRODUCT((TKB_Nhap!$A$2:$A$73=C$3)*(TKB_Nhap!$D$2:$J$73=$A14))-IFERROR(N(IF(TuanConfig!$B$2="C",INDEX(SoTiet!$B$3:$J$18,MATCH($A14,SoTiet!$A$3:$A$18,0),2),INDEX(SoTiet!$L$3:$T$18,MATCH($A14,SoTiet!$A$3:$A$18,0),2))),0)</f>
        <v/>
      </c>
      <c r="D14" s="30">
        <f>SUMPRODUCT((TKB_Nhap!$A$2:$A$73=D$3)*(TKB_Nhap!$D$2:$J$73=$A14))-IFERROR(N(IF(TuanConfig!$B$2="C",INDEX(SoTiet!$B$3:$J$18,MATCH($A14,SoTiet!$A$3:$A$18,0),3),INDEX(SoTiet!$L$3:$T$18,MATCH($A14,SoTiet!$A$3:$A$18,0),3))),0)</f>
        <v/>
      </c>
      <c r="E14" s="30">
        <f>SUMPRODUCT((TKB_Nhap!$A$2:$A$73=E$3)*(TKB_Nhap!$D$2:$J$73=$A14))-IFERROR(N(IF(TuanConfig!$B$2="C",INDEX(SoTiet!$B$3:$J$18,MATCH($A14,SoTiet!$A$3:$A$18,0),4),INDEX(SoTiet!$L$3:$T$18,MATCH($A14,SoTiet!$A$3:$A$18,0),4))),0)</f>
        <v/>
      </c>
      <c r="F14" s="30">
        <f>SUMPRODUCT((TKB_Nhap!$A$2:$A$73=F$3)*(TKB_Nhap!$D$2:$J$73=$A14))-IFERROR(N(IF(TuanConfig!$B$2="C",INDEX(SoTiet!$B$3:$J$18,MATCH($A14,SoTiet!$A$3:$A$18,0),5),INDEX(SoTiet!$L$3:$T$18,MATCH($A14,SoTiet!$A$3:$A$18,0),5))),0)</f>
        <v/>
      </c>
      <c r="G14" s="30">
        <f>SUMPRODUCT((TKB_Nhap!$A$2:$A$73=G$3)*(TKB_Nhap!$D$2:$J$73=$A14))-IFERROR(N(IF(TuanConfig!$B$2="C",INDEX(SoTiet!$B$3:$J$18,MATCH($A14,SoTiet!$A$3:$A$18,0),6),INDEX(SoTiet!$L$3:$T$18,MATCH($A14,SoTiet!$A$3:$A$18,0),6))),0)</f>
        <v/>
      </c>
      <c r="H14" s="30">
        <f>SUMPRODUCT((TKB_Nhap!$A$2:$A$73=H$3)*(TKB_Nhap!$D$2:$J$73=$A14))-IFERROR(N(IF(TuanConfig!$B$2="C",INDEX(SoTiet!$B$3:$J$18,MATCH($A14,SoTiet!$A$3:$A$18,0),7),INDEX(SoTiet!$L$3:$T$18,MATCH($A14,SoTiet!$A$3:$A$18,0),7))),0)</f>
        <v/>
      </c>
      <c r="I14" s="30">
        <f>SUMPRODUCT((TKB_Nhap!$A$2:$A$73=I$3)*(TKB_Nhap!$D$2:$J$73=$A14))-IFERROR(N(IF(TuanConfig!$B$2="C",INDEX(SoTiet!$B$3:$J$18,MATCH($A14,SoTiet!$A$3:$A$18,0),8),INDEX(SoTiet!$L$3:$T$18,MATCH($A14,SoTiet!$A$3:$A$18,0),8))),0)</f>
        <v/>
      </c>
      <c r="J14" s="30">
        <f>SUMPRODUCT((TKB_Nhap!$A$2:$A$73=J$3)*(TKB_Nhap!$D$2:$J$73=$A14))-IFERROR(N(IF(TuanConfig!$B$2="C",INDEX(SoTiet!$B$3:$J$18,MATCH($A14,SoTiet!$A$3:$A$18,0),9),INDEX(SoTiet!$L$3:$T$18,MATCH($A14,SoTiet!$A$3:$A$18,0),9))),0)</f>
        <v/>
      </c>
    </row>
    <row r="15" ht="15" customHeight="1">
      <c r="A15" s="26" t="inlineStr">
        <is>
          <t>Giáo dục thể chất</t>
        </is>
      </c>
      <c r="B15" s="30">
        <f>SUMPRODUCT((TKB_Nhap!$A$2:$A$73=B$3)*(TKB_Nhap!$D$2:$J$73=$A15))-IFERROR(N(IF(TuanConfig!$B$2="C",INDEX(SoTiet!$B$3:$J$18,MATCH($A15,SoTiet!$A$3:$A$18,0),1),INDEX(SoTiet!$L$3:$T$18,MATCH($A15,SoTiet!$A$3:$A$18,0),1))),0)</f>
        <v/>
      </c>
      <c r="C15" s="30">
        <f>SUMPRODUCT((TKB_Nhap!$A$2:$A$73=C$3)*(TKB_Nhap!$D$2:$J$73=$A15))-IFERROR(N(IF(TuanConfig!$B$2="C",INDEX(SoTiet!$B$3:$J$18,MATCH($A15,SoTiet!$A$3:$A$18,0),2),INDEX(SoTiet!$L$3:$T$18,MATCH($A15,SoTiet!$A$3:$A$18,0),2))),0)</f>
        <v/>
      </c>
      <c r="D15" s="30">
        <f>SUMPRODUCT((TKB_Nhap!$A$2:$A$73=D$3)*(TKB_Nhap!$D$2:$J$73=$A15))-IFERROR(N(IF(TuanConfig!$B$2="C",INDEX(SoTiet!$B$3:$J$18,MATCH($A15,SoTiet!$A$3:$A$18,0),3),INDEX(SoTiet!$L$3:$T$18,MATCH($A15,SoTiet!$A$3:$A$18,0),3))),0)</f>
        <v/>
      </c>
      <c r="E15" s="30">
        <f>SUMPRODUCT((TKB_Nhap!$A$2:$A$73=E$3)*(TKB_Nhap!$D$2:$J$73=$A15))-IFERROR(N(IF(TuanConfig!$B$2="C",INDEX(SoTiet!$B$3:$J$18,MATCH($A15,SoTiet!$A$3:$A$18,0),4),INDEX(SoTiet!$L$3:$T$18,MATCH($A15,SoTiet!$A$3:$A$18,0),4))),0)</f>
        <v/>
      </c>
      <c r="F15" s="30">
        <f>SUMPRODUCT((TKB_Nhap!$A$2:$A$73=F$3)*(TKB_Nhap!$D$2:$J$73=$A15))-IFERROR(N(IF(TuanConfig!$B$2="C",INDEX(SoTiet!$B$3:$J$18,MATCH($A15,SoTiet!$A$3:$A$18,0),5),INDEX(SoTiet!$L$3:$T$18,MATCH($A15,SoTiet!$A$3:$A$18,0),5))),0)</f>
        <v/>
      </c>
      <c r="G15" s="30">
        <f>SUMPRODUCT((TKB_Nhap!$A$2:$A$73=G$3)*(TKB_Nhap!$D$2:$J$73=$A15))-IFERROR(N(IF(TuanConfig!$B$2="C",INDEX(SoTiet!$B$3:$J$18,MATCH($A15,SoTiet!$A$3:$A$18,0),6),INDEX(SoTiet!$L$3:$T$18,MATCH($A15,SoTiet!$A$3:$A$18,0),6))),0)</f>
        <v/>
      </c>
      <c r="H15" s="30">
        <f>SUMPRODUCT((TKB_Nhap!$A$2:$A$73=H$3)*(TKB_Nhap!$D$2:$J$73=$A15))-IFERROR(N(IF(TuanConfig!$B$2="C",INDEX(SoTiet!$B$3:$J$18,MATCH($A15,SoTiet!$A$3:$A$18,0),7),INDEX(SoTiet!$L$3:$T$18,MATCH($A15,SoTiet!$A$3:$A$18,0),7))),0)</f>
        <v/>
      </c>
      <c r="I15" s="30">
        <f>SUMPRODUCT((TKB_Nhap!$A$2:$A$73=I$3)*(TKB_Nhap!$D$2:$J$73=$A15))-IFERROR(N(IF(TuanConfig!$B$2="C",INDEX(SoTiet!$B$3:$J$18,MATCH($A15,SoTiet!$A$3:$A$18,0),8),INDEX(SoTiet!$L$3:$T$18,MATCH($A15,SoTiet!$A$3:$A$18,0),8))),0)</f>
        <v/>
      </c>
      <c r="J15" s="30">
        <f>SUMPRODUCT((TKB_Nhap!$A$2:$A$73=J$3)*(TKB_Nhap!$D$2:$J$73=$A15))-IFERROR(N(IF(TuanConfig!$B$2="C",INDEX(SoTiet!$B$3:$J$18,MATCH($A15,SoTiet!$A$3:$A$18,0),9),INDEX(SoTiet!$L$3:$T$18,MATCH($A15,SoTiet!$A$3:$A$18,0),9))),0)</f>
        <v/>
      </c>
    </row>
    <row r="16" ht="15" customHeight="1">
      <c r="A16" s="26" t="inlineStr">
        <is>
          <t>Nội dung giáo dục của địa phương</t>
        </is>
      </c>
      <c r="B16" s="30">
        <f>SUMPRODUCT((TKB_Nhap!$A$2:$A$73=B$3)*(TKB_Nhap!$D$2:$J$73=$A16))-IFERROR(N(IF(TuanConfig!$B$2="C",INDEX(SoTiet!$B$3:$J$18,MATCH($A16,SoTiet!$A$3:$A$18,0),1),INDEX(SoTiet!$L$3:$T$18,MATCH($A16,SoTiet!$A$3:$A$18,0),1))),0)</f>
        <v/>
      </c>
      <c r="C16" s="30">
        <f>SUMPRODUCT((TKB_Nhap!$A$2:$A$73=C$3)*(TKB_Nhap!$D$2:$J$73=$A16))-IFERROR(N(IF(TuanConfig!$B$2="C",INDEX(SoTiet!$B$3:$J$18,MATCH($A16,SoTiet!$A$3:$A$18,0),2),INDEX(SoTiet!$L$3:$T$18,MATCH($A16,SoTiet!$A$3:$A$18,0),2))),0)</f>
        <v/>
      </c>
      <c r="D16" s="30">
        <f>SUMPRODUCT((TKB_Nhap!$A$2:$A$73=D$3)*(TKB_Nhap!$D$2:$J$73=$A16))-IFERROR(N(IF(TuanConfig!$B$2="C",INDEX(SoTiet!$B$3:$J$18,MATCH($A16,SoTiet!$A$3:$A$18,0),3),INDEX(SoTiet!$L$3:$T$18,MATCH($A16,SoTiet!$A$3:$A$18,0),3))),0)</f>
        <v/>
      </c>
      <c r="E16" s="30">
        <f>SUMPRODUCT((TKB_Nhap!$A$2:$A$73=E$3)*(TKB_Nhap!$D$2:$J$73=$A16))-IFERROR(N(IF(TuanConfig!$B$2="C",INDEX(SoTiet!$B$3:$J$18,MATCH($A16,SoTiet!$A$3:$A$18,0),4),INDEX(SoTiet!$L$3:$T$18,MATCH($A16,SoTiet!$A$3:$A$18,0),4))),0)</f>
        <v/>
      </c>
      <c r="F16" s="30">
        <f>SUMPRODUCT((TKB_Nhap!$A$2:$A$73=F$3)*(TKB_Nhap!$D$2:$J$73=$A16))-IFERROR(N(IF(TuanConfig!$B$2="C",INDEX(SoTiet!$B$3:$J$18,MATCH($A16,SoTiet!$A$3:$A$18,0),5),INDEX(SoTiet!$L$3:$T$18,MATCH($A16,SoTiet!$A$3:$A$18,0),5))),0)</f>
        <v/>
      </c>
      <c r="G16" s="30">
        <f>SUMPRODUCT((TKB_Nhap!$A$2:$A$73=G$3)*(TKB_Nhap!$D$2:$J$73=$A16))-IFERROR(N(IF(TuanConfig!$B$2="C",INDEX(SoTiet!$B$3:$J$18,MATCH($A16,SoTiet!$A$3:$A$18,0),6),INDEX(SoTiet!$L$3:$T$18,MATCH($A16,SoTiet!$A$3:$A$18,0),6))),0)</f>
        <v/>
      </c>
      <c r="H16" s="30">
        <f>SUMPRODUCT((TKB_Nhap!$A$2:$A$73=H$3)*(TKB_Nhap!$D$2:$J$73=$A16))-IFERROR(N(IF(TuanConfig!$B$2="C",INDEX(SoTiet!$B$3:$J$18,MATCH($A16,SoTiet!$A$3:$A$18,0),7),INDEX(SoTiet!$L$3:$T$18,MATCH($A16,SoTiet!$A$3:$A$18,0),7))),0)</f>
        <v/>
      </c>
      <c r="I16" s="30">
        <f>SUMPRODUCT((TKB_Nhap!$A$2:$A$73=I$3)*(TKB_Nhap!$D$2:$J$73=$A16))-IFERROR(N(IF(TuanConfig!$B$2="C",INDEX(SoTiet!$B$3:$J$18,MATCH($A16,SoTiet!$A$3:$A$18,0),8),INDEX(SoTiet!$L$3:$T$18,MATCH($A16,SoTiet!$A$3:$A$18,0),8))),0)</f>
        <v/>
      </c>
      <c r="J16" s="30">
        <f>SUMPRODUCT((TKB_Nhap!$A$2:$A$73=J$3)*(TKB_Nhap!$D$2:$J$73=$A16))-IFERROR(N(IF(TuanConfig!$B$2="C",INDEX(SoTiet!$B$3:$J$18,MATCH($A16,SoTiet!$A$3:$A$18,0),9),INDEX(SoTiet!$L$3:$T$18,MATCH($A16,SoTiet!$A$3:$A$18,0),9))),0)</f>
        <v/>
      </c>
    </row>
    <row r="17" ht="15" customHeight="1">
      <c r="A17" s="26" t="inlineStr">
        <is>
          <t>Hoạt động trải nghiệm, hướng nghiệp</t>
        </is>
      </c>
      <c r="B17" s="30">
        <f>SUMPRODUCT((TKB_Nhap!$A$2:$A$73=B$3)*(TKB_Nhap!$D$2:$J$73=$A17))-IFERROR(N(IF(TuanConfig!$B$2="C",INDEX(SoTiet!$B$3:$J$18,MATCH($A17,SoTiet!$A$3:$A$18,0),1),INDEX(SoTiet!$L$3:$T$18,MATCH($A17,SoTiet!$A$3:$A$18,0),1))),0)</f>
        <v/>
      </c>
      <c r="C17" s="30">
        <f>SUMPRODUCT((TKB_Nhap!$A$2:$A$73=C$3)*(TKB_Nhap!$D$2:$J$73=$A17))-IFERROR(N(IF(TuanConfig!$B$2="C",INDEX(SoTiet!$B$3:$J$18,MATCH($A17,SoTiet!$A$3:$A$18,0),2),INDEX(SoTiet!$L$3:$T$18,MATCH($A17,SoTiet!$A$3:$A$18,0),2))),0)</f>
        <v/>
      </c>
      <c r="D17" s="30">
        <f>SUMPRODUCT((TKB_Nhap!$A$2:$A$73=D$3)*(TKB_Nhap!$D$2:$J$73=$A17))-IFERROR(N(IF(TuanConfig!$B$2="C",INDEX(SoTiet!$B$3:$J$18,MATCH($A17,SoTiet!$A$3:$A$18,0),3),INDEX(SoTiet!$L$3:$T$18,MATCH($A17,SoTiet!$A$3:$A$18,0),3))),0)</f>
        <v/>
      </c>
      <c r="E17" s="30">
        <f>SUMPRODUCT((TKB_Nhap!$A$2:$A$73=E$3)*(TKB_Nhap!$D$2:$J$73=$A17))-IFERROR(N(IF(TuanConfig!$B$2="C",INDEX(SoTiet!$B$3:$J$18,MATCH($A17,SoTiet!$A$3:$A$18,0),4),INDEX(SoTiet!$L$3:$T$18,MATCH($A17,SoTiet!$A$3:$A$18,0),4))),0)</f>
        <v/>
      </c>
      <c r="F17" s="30">
        <f>SUMPRODUCT((TKB_Nhap!$A$2:$A$73=F$3)*(TKB_Nhap!$D$2:$J$73=$A17))-IFERROR(N(IF(TuanConfig!$B$2="C",INDEX(SoTiet!$B$3:$J$18,MATCH($A17,SoTiet!$A$3:$A$18,0),5),INDEX(SoTiet!$L$3:$T$18,MATCH($A17,SoTiet!$A$3:$A$18,0),5))),0)</f>
        <v/>
      </c>
      <c r="G17" s="30">
        <f>SUMPRODUCT((TKB_Nhap!$A$2:$A$73=G$3)*(TKB_Nhap!$D$2:$J$73=$A17))-IFERROR(N(IF(TuanConfig!$B$2="C",INDEX(SoTiet!$B$3:$J$18,MATCH($A17,SoTiet!$A$3:$A$18,0),6),INDEX(SoTiet!$L$3:$T$18,MATCH($A17,SoTiet!$A$3:$A$18,0),6))),0)</f>
        <v/>
      </c>
      <c r="H17" s="30">
        <f>SUMPRODUCT((TKB_Nhap!$A$2:$A$73=H$3)*(TKB_Nhap!$D$2:$J$73=$A17))-IFERROR(N(IF(TuanConfig!$B$2="C",INDEX(SoTiet!$B$3:$J$18,MATCH($A17,SoTiet!$A$3:$A$18,0),7),INDEX(SoTiet!$L$3:$T$18,MATCH($A17,SoTiet!$A$3:$A$18,0),7))),0)</f>
        <v/>
      </c>
      <c r="I17" s="30">
        <f>SUMPRODUCT((TKB_Nhap!$A$2:$A$73=I$3)*(TKB_Nhap!$D$2:$J$73=$A17))-IFERROR(N(IF(TuanConfig!$B$2="C",INDEX(SoTiet!$B$3:$J$18,MATCH($A17,SoTiet!$A$3:$A$18,0),8),INDEX(SoTiet!$L$3:$T$18,MATCH($A17,SoTiet!$A$3:$A$18,0),8))),0)</f>
        <v/>
      </c>
      <c r="J17" s="30">
        <f>SUMPRODUCT((TKB_Nhap!$A$2:$A$73=J$3)*(TKB_Nhap!$D$2:$J$73=$A17))-IFERROR(N(IF(TuanConfig!$B$2="C",INDEX(SoTiet!$B$3:$J$18,MATCH($A17,SoTiet!$A$3:$A$18,0),9),INDEX(SoTiet!$L$3:$T$18,MATCH($A17,SoTiet!$A$3:$A$18,0),9))),0)</f>
        <v/>
      </c>
    </row>
    <row r="18" ht="15" customHeight="1">
      <c r="A18" s="26" t="inlineStr">
        <is>
          <t>Nghệ thuật (Nhạc)</t>
        </is>
      </c>
      <c r="B18" s="30">
        <f>SUMPRODUCT((TKB_Nhap!$A$2:$A$73=B$3)*(TKB_Nhap!$D$2:$J$73=$A18))-IFERROR(N(IF(TuanConfig!$B$2="C",INDEX(SoTiet!$B$3:$J$18,MATCH($A18,SoTiet!$A$3:$A$18,0),1),INDEX(SoTiet!$L$3:$T$18,MATCH($A18,SoTiet!$A$3:$A$18,0),1))),0)</f>
        <v/>
      </c>
      <c r="C18" s="30">
        <f>SUMPRODUCT((TKB_Nhap!$A$2:$A$73=C$3)*(TKB_Nhap!$D$2:$J$73=$A18))-IFERROR(N(IF(TuanConfig!$B$2="C",INDEX(SoTiet!$B$3:$J$18,MATCH($A18,SoTiet!$A$3:$A$18,0),2),INDEX(SoTiet!$L$3:$T$18,MATCH($A18,SoTiet!$A$3:$A$18,0),2))),0)</f>
        <v/>
      </c>
      <c r="D18" s="30">
        <f>SUMPRODUCT((TKB_Nhap!$A$2:$A$73=D$3)*(TKB_Nhap!$D$2:$J$73=$A18))-IFERROR(N(IF(TuanConfig!$B$2="C",INDEX(SoTiet!$B$3:$J$18,MATCH($A18,SoTiet!$A$3:$A$18,0),3),INDEX(SoTiet!$L$3:$T$18,MATCH($A18,SoTiet!$A$3:$A$18,0),3))),0)</f>
        <v/>
      </c>
      <c r="E18" s="30">
        <f>SUMPRODUCT((TKB_Nhap!$A$2:$A$73=E$3)*(TKB_Nhap!$D$2:$J$73=$A18))-IFERROR(N(IF(TuanConfig!$B$2="C",INDEX(SoTiet!$B$3:$J$18,MATCH($A18,SoTiet!$A$3:$A$18,0),4),INDEX(SoTiet!$L$3:$T$18,MATCH($A18,SoTiet!$A$3:$A$18,0),4))),0)</f>
        <v/>
      </c>
      <c r="F18" s="30">
        <f>SUMPRODUCT((TKB_Nhap!$A$2:$A$73=F$3)*(TKB_Nhap!$D$2:$J$73=$A18))-IFERROR(N(IF(TuanConfig!$B$2="C",INDEX(SoTiet!$B$3:$J$18,MATCH($A18,SoTiet!$A$3:$A$18,0),5),INDEX(SoTiet!$L$3:$T$18,MATCH($A18,SoTiet!$A$3:$A$18,0),5))),0)</f>
        <v/>
      </c>
      <c r="G18" s="30">
        <f>SUMPRODUCT((TKB_Nhap!$A$2:$A$73=G$3)*(TKB_Nhap!$D$2:$J$73=$A18))-IFERROR(N(IF(TuanConfig!$B$2="C",INDEX(SoTiet!$B$3:$J$18,MATCH($A18,SoTiet!$A$3:$A$18,0),6),INDEX(SoTiet!$L$3:$T$18,MATCH($A18,SoTiet!$A$3:$A$18,0),6))),0)</f>
        <v/>
      </c>
      <c r="H18" s="30">
        <f>SUMPRODUCT((TKB_Nhap!$A$2:$A$73=H$3)*(TKB_Nhap!$D$2:$J$73=$A18))-IFERROR(N(IF(TuanConfig!$B$2="C",INDEX(SoTiet!$B$3:$J$18,MATCH($A18,SoTiet!$A$3:$A$18,0),7),INDEX(SoTiet!$L$3:$T$18,MATCH($A18,SoTiet!$A$3:$A$18,0),7))),0)</f>
        <v/>
      </c>
      <c r="I18" s="30">
        <f>SUMPRODUCT((TKB_Nhap!$A$2:$A$73=I$3)*(TKB_Nhap!$D$2:$J$73=$A18))-IFERROR(N(IF(TuanConfig!$B$2="C",INDEX(SoTiet!$B$3:$J$18,MATCH($A18,SoTiet!$A$3:$A$18,0),8),INDEX(SoTiet!$L$3:$T$18,MATCH($A18,SoTiet!$A$3:$A$18,0),8))),0)</f>
        <v/>
      </c>
      <c r="J18" s="30">
        <f>SUMPRODUCT((TKB_Nhap!$A$2:$A$73=J$3)*(TKB_Nhap!$D$2:$J$73=$A18))-IFERROR(N(IF(TuanConfig!$B$2="C",INDEX(SoTiet!$B$3:$J$18,MATCH($A18,SoTiet!$A$3:$A$18,0),9),INDEX(SoTiet!$L$3:$T$18,MATCH($A18,SoTiet!$A$3:$A$18,0),9))),0)</f>
        <v/>
      </c>
    </row>
    <row r="19" ht="15" customHeight="1">
      <c r="A19" s="26" t="inlineStr">
        <is>
          <t>Nghệ thuật (Mỹ thuật)</t>
        </is>
      </c>
      <c r="B19" s="30">
        <f>SUMPRODUCT((TKB_Nhap!$A$2:$A$73=B$3)*(TKB_Nhap!$D$2:$J$73=$A19))-IFERROR(N(IF(TuanConfig!$B$2="C",INDEX(SoTiet!$B$3:$J$18,MATCH($A19,SoTiet!$A$3:$A$18,0),1),INDEX(SoTiet!$L$3:$T$18,MATCH($A19,SoTiet!$A$3:$A$18,0),1))),0)</f>
        <v/>
      </c>
      <c r="C19" s="30">
        <f>SUMPRODUCT((TKB_Nhap!$A$2:$A$73=C$3)*(TKB_Nhap!$D$2:$J$73=$A19))-IFERROR(N(IF(TuanConfig!$B$2="C",INDEX(SoTiet!$B$3:$J$18,MATCH($A19,SoTiet!$A$3:$A$18,0),2),INDEX(SoTiet!$L$3:$T$18,MATCH($A19,SoTiet!$A$3:$A$18,0),2))),0)</f>
        <v/>
      </c>
      <c r="D19" s="30">
        <f>SUMPRODUCT((TKB_Nhap!$A$2:$A$73=D$3)*(TKB_Nhap!$D$2:$J$73=$A19))-IFERROR(N(IF(TuanConfig!$B$2="C",INDEX(SoTiet!$B$3:$J$18,MATCH($A19,SoTiet!$A$3:$A$18,0),3),INDEX(SoTiet!$L$3:$T$18,MATCH($A19,SoTiet!$A$3:$A$18,0),3))),0)</f>
        <v/>
      </c>
      <c r="E19" s="30">
        <f>SUMPRODUCT((TKB_Nhap!$A$2:$A$73=E$3)*(TKB_Nhap!$D$2:$J$73=$A19))-IFERROR(N(IF(TuanConfig!$B$2="C",INDEX(SoTiet!$B$3:$J$18,MATCH($A19,SoTiet!$A$3:$A$18,0),4),INDEX(SoTiet!$L$3:$T$18,MATCH($A19,SoTiet!$A$3:$A$18,0),4))),0)</f>
        <v/>
      </c>
      <c r="F19" s="30">
        <f>SUMPRODUCT((TKB_Nhap!$A$2:$A$73=F$3)*(TKB_Nhap!$D$2:$J$73=$A19))-IFERROR(N(IF(TuanConfig!$B$2="C",INDEX(SoTiet!$B$3:$J$18,MATCH($A19,SoTiet!$A$3:$A$18,0),5),INDEX(SoTiet!$L$3:$T$18,MATCH($A19,SoTiet!$A$3:$A$18,0),5))),0)</f>
        <v/>
      </c>
      <c r="G19" s="30">
        <f>SUMPRODUCT((TKB_Nhap!$A$2:$A$73=G$3)*(TKB_Nhap!$D$2:$J$73=$A19))-IFERROR(N(IF(TuanConfig!$B$2="C",INDEX(SoTiet!$B$3:$J$18,MATCH($A19,SoTiet!$A$3:$A$18,0),6),INDEX(SoTiet!$L$3:$T$18,MATCH($A19,SoTiet!$A$3:$A$18,0),6))),0)</f>
        <v/>
      </c>
      <c r="H19" s="30">
        <f>SUMPRODUCT((TKB_Nhap!$A$2:$A$73=H$3)*(TKB_Nhap!$D$2:$J$73=$A19))-IFERROR(N(IF(TuanConfig!$B$2="C",INDEX(SoTiet!$B$3:$J$18,MATCH($A19,SoTiet!$A$3:$A$18,0),7),INDEX(SoTiet!$L$3:$T$18,MATCH($A19,SoTiet!$A$3:$A$18,0),7))),0)</f>
        <v/>
      </c>
      <c r="I19" s="30">
        <f>SUMPRODUCT((TKB_Nhap!$A$2:$A$73=I$3)*(TKB_Nhap!$D$2:$J$73=$A19))-IFERROR(N(IF(TuanConfig!$B$2="C",INDEX(SoTiet!$B$3:$J$18,MATCH($A19,SoTiet!$A$3:$A$18,0),8),INDEX(SoTiet!$L$3:$T$18,MATCH($A19,SoTiet!$A$3:$A$18,0),8))),0)</f>
        <v/>
      </c>
      <c r="J19" s="30">
        <f>SUMPRODUCT((TKB_Nhap!$A$2:$A$73=J$3)*(TKB_Nhap!$D$2:$J$73=$A19))-IFERROR(N(IF(TuanConfig!$B$2="C",INDEX(SoTiet!$B$3:$J$18,MATCH($A19,SoTiet!$A$3:$A$18,0),9),INDEX(SoTiet!$L$3:$T$18,MATCH($A19,SoTiet!$A$3:$A$18,0),9))),0)</f>
        <v/>
      </c>
    </row>
    <row r="20" ht="15" customHeight="1">
      <c r="A20" s="15" t="inlineStr">
        <is>
          <t>TỔNG (xếp−ĐM)</t>
        </is>
      </c>
      <c r="B20" s="11">
        <f>SUMPRODUCT((TKB_Nhap!$A$2:$A$73=B$3)*(TKB_Nhap!$D$2:$J$73&lt;&gt;""))-IF(TuanConfig!$B$2="C",SUM(SoTiet!B3:B18),SUM(SoTiet!L3:L18))</f>
        <v/>
      </c>
      <c r="C20" s="11">
        <f>SUMPRODUCT((TKB_Nhap!$A$2:$A$73=C$3)*(TKB_Nhap!$D$2:$J$73&lt;&gt;""))-IF(TuanConfig!$B$2="C",SUM(SoTiet!C3:C18),SUM(SoTiet!M3:M18))</f>
        <v/>
      </c>
      <c r="D20" s="11">
        <f>SUMPRODUCT((TKB_Nhap!$A$2:$A$73=D$3)*(TKB_Nhap!$D$2:$J$73&lt;&gt;""))-IF(TuanConfig!$B$2="C",SUM(SoTiet!D3:D18),SUM(SoTiet!N3:N18))</f>
        <v/>
      </c>
      <c r="E20" s="11">
        <f>SUMPRODUCT((TKB_Nhap!$A$2:$A$73=E$3)*(TKB_Nhap!$D$2:$J$73&lt;&gt;""))-IF(TuanConfig!$B$2="C",SUM(SoTiet!E3:E18),SUM(SoTiet!O3:O18))</f>
        <v/>
      </c>
      <c r="F20" s="11">
        <f>SUMPRODUCT((TKB_Nhap!$A$2:$A$73=F$3)*(TKB_Nhap!$D$2:$J$73&lt;&gt;""))-IF(TuanConfig!$B$2="C",SUM(SoTiet!F3:F18),SUM(SoTiet!P3:P18))</f>
        <v/>
      </c>
      <c r="G20" s="11">
        <f>SUMPRODUCT((TKB_Nhap!$A$2:$A$73=G$3)*(TKB_Nhap!$D$2:$J$73&lt;&gt;""))-IF(TuanConfig!$B$2="C",SUM(SoTiet!G3:G18),SUM(SoTiet!Q3:Q18))</f>
        <v/>
      </c>
      <c r="H20" s="11">
        <f>SUMPRODUCT((TKB_Nhap!$A$2:$A$73=H$3)*(TKB_Nhap!$D$2:$J$73&lt;&gt;""))-IF(TuanConfig!$B$2="C",SUM(SoTiet!H3:H18),SUM(SoTiet!R3:R18))</f>
        <v/>
      </c>
      <c r="I20" s="11">
        <f>SUMPRODUCT((TKB_Nhap!$A$2:$A$73=I$3)*(TKB_Nhap!$D$2:$J$73&lt;&gt;""))-IF(TuanConfig!$B$2="C",SUM(SoTiet!I3:I18),SUM(SoTiet!S3:S18))</f>
        <v/>
      </c>
      <c r="J20" s="11">
        <f>SUMPRODUCT((TKB_Nhap!$A$2:$A$73=J$3)*(TKB_Nhap!$D$2:$J$73&lt;&gt;""))-IF(TuanConfig!$B$2="C",SUM(SoTiet!J3:J18),SUM(SoTiet!T3:T18))</f>
        <v/>
      </c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inlineStr">
        <is>
          <t>Số ô trùng GV:</t>
        </is>
      </c>
      <c r="B22" s="31">
        <f>SUM(TKB_GV!$L$2:$R$73)</f>
        <v/>
      </c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D2:I70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  <c r="I2" t="inlineStr">
        <is>
          <t>x</t>
        </is>
      </c>
    </row>
    <row r="3" ht="15" customHeight="1"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  <c r="I3" t="inlineStr">
        <is>
          <t>x</t>
        </is>
      </c>
    </row>
    <row r="4" ht="15" customHeight="1"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  <c r="I4" t="inlineStr">
        <is>
          <t>x</t>
        </is>
      </c>
    </row>
    <row r="5" ht="15" customHeight="1"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  <c r="I5" t="inlineStr">
        <is>
          <t>x</t>
        </is>
      </c>
    </row>
    <row r="6" ht="15" customHeight="1">
      <c r="D6" t="inlineStr">
        <is>
          <t>x</t>
        </is>
      </c>
      <c r="E6" t="inlineStr">
        <is>
          <t>x</t>
        </is>
      </c>
      <c r="F6" t="inlineStr">
        <is>
          <t>x</t>
        </is>
      </c>
      <c r="G6" t="inlineStr">
        <is>
          <t>x</t>
        </is>
      </c>
      <c r="H6" t="inlineStr">
        <is>
          <t>x</t>
        </is>
      </c>
      <c r="I6" t="inlineStr">
        <is>
          <t>x</t>
        </is>
      </c>
    </row>
    <row r="7" ht="15" customHeight="1"/>
    <row r="8" ht="15" customHeight="1"/>
    <row r="9" ht="15" customHeight="1"/>
    <row r="10" ht="15" customHeight="1"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  <c r="I10" t="inlineStr">
        <is>
          <t>x</t>
        </is>
      </c>
    </row>
    <row r="11" ht="15" customHeight="1"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  <c r="I11" t="inlineStr">
        <is>
          <t>x</t>
        </is>
      </c>
    </row>
    <row r="12" ht="15" customHeight="1"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  <c r="I12" t="inlineStr">
        <is>
          <t>x</t>
        </is>
      </c>
    </row>
    <row r="13" ht="15" customHeight="1">
      <c r="D13" t="inlineStr">
        <is>
          <t>x</t>
        </is>
      </c>
      <c r="E13" t="inlineStr">
        <is>
          <t>x</t>
        </is>
      </c>
      <c r="F13" t="inlineStr">
        <is>
          <t>x</t>
        </is>
      </c>
      <c r="G13" t="inlineStr">
        <is>
          <t>x</t>
        </is>
      </c>
      <c r="H13" t="inlineStr">
        <is>
          <t>x</t>
        </is>
      </c>
      <c r="I13" t="inlineStr">
        <is>
          <t>x</t>
        </is>
      </c>
    </row>
    <row r="14" ht="15" customHeight="1">
      <c r="D14" t="inlineStr">
        <is>
          <t>x</t>
        </is>
      </c>
      <c r="E14" t="inlineStr">
        <is>
          <t>x</t>
        </is>
      </c>
      <c r="F14" t="inlineStr">
        <is>
          <t>x</t>
        </is>
      </c>
      <c r="G14" t="inlineStr">
        <is>
          <t>x</t>
        </is>
      </c>
      <c r="H14" t="inlineStr">
        <is>
          <t>x</t>
        </is>
      </c>
      <c r="I14" t="inlineStr">
        <is>
          <t>x</t>
        </is>
      </c>
    </row>
    <row r="15" ht="15" customHeight="1"/>
    <row r="16" ht="15" customHeight="1"/>
    <row r="17" ht="15" customHeight="1"/>
    <row r="18" ht="15" customHeight="1"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  <c r="I18" t="inlineStr">
        <is>
          <t>x</t>
        </is>
      </c>
    </row>
    <row r="19" ht="15" customHeight="1"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  <c r="I19" t="inlineStr">
        <is>
          <t>x</t>
        </is>
      </c>
    </row>
    <row r="20" ht="15" customHeight="1">
      <c r="D20" t="inlineStr">
        <is>
          <t>x</t>
        </is>
      </c>
      <c r="E20" t="inlineStr">
        <is>
          <t>x</t>
        </is>
      </c>
      <c r="F20" t="inlineStr">
        <is>
          <t>x</t>
        </is>
      </c>
      <c r="G20" t="inlineStr">
        <is>
          <t>x</t>
        </is>
      </c>
      <c r="H20" t="inlineStr">
        <is>
          <t>x</t>
        </is>
      </c>
      <c r="I20" t="inlineStr">
        <is>
          <t>x</t>
        </is>
      </c>
    </row>
    <row r="21" ht="15" customHeight="1">
      <c r="D21" t="inlineStr">
        <is>
          <t>x</t>
        </is>
      </c>
      <c r="E21" t="inlineStr">
        <is>
          <t>x</t>
        </is>
      </c>
      <c r="F21" t="inlineStr">
        <is>
          <t>x</t>
        </is>
      </c>
      <c r="G21" t="inlineStr">
        <is>
          <t>x</t>
        </is>
      </c>
      <c r="H21" t="inlineStr">
        <is>
          <t>x</t>
        </is>
      </c>
      <c r="I21" t="inlineStr">
        <is>
          <t>x</t>
        </is>
      </c>
    </row>
    <row r="22" ht="15" customHeight="1">
      <c r="D22" t="inlineStr">
        <is>
          <t>x</t>
        </is>
      </c>
      <c r="E22" t="inlineStr">
        <is>
          <t>x</t>
        </is>
      </c>
      <c r="F22" t="inlineStr">
        <is>
          <t>x</t>
        </is>
      </c>
      <c r="G22" t="inlineStr">
        <is>
          <t>x</t>
        </is>
      </c>
      <c r="H22" t="inlineStr">
        <is>
          <t>x</t>
        </is>
      </c>
      <c r="I22" t="inlineStr">
        <is>
          <t>x</t>
        </is>
      </c>
    </row>
    <row r="23" ht="15" customHeight="1"/>
    <row r="24" ht="15" customHeight="1"/>
    <row r="25" ht="15" customHeight="1"/>
    <row r="26" ht="15" customHeight="1"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  <c r="I26" t="inlineStr">
        <is>
          <t>x</t>
        </is>
      </c>
    </row>
    <row r="27" ht="15" customHeight="1">
      <c r="D27" t="inlineStr">
        <is>
          <t>x</t>
        </is>
      </c>
      <c r="E27" t="inlineStr">
        <is>
          <t>x</t>
        </is>
      </c>
      <c r="F27" t="inlineStr">
        <is>
          <t>x</t>
        </is>
      </c>
      <c r="G27" t="inlineStr">
        <is>
          <t>x</t>
        </is>
      </c>
      <c r="H27" t="inlineStr">
        <is>
          <t>x</t>
        </is>
      </c>
      <c r="I27" t="inlineStr">
        <is>
          <t>x</t>
        </is>
      </c>
    </row>
    <row r="28" ht="15" customHeight="1">
      <c r="D28" t="inlineStr">
        <is>
          <t>x</t>
        </is>
      </c>
      <c r="E28" t="inlineStr">
        <is>
          <t>x</t>
        </is>
      </c>
      <c r="F28" t="inlineStr">
        <is>
          <t>x</t>
        </is>
      </c>
      <c r="G28" t="inlineStr">
        <is>
          <t>x</t>
        </is>
      </c>
      <c r="H28" t="inlineStr">
        <is>
          <t>x</t>
        </is>
      </c>
      <c r="I28" t="inlineStr">
        <is>
          <t>x</t>
        </is>
      </c>
    </row>
    <row r="29" ht="15" customHeight="1">
      <c r="D29" t="inlineStr">
        <is>
          <t>x</t>
        </is>
      </c>
      <c r="E29" t="inlineStr">
        <is>
          <t>x</t>
        </is>
      </c>
      <c r="F29" t="inlineStr">
        <is>
          <t>x</t>
        </is>
      </c>
      <c r="G29" t="inlineStr">
        <is>
          <t>x</t>
        </is>
      </c>
      <c r="H29" t="inlineStr">
        <is>
          <t>x</t>
        </is>
      </c>
      <c r="I29" t="inlineStr">
        <is>
          <t>x</t>
        </is>
      </c>
    </row>
    <row r="30" ht="15" customHeight="1"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  <c r="I30" t="inlineStr">
        <is>
          <t>x</t>
        </is>
      </c>
    </row>
    <row r="31" ht="15" customHeight="1"/>
    <row r="32" ht="15" customHeight="1"/>
    <row r="33" ht="15" customHeight="1"/>
    <row r="34" ht="15" customHeight="1">
      <c r="D34" t="inlineStr">
        <is>
          <t>x</t>
        </is>
      </c>
      <c r="E34" t="inlineStr">
        <is>
          <t>x</t>
        </is>
      </c>
      <c r="F34" t="inlineStr">
        <is>
          <t>x</t>
        </is>
      </c>
      <c r="G34" t="inlineStr">
        <is>
          <t>x</t>
        </is>
      </c>
      <c r="H34" t="inlineStr">
        <is>
          <t>x</t>
        </is>
      </c>
      <c r="I34" t="inlineStr">
        <is>
          <t>x</t>
        </is>
      </c>
    </row>
    <row r="35" ht="15" customHeight="1">
      <c r="D35" t="inlineStr">
        <is>
          <t>x</t>
        </is>
      </c>
      <c r="E35" t="inlineStr">
        <is>
          <t>x</t>
        </is>
      </c>
      <c r="F35" t="inlineStr">
        <is>
          <t>x</t>
        </is>
      </c>
      <c r="G35" t="inlineStr">
        <is>
          <t>x</t>
        </is>
      </c>
      <c r="H35" t="inlineStr">
        <is>
          <t>x</t>
        </is>
      </c>
      <c r="I35" t="inlineStr">
        <is>
          <t>x</t>
        </is>
      </c>
    </row>
    <row r="36" ht="15" customHeight="1">
      <c r="D36" t="inlineStr">
        <is>
          <t>x</t>
        </is>
      </c>
      <c r="E36" t="inlineStr">
        <is>
          <t>x</t>
        </is>
      </c>
      <c r="F36" t="inlineStr">
        <is>
          <t>x</t>
        </is>
      </c>
      <c r="G36" t="inlineStr">
        <is>
          <t>x</t>
        </is>
      </c>
      <c r="H36" t="inlineStr">
        <is>
          <t>x</t>
        </is>
      </c>
      <c r="I36" t="inlineStr">
        <is>
          <t>x</t>
        </is>
      </c>
    </row>
    <row r="37" ht="15" customHeight="1"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  <c r="I37" t="inlineStr">
        <is>
          <t>x</t>
        </is>
      </c>
    </row>
    <row r="38" ht="15" customHeight="1"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  <c r="I38" t="inlineStr">
        <is>
          <t>x</t>
        </is>
      </c>
    </row>
    <row r="39" ht="15" customHeight="1"/>
    <row r="40" ht="15" customHeight="1"/>
    <row r="41" ht="15" customHeight="1"/>
    <row r="42" ht="15" customHeight="1">
      <c r="D42" t="inlineStr">
        <is>
          <t>x</t>
        </is>
      </c>
      <c r="E42" t="inlineStr">
        <is>
          <t>x</t>
        </is>
      </c>
      <c r="F42" t="inlineStr">
        <is>
          <t>x</t>
        </is>
      </c>
      <c r="G42" t="inlineStr">
        <is>
          <t>x</t>
        </is>
      </c>
      <c r="H42" t="inlineStr">
        <is>
          <t>x</t>
        </is>
      </c>
      <c r="I42" t="inlineStr">
        <is>
          <t>x</t>
        </is>
      </c>
    </row>
    <row r="43" ht="15" customHeight="1">
      <c r="D43" t="inlineStr">
        <is>
          <t>x</t>
        </is>
      </c>
      <c r="E43" t="inlineStr">
        <is>
          <t>x</t>
        </is>
      </c>
      <c r="F43" t="inlineStr">
        <is>
          <t>x</t>
        </is>
      </c>
      <c r="G43" t="inlineStr">
        <is>
          <t>x</t>
        </is>
      </c>
      <c r="H43" t="inlineStr">
        <is>
          <t>x</t>
        </is>
      </c>
      <c r="I43" t="inlineStr">
        <is>
          <t>x</t>
        </is>
      </c>
    </row>
    <row r="44" ht="15" customHeight="1"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  <c r="I44" t="inlineStr">
        <is>
          <t>x</t>
        </is>
      </c>
    </row>
    <row r="45" ht="15" customHeight="1"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  <c r="I45" t="inlineStr">
        <is>
          <t>x</t>
        </is>
      </c>
    </row>
    <row r="46" ht="15" customHeight="1"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  <c r="I46" t="inlineStr">
        <is>
          <t>x</t>
        </is>
      </c>
    </row>
    <row r="47" ht="15" customHeight="1"/>
    <row r="48" ht="15" customHeight="1"/>
    <row r="49" ht="15" customHeight="1"/>
    <row r="50" ht="15" customHeight="1">
      <c r="D50" t="inlineStr">
        <is>
          <t>x</t>
        </is>
      </c>
      <c r="E50" t="inlineStr">
        <is>
          <t>x</t>
        </is>
      </c>
      <c r="F50" t="inlineStr">
        <is>
          <t>x</t>
        </is>
      </c>
      <c r="G50" t="inlineStr">
        <is>
          <t>x</t>
        </is>
      </c>
      <c r="H50" t="inlineStr">
        <is>
          <t>x</t>
        </is>
      </c>
      <c r="I50" t="inlineStr">
        <is>
          <t>x</t>
        </is>
      </c>
    </row>
    <row r="51" ht="15" customHeight="1"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  <c r="I51" t="inlineStr">
        <is>
          <t>x</t>
        </is>
      </c>
    </row>
    <row r="52" ht="15" customHeight="1"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  <c r="I52" t="inlineStr">
        <is>
          <t>x</t>
        </is>
      </c>
    </row>
    <row r="53" ht="15" customHeight="1"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  <c r="I53" t="inlineStr">
        <is>
          <t>x</t>
        </is>
      </c>
    </row>
    <row r="54" ht="15" customHeight="1"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  <c r="I54" t="inlineStr">
        <is>
          <t>x</t>
        </is>
      </c>
    </row>
    <row r="55" ht="15" customHeight="1"/>
    <row r="56" ht="15" customHeight="1"/>
    <row r="57" ht="15" customHeight="1"/>
    <row r="58" ht="15" customHeight="1">
      <c r="D58" t="inlineStr">
        <is>
          <t>x</t>
        </is>
      </c>
      <c r="E58" t="inlineStr">
        <is>
          <t>x</t>
        </is>
      </c>
      <c r="F58" t="inlineStr">
        <is>
          <t>x</t>
        </is>
      </c>
      <c r="G58" t="inlineStr">
        <is>
          <t>x</t>
        </is>
      </c>
      <c r="H58" t="inlineStr">
        <is>
          <t>x</t>
        </is>
      </c>
      <c r="I58" t="inlineStr">
        <is>
          <t>x</t>
        </is>
      </c>
    </row>
    <row r="59" ht="15" customHeight="1">
      <c r="D59" t="inlineStr">
        <is>
          <t>x</t>
        </is>
      </c>
      <c r="E59" t="inlineStr">
        <is>
          <t>x</t>
        </is>
      </c>
      <c r="F59" t="inlineStr">
        <is>
          <t>x</t>
        </is>
      </c>
      <c r="G59" t="inlineStr">
        <is>
          <t>x</t>
        </is>
      </c>
      <c r="H59" t="inlineStr">
        <is>
          <t>x</t>
        </is>
      </c>
      <c r="I59" t="inlineStr">
        <is>
          <t>x</t>
        </is>
      </c>
    </row>
    <row r="60" ht="15" customHeight="1">
      <c r="D60" t="inlineStr">
        <is>
          <t>x</t>
        </is>
      </c>
      <c r="E60" t="inlineStr">
        <is>
          <t>x</t>
        </is>
      </c>
      <c r="F60" t="inlineStr">
        <is>
          <t>x</t>
        </is>
      </c>
      <c r="G60" t="inlineStr">
        <is>
          <t>x</t>
        </is>
      </c>
      <c r="H60" t="inlineStr">
        <is>
          <t>x</t>
        </is>
      </c>
      <c r="I60" t="inlineStr">
        <is>
          <t>x</t>
        </is>
      </c>
    </row>
    <row r="61" ht="15" customHeight="1">
      <c r="D61" t="inlineStr">
        <is>
          <t>x</t>
        </is>
      </c>
      <c r="E61" t="inlineStr">
        <is>
          <t>x</t>
        </is>
      </c>
      <c r="F61" t="inlineStr">
        <is>
          <t>x</t>
        </is>
      </c>
      <c r="G61" t="inlineStr">
        <is>
          <t>x</t>
        </is>
      </c>
      <c r="H61" t="inlineStr">
        <is>
          <t>x</t>
        </is>
      </c>
      <c r="I61" t="inlineStr">
        <is>
          <t>x</t>
        </is>
      </c>
    </row>
    <row r="62" ht="15" customHeight="1">
      <c r="D62" t="inlineStr">
        <is>
          <t>x</t>
        </is>
      </c>
      <c r="E62" t="inlineStr">
        <is>
          <t>x</t>
        </is>
      </c>
      <c r="F62" t="inlineStr">
        <is>
          <t>x</t>
        </is>
      </c>
      <c r="G62" t="inlineStr">
        <is>
          <t>x</t>
        </is>
      </c>
      <c r="H62" t="inlineStr">
        <is>
          <t>x</t>
        </is>
      </c>
      <c r="I62" t="inlineStr">
        <is>
          <t>x</t>
        </is>
      </c>
    </row>
    <row r="63" ht="15" customHeight="1"/>
    <row r="64" ht="15" customHeight="1"/>
    <row r="65" ht="15" customHeight="1"/>
    <row r="66" ht="15" customHeight="1">
      <c r="D66" t="inlineStr">
        <is>
          <t>x</t>
        </is>
      </c>
      <c r="E66" t="inlineStr">
        <is>
          <t>x</t>
        </is>
      </c>
      <c r="F66" t="inlineStr">
        <is>
          <t>x</t>
        </is>
      </c>
      <c r="G66" t="inlineStr">
        <is>
          <t>x</t>
        </is>
      </c>
      <c r="H66" t="inlineStr">
        <is>
          <t>x</t>
        </is>
      </c>
      <c r="I66" t="inlineStr">
        <is>
          <t>x</t>
        </is>
      </c>
    </row>
    <row r="67" ht="15" customHeight="1">
      <c r="D67" t="inlineStr">
        <is>
          <t>x</t>
        </is>
      </c>
      <c r="E67" t="inlineStr">
        <is>
          <t>x</t>
        </is>
      </c>
      <c r="F67" t="inlineStr">
        <is>
          <t>x</t>
        </is>
      </c>
      <c r="G67" t="inlineStr">
        <is>
          <t>x</t>
        </is>
      </c>
      <c r="H67" t="inlineStr">
        <is>
          <t>x</t>
        </is>
      </c>
      <c r="I67" t="inlineStr">
        <is>
          <t>x</t>
        </is>
      </c>
    </row>
    <row r="68" ht="15" customHeight="1">
      <c r="D68" t="inlineStr">
        <is>
          <t>x</t>
        </is>
      </c>
      <c r="E68" t="inlineStr">
        <is>
          <t>x</t>
        </is>
      </c>
      <c r="F68" t="inlineStr">
        <is>
          <t>x</t>
        </is>
      </c>
      <c r="G68" t="inlineStr">
        <is>
          <t>x</t>
        </is>
      </c>
      <c r="H68" t="inlineStr">
        <is>
          <t>x</t>
        </is>
      </c>
      <c r="I68" t="inlineStr">
        <is>
          <t>x</t>
        </is>
      </c>
    </row>
    <row r="69" ht="15" customHeight="1">
      <c r="D69" t="inlineStr">
        <is>
          <t>x</t>
        </is>
      </c>
      <c r="E69" t="inlineStr">
        <is>
          <t>x</t>
        </is>
      </c>
      <c r="F69" t="inlineStr">
        <is>
          <t>x</t>
        </is>
      </c>
      <c r="G69" t="inlineStr">
        <is>
          <t>x</t>
        </is>
      </c>
      <c r="H69" t="inlineStr">
        <is>
          <t>x</t>
        </is>
      </c>
      <c r="I69" t="inlineStr">
        <is>
          <t>x</t>
        </is>
      </c>
    </row>
    <row r="70" ht="15" customHeight="1">
      <c r="D70" t="inlineStr">
        <is>
          <t>x</t>
        </is>
      </c>
      <c r="E70" t="inlineStr">
        <is>
          <t>x</t>
        </is>
      </c>
      <c r="F70" t="inlineStr">
        <is>
          <t>x</t>
        </is>
      </c>
      <c r="G70" t="inlineStr">
        <is>
          <t>x</t>
        </is>
      </c>
      <c r="H70" t="inlineStr">
        <is>
          <t>x</t>
        </is>
      </c>
      <c r="I70" t="inlineStr">
        <is>
          <t>x</t>
        </is>
      </c>
    </row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3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0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en-US</dc:language>
  <dcterms:created xsi:type="dcterms:W3CDTF">2026-07-05T16:53:43Z</dcterms:created>
  <dcterms:modified xsi:type="dcterms:W3CDTF">2026-07-08T05:28:08Z</dcterms:modified>
  <cp:lastModifiedBy>Nguyen Trung Kien</cp:lastModifiedBy>
  <cp:revision>0</cp:revision>
</cp:coreProperties>
</file>