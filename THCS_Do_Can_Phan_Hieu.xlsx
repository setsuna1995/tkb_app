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2" activeTab="6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HuongDan_ChiTiet" sheetId="2" state="visible" r:id="rId2"/>
    <sheet xmlns:r="http://schemas.openxmlformats.org/officeDocument/2006/relationships" name="PhanCong" sheetId="3" state="visible" r:id="rId3"/>
    <sheet xmlns:r="http://schemas.openxmlformats.org/officeDocument/2006/relationships" name="SoTiet" sheetId="4" state="visible" r:id="rId4"/>
    <sheet xmlns:r="http://schemas.openxmlformats.org/officeDocument/2006/relationships" name="GV_Ban" sheetId="5" state="visible" r:id="rId5"/>
    <sheet xmlns:r="http://schemas.openxmlformats.org/officeDocument/2006/relationships" name="DinhMuc_GV" sheetId="6" state="visible" r:id="rId6"/>
    <sheet xmlns:r="http://schemas.openxmlformats.org/officeDocument/2006/relationships" name="TKB_Nhap" sheetId="7" state="visible" r:id="rId7"/>
    <sheet xmlns:r="http://schemas.openxmlformats.org/officeDocument/2006/relationships" name="TKB" sheetId="8" state="visible" r:id="rId8"/>
    <sheet xmlns:r="http://schemas.openxmlformats.org/officeDocument/2006/relationships" name="TKB_GV" sheetId="9" state="visible" r:id="rId9"/>
    <sheet xmlns:r="http://schemas.openxmlformats.org/officeDocument/2006/relationships" name="KiemTra" sheetId="10" state="visible" r:id="rId10"/>
    <sheet xmlns:r="http://schemas.openxmlformats.org/officeDocument/2006/relationships" name="Khung" sheetId="11" state="hidden" r:id="rId11"/>
    <sheet xmlns:r="http://schemas.openxmlformats.org/officeDocument/2006/relationships" name="TuanConfig" sheetId="12" state="visible" r:id="rId12"/>
    <sheet xmlns:r="http://schemas.openxmlformats.org/officeDocument/2006/relationships" name="Du_Lieu_Phan_Cong" sheetId="13" state="visible" r:id="rId13"/>
    <sheet xmlns:r="http://schemas.openxmlformats.org/officeDocument/2006/relationships" name="Bang_Phan_Cong_Goc" sheetId="14" state="visible" r:id="rId14"/>
  </sheets>
  <definedNames>
    <definedName name="DS_Mon">PhanCong!$A$3:$A$18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rgb="FFFFFFFF"/>
      <sz val="15"/>
    </font>
    <font>
      <name val="Times New Roman"/>
      <family val="1"/>
      <b val="1"/>
      <color rgb="FF1F4E78"/>
      <sz val="12"/>
    </font>
    <font>
      <name val="Consolas"/>
      <family val="3"/>
      <color rgb="FFC00000"/>
      <sz val="10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color rgb="FF0000FF"/>
      <sz val="11"/>
    </font>
    <font>
      <name val="Times New Roman"/>
      <family val="1"/>
      <b val="1"/>
      <color rgb="FF0000FF"/>
      <sz val="11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i val="1"/>
      <sz val="11"/>
    </font>
    <font>
      <name val="Cambria"/>
      <family val="1"/>
      <b val="1"/>
      <sz val="11"/>
    </font>
    <font>
      <name val="Calibri"/>
      <b val="1"/>
      <color rgb="001F4E78"/>
      <sz val="14"/>
    </font>
    <font>
      <name val="Calibri"/>
      <i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sz val="11"/>
      <u val="single"/>
    </font>
    <font>
      <name val="Calibri"/>
      <b val="1"/>
      <sz val="13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pivotButton="0" quotePrefix="0" xfId="0"/>
    <xf numFmtId="0" fontId="3" fillId="6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9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left" vertical="center"/>
    </xf>
    <xf numFmtId="0" fontId="21" fillId="0" borderId="3" applyAlignment="1" pivotButton="0" quotePrefix="0" xfId="0">
      <alignment horizontal="right" vertical="center"/>
    </xf>
    <xf numFmtId="0" fontId="21" fillId="10" borderId="3" applyAlignment="1" pivotButton="0" quotePrefix="0" xfId="0">
      <alignment horizontal="center" vertical="center" wrapText="1"/>
    </xf>
    <xf numFmtId="0" fontId="21" fillId="10" borderId="3" applyAlignment="1" pivotButton="0" quotePrefix="0" xfId="0">
      <alignment horizontal="left" vertical="center"/>
    </xf>
    <xf numFmtId="0" fontId="21" fillId="10" borderId="3" applyAlignment="1" pivotButton="0" quotePrefix="0" xfId="0">
      <alignment horizontal="right" vertical="center"/>
    </xf>
    <xf numFmtId="0" fontId="22" fillId="11" borderId="3" applyAlignment="1" pivotButton="0" quotePrefix="0" xfId="0">
      <alignment horizontal="center" vertical="center" wrapText="1"/>
    </xf>
    <xf numFmtId="0" fontId="0" fillId="11" borderId="3" pivotButton="0" quotePrefix="0" xfId="0"/>
    <xf numFmtId="0" fontId="22" fillId="11" borderId="3" applyAlignment="1" pivotButton="0" quotePrefix="0" xfId="0">
      <alignment horizontal="right" vertical="center"/>
    </xf>
    <xf numFmtId="0" fontId="23" fillId="0" borderId="0" pivotButton="0" quotePrefix="0" xfId="0"/>
    <xf numFmtId="0" fontId="25" fillId="0" borderId="0" pivotButton="0" quotePrefix="0" xfId="0"/>
    <xf numFmtId="0" fontId="24" fillId="0" borderId="0" pivotButton="0" quotePrefix="0" xfId="0"/>
    <xf numFmtId="0" fontId="21" fillId="10" borderId="3" pivotButton="0" quotePrefix="0" xfId="0"/>
    <xf numFmtId="0" fontId="21" fillId="0" borderId="3" pivotButton="0" quotePrefix="0" xfId="0"/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zoomScaleNormal="100" workbookViewId="0">
      <selection activeCell="A1" sqref="A1"/>
    </sheetView>
  </sheetViews>
  <sheetFormatPr baseColWidth="8" defaultColWidth="8.7109375" defaultRowHeight="15"/>
  <cols>
    <col width="38" customWidth="1" min="1" max="1"/>
  </cols>
  <sheetData>
    <row r="1" ht="15.75" customHeight="1">
      <c r="A1" s="3" t="inlineStr">
        <is>
          <t>HƯỚNG DẪN — PHIÊN BẢN 9 LỚP + RÀNG BUỘC SƯ PHẠM</t>
        </is>
      </c>
    </row>
    <row r="2" ht="15" customHeight="1">
      <c r="A2" s="4" t="n"/>
    </row>
    <row r="3" ht="15" customHeight="1">
      <c r="A3" s="4" t="inlineStr">
        <is>
          <t>Nhập liệu: PhanCong (GV — lớp 6C đang tạm chép từ 6B, HÃY SỬA LẠI), SoTiet (định mức), GV_Ban (GV nghỉ/bận), TKB_Nhap (vị trí tiết).</t>
        </is>
      </c>
    </row>
    <row r="4" ht="15" customHeight="1">
      <c r="A4" s="4" t="inlineStr">
        <is>
          <t>Tự động: TKB (in), TKB_GV (đỏ = trùng GV), KiemTra (đỏ = lệch định mức; tổng tiết mỗi lớp so với khung 29–30 + buổi 2).</t>
        </is>
      </c>
    </row>
    <row r="5" ht="15" customHeight="1">
      <c r="A5" s="4" t="n"/>
    </row>
    <row r="6" ht="15.75" customHeight="1">
      <c r="A6" s="3" t="inlineStr">
        <is>
          <t>MACRO XepTKB (Alt+F8) tự xếp với đầy đủ ràng buộc:</t>
        </is>
      </c>
    </row>
    <row r="7" ht="15" customHeight="1">
      <c r="A7" s="4" t="inlineStr">
        <is>
          <t xml:space="preserve">  Hệ thống: không trùng GV, không trùng lớp (1 ô 1 môn), đúng định mức SoTiet từng môn/lớp (⇒ đủ tiết GV).</t>
        </is>
      </c>
    </row>
    <row r="8" ht="15" customHeight="1">
      <c r="A8" s="4" t="inlineStr">
        <is>
          <t xml:space="preserve">  Sư phạm: mỗi môn ≤1 tiết/ngày (riêng Ngữ văn được tiết kép — 2 tiết LIỀN nhau cùng buổi);</t>
        </is>
      </c>
    </row>
    <row r="9" ht="15" customHeight="1">
      <c r="A9" s="4" t="inlineStr">
        <is>
          <t xml:space="preserve">  không quá 3 tiết 'môn nặng' (Toán, Văn, KHTN Lý/Hoá) liên tiếp trong 1 buổi; Thể dục tránh tiết 5;</t>
        </is>
      </c>
    </row>
    <row r="10" ht="15" customHeight="1">
      <c r="A10" s="4" t="inlineStr">
        <is>
          <t xml:space="preserve">  ưu tiên rải đều các tiết cùng môn cách ngày; chào cờ = HĐTN Thứ 2 tiết 1; sinh hoạt lớp = HĐTN tiết cuối Thứ 7.</t>
        </is>
      </c>
    </row>
    <row r="11" ht="15" customHeight="1">
      <c r="A11" s="4" t="inlineStr">
        <is>
          <t xml:space="preserve">  Số tiết/ngày do khung tiết quyết định (sheet ẩn Khung): ngày 2 buổi 7 tiết, ngày 1 buổi 5 tiết — đã đúng chuẩn.</t>
        </is>
      </c>
    </row>
    <row r="12" ht="15" customHeight="1">
      <c r="A12" s="4" t="inlineStr">
        <is>
          <t xml:space="preserve">  Chế độ giữ lịch tối đa: chỉ đổi các ô bắt buộc, báo rõ số ô giữ/đổi.</t>
        </is>
      </c>
    </row>
    <row r="13" ht="15" customHeight="1">
      <c r="A13" s="4" t="n"/>
    </row>
    <row r="14" ht="15" customHeight="1">
      <c r="A14" s="4" t="inlineStr">
        <is>
          <t>Lần đầu sau khi thêm 6C: KiemTra sẽ đỏ ở cột 6C (chưa xếp tiết) — chạy macro 1 lần để điền.</t>
        </is>
      </c>
    </row>
    <row r="15" ht="15" customHeight="1">
      <c r="A15" s="4" t="n"/>
    </row>
    <row r="16" ht="15" customHeight="1">
      <c r="A16" s="5" t="inlineStr">
        <is>
          <t>ĐỊNH MỨC GIÁO VIÊN (sheet DinhMuc_GV):</t>
        </is>
      </c>
    </row>
    <row r="17" ht="15" customHeight="1">
      <c r="A17" s="4" t="inlineStr">
        <is>
          <t xml:space="preserve">  Chuẩn 19 tiết/tuần; giảm trừ: GVCN −4, Tổ trưởng −3, Tổ phó −1, Tổng phụ trách −8. Chọn chức vụ ở cột B.</t>
        </is>
      </c>
    </row>
    <row r="18" ht="15" customHeight="1">
      <c r="A18" s="4" t="inlineStr">
        <is>
          <t xml:space="preserve">  Cột 'Vượt' đỏ = GV bị phân công quá trần → sửa PhanCong (chuyển lớp/môn sang GV khác); TKB không thể giảm tải.</t>
        </is>
      </c>
    </row>
    <row r="19" ht="15" customHeight="1">
      <c r="A19" s="4" t="inlineStr">
        <is>
          <t xml:space="preserve">  Macro v4 kiểm tra định mức trước khi xếp và thêm ràng buộc: GV không dạy quá 4 tiết/buổi (không full 5 tiết).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38" customWidth="1" min="2" max="2"/>
  </cols>
  <sheetData>
    <row r="1" ht="18" customHeight="1">
      <c r="B1" s="6" t="inlineStr">
        <is>
          <t>HƯỚNG DẪN CHI TIẾT — HỆ THỐNG XẾP THỜI KHÓA BIỂU TỰ ĐỘNG</t>
        </is>
      </c>
    </row>
    <row r="2" ht="15" customHeight="1">
      <c r="B2" s="7" t="n"/>
    </row>
    <row r="3" ht="15" customHeight="1">
      <c r="B3" s="8" t="inlineStr">
        <is>
          <t>8. CÂN BẰNG TẢI GIÁO VIÊN (ModCanBangTai)</t>
        </is>
      </c>
    </row>
    <row r="4" ht="15" customHeight="1">
      <c r="B4" s="9" t="inlineStr">
        <is>
          <t>Alt+F8 → CanBangTai → tạo sheet 'DeXuat_CanBang'.</t>
        </is>
      </c>
    </row>
    <row r="5" ht="15" customHeight="1">
      <c r="B5" s="7" t="inlineStr">
        <is>
          <t>Macro quét GV vượt trần (DinhMuc_GV), tìm GV nhược tải DẠY CÙNG MÔN còn quota để chuyển bớt tiết.</t>
        </is>
      </c>
    </row>
    <row r="6" ht="15" customHeight="1">
      <c r="B6" s="7" t="inlineStr">
        <is>
          <t>Chỉ ĐỀ XUẤT — không tự sửa PhanCong (chuyển GV kéo theo GVCN/thực tế macro không biết).</t>
        </is>
      </c>
    </row>
    <row r="7" ht="15" customHeight="1">
      <c r="B7" s="7" t="inlineStr">
        <is>
          <t>Quy trình: chạy CanBangTai → xem đề xuất → sửa tay PhanCong → chạy lại để kiểm → XepTKB.</t>
        </is>
      </c>
    </row>
    <row r="8" ht="15" customHeight="1">
      <c r="B8" s="10" t="inlineStr">
        <is>
          <t>Nếu báo 'không tìm được GV nhận cùng môn': môn đó chỉ 1 GV dạy — cần phân công thêm GV hoặc chấp nhận vượt.</t>
        </is>
      </c>
    </row>
    <row r="9" ht="15" customHeight="1">
      <c r="B9" s="7" t="inlineStr">
        <is>
          <t>• GV_Ban    [NHẬP] — Giáo viên bận/nghỉ theo Thứ/Buổi/Tiết. Macro sẽ né các ô này.</t>
        </is>
      </c>
    </row>
    <row r="10" ht="15" customHeight="1">
      <c r="B10" s="7" t="inlineStr">
        <is>
          <t>• DinhMuc_GV[NHẬP] — Chức vụ GV → trần tiết (19 − giảm trừ). Cột 'Vượt' đỏ = phải sửa PhanCong.</t>
        </is>
      </c>
    </row>
    <row r="11" ht="15" customHeight="1">
      <c r="B11" s="7" t="inlineStr">
        <is>
          <t>• TKB_Nhap  [LÕI]  — Lưới TKB. Macro ghi kết quả vào đây. Là nguồn cho mọi sheet hiển thị.</t>
        </is>
      </c>
    </row>
    <row r="12" ht="15" customHeight="1">
      <c r="B12" s="7" t="inlineStr">
        <is>
          <t>• Khung     [ẨN]   — Bản đồ ô được phép xếp (dấu 'x'). Quyết định mẫu buổi học (S4-C3, S5...).</t>
        </is>
      </c>
    </row>
    <row r="13" ht="15" customHeight="1">
      <c r="B13" s="7" t="inlineStr">
        <is>
          <t>• TuanConfig[CẤU HÌNH] — Seed mỗi tuần (B1) + lịch sử. Điều khiển 'mỗi tuần một TKB'.</t>
        </is>
      </c>
    </row>
    <row r="14" ht="15" customHeight="1">
      <c r="B14" s="7" t="inlineStr">
        <is>
          <t>• TKB       [HIỂN THỊ] — Bản in đầy đủ Môn + GV (toàn công thức INDEX/MATCH, không sửa tay).</t>
        </is>
      </c>
    </row>
    <row r="15" ht="15" customHeight="1">
      <c r="B15" s="7" t="inlineStr">
        <is>
          <t>• TKB_GV    [HIỂN THỊ] — Chỉ tên GV; ô ĐỎ = trùng giáo viên cùng buổi/tiết/thứ.</t>
        </is>
      </c>
    </row>
    <row r="16" ht="15" customHeight="1">
      <c r="B16" s="7" t="inlineStr">
        <is>
          <t>• KiemTra   [HIỂN THỊ] — Chênh lệch định mức (đỏ=lệch), tổng ô trùng GV, tải mỗi GV.</t>
        </is>
      </c>
    </row>
    <row r="17" ht="15" customHeight="1">
      <c r="B17" s="7" t="n"/>
    </row>
    <row r="18" ht="15" customHeight="1">
      <c r="B18" s="8" t="inlineStr">
        <is>
          <t>2. CƠ CHẾ HOẠT ĐỘNG CỦA MACRO XepTKB</t>
        </is>
      </c>
    </row>
    <row r="19" ht="15" customHeight="1">
      <c r="B19" s="7" t="inlineStr">
        <is>
          <t>Thuật toán: Greedy + Swap-Repair + Restart (thử lại nhiều lần, giữ phương án ít thay đổi nhất).</t>
        </is>
      </c>
    </row>
    <row r="20" ht="15" customHeight="1">
      <c r="B20" s="7" t="inlineStr">
        <is>
          <t>Luồng xử lý mỗi lần chạy:</t>
        </is>
      </c>
    </row>
    <row r="21" ht="15" customHeight="1">
      <c r="B21" s="7" t="inlineStr">
        <is>
          <t xml:space="preserve">   B1. Đọc PhanCong/SoTiet/GV_Ban/Khung → dựng ma trận ràng buộc.</t>
        </is>
      </c>
    </row>
    <row r="22" ht="15" customHeight="1">
      <c r="B22" s="7" t="inlineStr">
        <is>
          <t xml:space="preserve">   B2. Ghim cứng: Chào cờ = HĐTN Thứ 2 tiết 1; SHL = HĐTN tiết cuối Thứ 7.</t>
        </is>
      </c>
    </row>
    <row r="23" ht="15" customHeight="1">
      <c r="B23" s="7" t="inlineStr">
        <is>
          <t xml:space="preserve">   B3. Duyệt từng khung giờ, chọn môn 'còn nhiều tiết nhất' + hợp lệ đặt vào.</t>
        </is>
      </c>
    </row>
    <row r="24" ht="15" customHeight="1">
      <c r="B24" s="7" t="inlineStr">
        <is>
          <t xml:space="preserve">   B4. Nếu kẹt → Swap-Repair: dời 1 tiết đã xếp sang chỗ khác để mở đường.</t>
        </is>
      </c>
    </row>
    <row r="25" ht="15" customHeight="1">
      <c r="B25" s="7" t="inlineStr">
        <is>
          <t xml:space="preserve">   B5. Lặp tối đa 600 lần, giữ TKB đổi ít ô nhất so với tuần trước (minimal-change).</t>
        </is>
      </c>
    </row>
    <row r="26" ht="15" customHeight="1">
      <c r="B26" s="7" t="inlineStr">
        <is>
          <t>Ràng buộc CỨNG (không bao giờ vi phạm): không trùng GV · 1 ô 1 môn · đúng định mức ·</t>
        </is>
      </c>
    </row>
    <row r="27" ht="15" customHeight="1">
      <c r="B27" s="7" t="inlineStr">
        <is>
          <t xml:space="preserve">   ≤1 tiết/môn/ngày (trừ tiết kép 2 tiết liền) · ≤3 tiết nặng liên tiếp/buổi ·</t>
        </is>
      </c>
    </row>
    <row r="28" ht="15" customHeight="1">
      <c r="B28" s="7" t="inlineStr">
        <is>
          <t xml:space="preserve">   Thể dục không tiết 5 · GV ≤4 tiết/buổi (không full 5).</t>
        </is>
      </c>
    </row>
    <row r="29" ht="15" customHeight="1">
      <c r="B29" s="7" t="n"/>
    </row>
    <row r="30" ht="15" customHeight="1">
      <c r="B30" s="8" t="inlineStr">
        <is>
          <t>3. QUY TRÌNH CHUẨN KHI THAY ĐỔI</t>
        </is>
      </c>
    </row>
    <row r="31" ht="15" customHeight="1">
      <c r="B31" s="7" t="inlineStr">
        <is>
          <t>Đổi giáo viên phụ trách:</t>
        </is>
      </c>
    </row>
    <row r="32" ht="15" customHeight="1">
      <c r="B32" s="9" t="inlineStr">
        <is>
          <t xml:space="preserve">   PhanCong (sửa tên GV) → Alt+F8 → XepTKB → mở KiemTra kiểm 0 lệch, 0 trùng.</t>
        </is>
      </c>
    </row>
    <row r="33" ht="15" customHeight="1">
      <c r="B33" s="7" t="inlineStr">
        <is>
          <t>Giáo viên xin nghỉ 1 buổi:</t>
        </is>
      </c>
    </row>
    <row r="34" ht="15" customHeight="1">
      <c r="B34" s="9" t="inlineStr">
        <is>
          <t xml:space="preserve">   GV_Ban (thêm dòng: Tên | Thứ | Buổi | Tiết) → Alt+F8 → XepTKB.</t>
        </is>
      </c>
    </row>
    <row r="35" ht="15" customHeight="1">
      <c r="B35" s="9" t="inlineStr">
        <is>
          <t xml:space="preserve">   Vd:  Giang | 5 | S | *   = cô Giang nghỉ cả sáng Thứ 5.</t>
        </is>
      </c>
    </row>
    <row r="36" ht="15" customHeight="1">
      <c r="B36" s="7" t="inlineStr">
        <is>
          <t>Đổi số tiết môn:</t>
        </is>
      </c>
    </row>
    <row r="37" ht="15" customHeight="1">
      <c r="B37" s="9" t="inlineStr">
        <is>
          <t xml:space="preserve">   SoTiet (sửa số) → Alt+F8 → XepTKB → KiemTra tự báo nếu tổng vượt khung.</t>
        </is>
      </c>
    </row>
    <row r="38" ht="15" customHeight="1">
      <c r="B38" s="7" t="n"/>
    </row>
    <row r="39" ht="15" customHeight="1">
      <c r="B39" s="8" t="inlineStr">
        <is>
          <t>4. ĐỔI MẪU BUỔI HỌC (ModKhung)</t>
        </is>
      </c>
    </row>
    <row r="40" ht="15" customHeight="1">
      <c r="B40" s="7" t="inlineStr">
        <is>
          <t>Bước 1 sinh khung — Bước 2 xếp. LUÔN 2 bước:</t>
        </is>
      </c>
    </row>
    <row r="41" ht="15" customHeight="1">
      <c r="B41" s="9" t="inlineStr">
        <is>
          <t xml:space="preserve">   Alt+F8 → Khung_S4_C3   (sáng 4 + chiều 3 = 42 ô/lớp)</t>
        </is>
      </c>
    </row>
    <row r="42" ht="15" customHeight="1">
      <c r="B42" s="9" t="inlineStr">
        <is>
          <t xml:space="preserve">   Alt+F8 → Khung_S5      (sáng 5 nghỉ chiều = 30 ô/lớp)</t>
        </is>
      </c>
    </row>
    <row r="43" ht="15" customHeight="1">
      <c r="B43" s="9" t="inlineStr">
        <is>
          <t xml:space="preserve">   Alt+F8 → Khung_S5_C2   (sáng 5 + chiều 2 = 42 ô/lớp)</t>
        </is>
      </c>
    </row>
    <row r="44" ht="15" customHeight="1">
      <c r="B44" s="9" t="inlineStr">
        <is>
          <t xml:space="preserve">   Alt+F8 → Khung_TuChon  (nhập tay số tiết sáng/chiều)</t>
        </is>
      </c>
    </row>
    <row r="45" ht="15" customHeight="1">
      <c r="B45" s="9" t="inlineStr">
        <is>
          <t xml:space="preserve">   → sau đó Alt+F8 → XepTKB</t>
        </is>
      </c>
    </row>
    <row r="46" ht="15" customHeight="1">
      <c r="B46" s="10" t="inlineStr">
        <is>
          <t>&gt;&gt; LƯU Ý SỐ HỌC QUAN TRỌNG: Định mức hiện tại = 36 tiết/tuần/lớp.</t>
        </is>
      </c>
    </row>
    <row r="47" ht="15" customHeight="1">
      <c r="B47" s="10" t="inlineStr">
        <is>
          <t xml:space="preserve">   Mẫu S5 chỉ có 30 ô → KHÔNG đủ chứa 36. Muốn dùng phải giảm SoTiet xuống ≤30 trước.</t>
        </is>
      </c>
    </row>
    <row r="48" ht="15" customHeight="1">
      <c r="B48" s="7" t="inlineStr">
        <is>
          <t xml:space="preserve">   Macro tự cảnh báo nếu chọn mẫu thiếu ô — không tạo ra TKB sai.</t>
        </is>
      </c>
    </row>
    <row r="49" ht="15" customHeight="1">
      <c r="B49" s="7" t="n"/>
    </row>
    <row r="50" ht="15" customHeight="1">
      <c r="B50" s="8" t="inlineStr">
        <is>
          <t>5. MỖI TUẦN MỘT TKB KHÁC (ModSeed)</t>
        </is>
      </c>
    </row>
    <row r="51" ht="15" customHeight="1">
      <c r="B51" s="7" t="inlineStr">
        <is>
          <t>Cơ chế: XepTKB đọc seed ở TuanConfig!B1. Cùng seed → TKB giống hệt (tái lập được).</t>
        </is>
      </c>
    </row>
    <row r="52" ht="15" customHeight="1">
      <c r="B52" s="9" t="inlineStr">
        <is>
          <t xml:space="preserve">   Alt+F8 → TuanMoi      (seed mới, tự tăng số tuần, hỏi xếp luôn)</t>
        </is>
      </c>
    </row>
    <row r="53" ht="15" customHeight="1">
      <c r="B53" s="9" t="inlineStr">
        <is>
          <t xml:space="preserve">   Alt+F8 → TuanTaiTao   (nhập số tuần cũ → in lại đúng TKB tuần đó)</t>
        </is>
      </c>
    </row>
    <row r="54" ht="15" customHeight="1">
      <c r="B54" s="9" t="inlineStr">
        <is>
          <t xml:space="preserve">   Alt+F8 → XoaLichSuSeed (reset về tuần 1)</t>
        </is>
      </c>
    </row>
    <row r="55" ht="15" customHeight="1">
      <c r="B55" s="7" t="inlineStr">
        <is>
          <t>Vì sao cần seed? Randomize theo giờ cho kết quả ngẫu nhiên nhưng KHÔNG in lại được.</t>
        </is>
      </c>
    </row>
    <row r="56" ht="15" customHeight="1">
      <c r="B56" s="7" t="inlineStr">
        <is>
          <t xml:space="preserve">   Lưu seed → BGH tái tạo chính xác TKB bất kỳ tuần nào để đối chiếu/in lại.</t>
        </is>
      </c>
    </row>
    <row r="57" ht="15" customHeight="1">
      <c r="B57" s="7" t="n"/>
    </row>
    <row r="58" ht="15" customHeight="1">
      <c r="B58" s="8" t="inlineStr">
        <is>
          <t>6. BẢNG TRA LỖI THƯỜNG GẶP</t>
        </is>
      </c>
    </row>
    <row r="59" ht="15" customHeight="1">
      <c r="B59" s="7" t="inlineStr">
        <is>
          <t>LỖI: 'Subscript out of range' → PhanCong/SoTiet lệch số lớp-môn, hoặc có cột/dòng trống xen giữa.</t>
        </is>
      </c>
    </row>
    <row r="60" ht="15" customHeight="1">
      <c r="B60" s="7" t="inlineStr">
        <is>
          <t xml:space="preserve">   Cách sửa: đảm bảo 2 sheet cùng số lớp (hàng 2) và số môn (cột A), không dòng trống.</t>
        </is>
      </c>
    </row>
    <row r="61" ht="15" customHeight="1">
      <c r="B61" s="7" t="inlineStr">
        <is>
          <t>LỖI: 'Không tìm thấy mã 5' → cột MÃ (sau cột lớp cuối) tại dòng HĐTN phải điền số 5.</t>
        </is>
      </c>
    </row>
    <row r="62" ht="15" customHeight="1">
      <c r="B62" s="7" t="inlineStr">
        <is>
          <t>LỖI: KiemTra còn ô đỏ → định mức SoTiet vượt số ô khung, hoặc 1 GV quá tải (xem DinhMuc_GV).</t>
        </is>
      </c>
    </row>
    <row r="63" ht="15" customHeight="1">
      <c r="B63" s="7" t="inlineStr">
        <is>
          <t>LỖI: TKB_GV còn ô đỏ (trùng GV) → thường do GVCN bị phân 2 lớp (chào cờ/SHL diễn ra đồng thời).</t>
        </is>
      </c>
    </row>
    <row r="64" ht="15" customHeight="1">
      <c r="B64" s="7" t="inlineStr">
        <is>
          <t xml:space="preserve">   Mỗi lớp phải có GVCN (môn mã 5) RIÊNG BIỆT.</t>
        </is>
      </c>
    </row>
    <row r="65" ht="15" customHeight="1">
      <c r="B65" s="7" t="inlineStr">
        <is>
          <t>LỖI: 'Khong xep duoc sau 600 lan' → GV_Ban cấm quá nhiều giờ GV tải nặng, hoặc định mức vượt khung.</t>
        </is>
      </c>
    </row>
    <row r="66" ht="15" customHeight="1">
      <c r="B66" s="7" t="n"/>
    </row>
    <row r="67" ht="15" customHeight="1">
      <c r="B67" s="8" t="inlineStr">
        <is>
          <t>7. LƯU Ý KỸ THUẬT (tránh lỗi tái diễn)</t>
        </is>
      </c>
    </row>
    <row r="68" ht="15" customHeight="1">
      <c r="B68" s="7" t="inlineStr">
        <is>
          <t>• KHÔNG gõ tiếng Việt có dấu vào code VBA — VBA Editor làm hỏng font → so khớp sai.</t>
        </is>
      </c>
    </row>
    <row r="69" ht="15" customHeight="1">
      <c r="B69" s="7" t="inlineStr">
        <is>
          <t xml:space="preserve">   Vai trò môn dùng MÃ SỐ (cột MÃ), không dùng chữ. Muốn đổi phân loại → sửa số, không đụng .bas.</t>
        </is>
      </c>
    </row>
    <row r="70" ht="15" customHeight="1">
      <c r="B70" s="7" t="inlineStr">
        <is>
          <t>• Mảng động trong VBA: dùng ReDim để reset, KHÔNG dùng Erase (Erase giải phóng → lỗi lần lặp sau).</t>
        </is>
      </c>
    </row>
    <row r="71" ht="15" customHeight="1">
      <c r="B71" s="7" t="inlineStr">
        <is>
          <t>• Đếm số lớp dừng ở cột trống HOẶC header 'MÃ' → tránh đếm nhầm cột phụ thành lớp.</t>
        </is>
      </c>
    </row>
    <row r="72" ht="15" customHeight="1">
      <c r="B72" s="7" t="inlineStr">
        <is>
          <t>• Luôn lưu file dạng .xlsm (Macro-Enabled). Lưu .xlsx sẽ MẤT toàn bộ macro.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W2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38" customWidth="1" min="1" max="1"/>
    <col width="23" customWidth="1" min="2" max="11"/>
    <col width="25" customWidth="1" min="3" max="3"/>
    <col width="2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4"/>
    <col width="23" customWidth="1" min="14" max="14"/>
    <col width="25" customWidth="1" min="15" max="15"/>
    <col width="22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10" customWidth="1" min="22" max="22"/>
    <col width="13" customWidth="1" min="23" max="23"/>
  </cols>
  <sheetData>
    <row r="1" ht="15.75" customHeight="1">
      <c r="A1" s="2" t="inlineStr">
        <is>
          <t>PHÂN CÔNG CHUYÊN MÔN — 8 lớp (2 lớp/khối, khối 6–9)</t>
        </is>
      </c>
    </row>
    <row r="2" ht="15" customHeight="1">
      <c r="A2" s="11" t="inlineStr">
        <is>
          <t>Môn \ Lớp</t>
        </is>
      </c>
      <c r="B2" s="11" t="inlineStr">
        <is>
          <t>6A7</t>
        </is>
      </c>
      <c r="C2" s="11" t="inlineStr">
        <is>
          <t>6A8</t>
        </is>
      </c>
      <c r="D2" s="11" t="inlineStr">
        <is>
          <t>6A9</t>
        </is>
      </c>
      <c r="E2" s="11" t="inlineStr">
        <is>
          <t>6A10</t>
        </is>
      </c>
      <c r="F2" s="11" t="inlineStr">
        <is>
          <t>6A11</t>
        </is>
      </c>
      <c r="G2" s="11" t="inlineStr">
        <is>
          <t>7A7</t>
        </is>
      </c>
      <c r="H2" s="11" t="inlineStr">
        <is>
          <t>7A8</t>
        </is>
      </c>
      <c r="I2" s="11" t="inlineStr">
        <is>
          <t>7A9</t>
        </is>
      </c>
      <c r="J2" s="11" t="inlineStr">
        <is>
          <t>7A10</t>
        </is>
      </c>
      <c r="K2" s="12" t="inlineStr">
        <is>
          <t>7A11</t>
        </is>
      </c>
      <c r="L2" s="13" t="inlineStr">
        <is>
          <t>8A7</t>
        </is>
      </c>
      <c r="M2" s="12" t="inlineStr">
        <is>
          <t>8A8</t>
        </is>
      </c>
      <c r="N2" s="12" t="inlineStr">
        <is>
          <t>8A9</t>
        </is>
      </c>
      <c r="O2" s="14" t="inlineStr">
        <is>
          <t>8A10</t>
        </is>
      </c>
      <c r="P2" t="inlineStr">
        <is>
          <t>8A11</t>
        </is>
      </c>
      <c r="Q2" t="inlineStr">
        <is>
          <t>9A8</t>
        </is>
      </c>
      <c r="R2" t="inlineStr">
        <is>
          <t>9A9</t>
        </is>
      </c>
      <c r="S2" t="inlineStr">
        <is>
          <t>9A10</t>
        </is>
      </c>
      <c r="T2" t="inlineStr">
        <is>
          <t>9A11</t>
        </is>
      </c>
      <c r="U2" t="inlineStr">
        <is>
          <t>9A12</t>
        </is>
      </c>
      <c r="W2" t="inlineStr">
        <is>
          <t>MÃ VAI TRÒ</t>
        </is>
      </c>
    </row>
    <row r="3" ht="15" customHeight="1">
      <c r="A3" s="15" t="inlineStr">
        <is>
          <t>Toán học</t>
        </is>
      </c>
      <c r="B3" s="16" t="inlineStr">
        <is>
          <t>Lại Thị Thanh Huyền</t>
        </is>
      </c>
      <c r="C3" s="16" t="inlineStr">
        <is>
          <t>Lại Thị Thanh Huyền</t>
        </is>
      </c>
      <c r="D3" s="16" t="inlineStr">
        <is>
          <t>Lê Thị Thu Hằng</t>
        </is>
      </c>
      <c r="E3" s="16" t="inlineStr">
        <is>
          <t>Lê Thị Thu Hằng</t>
        </is>
      </c>
      <c r="F3" s="16" t="inlineStr">
        <is>
          <t>Lê Thị Thu Hằng</t>
        </is>
      </c>
      <c r="G3" s="16" t="inlineStr">
        <is>
          <t>Nguyễn Thị Hà</t>
        </is>
      </c>
      <c r="H3" s="16" t="inlineStr">
        <is>
          <t>Nguyễn Thị Hà</t>
        </is>
      </c>
      <c r="I3" s="16" t="inlineStr">
        <is>
          <t>Phùng Thị Lan</t>
        </is>
      </c>
      <c r="J3" s="16" t="inlineStr">
        <is>
          <t>Hoàng Thị Thanh Thắm</t>
        </is>
      </c>
      <c r="K3" s="17" t="inlineStr">
        <is>
          <t>Phùng Thị Lan</t>
        </is>
      </c>
      <c r="L3" s="18" t="inlineStr">
        <is>
          <t>Hoàng Thị Thanh Thắm</t>
        </is>
      </c>
      <c r="M3" s="19" t="inlineStr">
        <is>
          <t>Hoàng Thị Thanh Thắm</t>
        </is>
      </c>
      <c r="N3" s="19" t="inlineStr">
        <is>
          <t>Mẫn Xuân Thắng</t>
        </is>
      </c>
      <c r="O3" s="20" t="inlineStr">
        <is>
          <t>Nguyễn Thị Hiền</t>
        </is>
      </c>
      <c r="P3" t="inlineStr">
        <is>
          <t>Nguyễn Thị Hiền</t>
        </is>
      </c>
      <c r="Q3" t="inlineStr">
        <is>
          <t>Nguyễn Thị Hà</t>
        </is>
      </c>
      <c r="R3" t="inlineStr">
        <is>
          <t>Lại Thị Thanh Huyền</t>
        </is>
      </c>
      <c r="S3" t="inlineStr">
        <is>
          <t>Phùng Thị Lan</t>
        </is>
      </c>
      <c r="T3" t="inlineStr">
        <is>
          <t>Lê Thị Thu Hằng</t>
        </is>
      </c>
      <c r="U3" t="inlineStr">
        <is>
          <t>Nguyễn Thị Hà</t>
        </is>
      </c>
      <c r="W3" t="n">
        <v>3</v>
      </c>
    </row>
    <row r="4" ht="15" customHeight="1">
      <c r="A4" s="15" t="inlineStr">
        <is>
          <t>Ngữ văn</t>
        </is>
      </c>
      <c r="B4" s="16" t="inlineStr">
        <is>
          <t>Ngô Thị Xuân Hương</t>
        </is>
      </c>
      <c r="C4" s="16" t="inlineStr">
        <is>
          <t>Hoàng Thị Phương Duyên</t>
        </is>
      </c>
      <c r="D4" s="16" t="inlineStr">
        <is>
          <t>Hoàng Thị Phương Duyên</t>
        </is>
      </c>
      <c r="E4" s="16" t="inlineStr">
        <is>
          <t>Nông Thị Trà</t>
        </is>
      </c>
      <c r="F4" s="16" t="inlineStr">
        <is>
          <t>Bàng Thị Phượng</t>
        </is>
      </c>
      <c r="G4" s="16" t="inlineStr">
        <is>
          <t>Triệu Thị Luyến</t>
        </is>
      </c>
      <c r="H4" s="16" t="inlineStr">
        <is>
          <t>Đồng Thị Hiền</t>
        </is>
      </c>
      <c r="I4" s="16" t="inlineStr">
        <is>
          <t>Bùi Thị Mỹ Hạnh</t>
        </is>
      </c>
      <c r="J4" s="16" t="inlineStr">
        <is>
          <t>Bùi Thị Mỹ Hạnh</t>
        </is>
      </c>
      <c r="K4" s="17" t="inlineStr">
        <is>
          <t>Hoàng Thị Kiều Loan</t>
        </is>
      </c>
      <c r="L4" s="18" t="inlineStr">
        <is>
          <t>Phan Thị Thùy Linh</t>
        </is>
      </c>
      <c r="M4" s="19" t="inlineStr">
        <is>
          <t>Ngô Thị Xuân Hương</t>
        </is>
      </c>
      <c r="N4" s="19" t="inlineStr">
        <is>
          <t>Nguyễn Thị Thu Hương</t>
        </is>
      </c>
      <c r="O4" s="20" t="inlineStr">
        <is>
          <t>Hoàng Thị Phương Duyên</t>
        </is>
      </c>
      <c r="P4" t="inlineStr">
        <is>
          <t>Ngô Thị Xuân Hương</t>
        </is>
      </c>
      <c r="Q4" t="inlineStr">
        <is>
          <t>Đồng Thị Hiền</t>
        </is>
      </c>
      <c r="R4" t="inlineStr">
        <is>
          <t>Phan Thị Thùy Linh</t>
        </is>
      </c>
      <c r="S4" t="inlineStr">
        <is>
          <t>Bùi Thị Mỹ Hạnh</t>
        </is>
      </c>
      <c r="T4" t="inlineStr">
        <is>
          <t>Nguyễn Thị Thu Hương</t>
        </is>
      </c>
      <c r="U4" t="inlineStr">
        <is>
          <t>Triệu Thị Luyến</t>
        </is>
      </c>
      <c r="W4" t="n">
        <v>3</v>
      </c>
    </row>
    <row r="5" ht="15" customHeight="1">
      <c r="A5" s="15" t="inlineStr">
        <is>
          <t>Tiếng Anh</t>
        </is>
      </c>
      <c r="B5" s="16" t="inlineStr">
        <is>
          <t>Nguyễn Thị Hồng Minh</t>
        </is>
      </c>
      <c r="C5" s="16" t="inlineStr">
        <is>
          <t>Nguyễn Thị Hồng Minh</t>
        </is>
      </c>
      <c r="D5" s="16" t="inlineStr">
        <is>
          <t>Phan Thị Minh</t>
        </is>
      </c>
      <c r="E5" s="16" t="inlineStr">
        <is>
          <t>Phan Thị Minh</t>
        </is>
      </c>
      <c r="F5" s="16" t="inlineStr">
        <is>
          <t>Nguyễn Thị Hồng Minh</t>
        </is>
      </c>
      <c r="G5" s="16" t="inlineStr">
        <is>
          <t>Nguyễn Đình Tiến</t>
        </is>
      </c>
      <c r="H5" s="16" t="inlineStr">
        <is>
          <t>Nguyễn Đình Tiến</t>
        </is>
      </c>
      <c r="I5" s="16" t="inlineStr">
        <is>
          <t>Nguyễn Đình Tiến</t>
        </is>
      </c>
      <c r="J5" s="16" t="inlineStr">
        <is>
          <t>Nguyễn Thị Hồng Minh</t>
        </is>
      </c>
      <c r="K5" s="17" t="inlineStr">
        <is>
          <t>Nguyễn Thị Hồng Minh</t>
        </is>
      </c>
      <c r="L5" s="18" t="inlineStr">
        <is>
          <t>Trần Đức Ngân</t>
        </is>
      </c>
      <c r="M5" s="19" t="inlineStr">
        <is>
          <t>Nguyễn Thị Hồng Minh</t>
        </is>
      </c>
      <c r="N5" s="19" t="inlineStr">
        <is>
          <t>Trần Đức Ngân</t>
        </is>
      </c>
      <c r="O5" s="20" t="inlineStr">
        <is>
          <t>Trần Đức Ngân</t>
        </is>
      </c>
      <c r="P5" t="inlineStr">
        <is>
          <t>Trần Đức Ngân</t>
        </is>
      </c>
      <c r="Q5" t="inlineStr">
        <is>
          <t>Nguyễn Đình Tiến</t>
        </is>
      </c>
      <c r="R5" t="inlineStr">
        <is>
          <t>Nguyễn Đình Tiến</t>
        </is>
      </c>
      <c r="S5" t="inlineStr">
        <is>
          <t>Phan Thị Minh</t>
        </is>
      </c>
      <c r="T5" t="inlineStr">
        <is>
          <t>Phan Thị Minh</t>
        </is>
      </c>
      <c r="U5" t="inlineStr">
        <is>
          <t>Trần Đức Ngân</t>
        </is>
      </c>
      <c r="W5" t="n">
        <v>1</v>
      </c>
    </row>
    <row r="6" ht="15" customHeight="1">
      <c r="A6" s="15" t="inlineStr">
        <is>
          <t>Khoa học tự nhiên (Vật lý)</t>
        </is>
      </c>
      <c r="B6" s="16" t="inlineStr">
        <is>
          <t>Đỗ Thị Thu Hiền</t>
        </is>
      </c>
      <c r="C6" s="16" t="inlineStr">
        <is>
          <t>Đỗ Thị Thu Hiền</t>
        </is>
      </c>
      <c r="D6" s="16" t="inlineStr">
        <is>
          <t>Đỗ Thị Thu Hiền</t>
        </is>
      </c>
      <c r="E6" s="16" t="inlineStr">
        <is>
          <t>Đỗ Thị Thu Hiền</t>
        </is>
      </c>
      <c r="F6" s="16" t="inlineStr">
        <is>
          <t>Đỗ Thị Thu Hiền</t>
        </is>
      </c>
      <c r="G6" s="16" t="inlineStr">
        <is>
          <t>Trương Thị Thu Hương</t>
        </is>
      </c>
      <c r="H6" s="16" t="inlineStr">
        <is>
          <t>Trương Thị Thu Hương</t>
        </is>
      </c>
      <c r="I6" s="16" t="inlineStr">
        <is>
          <t>Trương Thị Thu Hương</t>
        </is>
      </c>
      <c r="J6" s="16" t="inlineStr">
        <is>
          <t>Trương Thị Thu Hương</t>
        </is>
      </c>
      <c r="K6" s="17" t="inlineStr">
        <is>
          <t>Trương Thị Thu Hương</t>
        </is>
      </c>
      <c r="L6" s="18" t="inlineStr">
        <is>
          <t>Đỗ Thị Thu Hiền</t>
        </is>
      </c>
      <c r="M6" s="19" t="inlineStr">
        <is>
          <t>Đỗ Thị Thu Hiền</t>
        </is>
      </c>
      <c r="N6" s="19" t="inlineStr">
        <is>
          <t>Đỗ Thị Thu Hiền</t>
        </is>
      </c>
      <c r="O6" s="20" t="inlineStr">
        <is>
          <t>Đỗ Thị Thu Hiền</t>
        </is>
      </c>
      <c r="P6" t="inlineStr">
        <is>
          <t>Đỗ Thị Thu Hiền</t>
        </is>
      </c>
      <c r="Q6" t="inlineStr">
        <is>
          <t>Trương Thị Thu Hương</t>
        </is>
      </c>
      <c r="R6" t="inlineStr">
        <is>
          <t>Trương Thị Thu Hương</t>
        </is>
      </c>
      <c r="S6" t="inlineStr">
        <is>
          <t>Trương Thị Thu Hương</t>
        </is>
      </c>
      <c r="T6" t="inlineStr">
        <is>
          <t>Trương Thị Thu Hương</t>
        </is>
      </c>
      <c r="U6" t="inlineStr">
        <is>
          <t>Trương Thị Thu Hương</t>
        </is>
      </c>
      <c r="W6" t="n">
        <v>0</v>
      </c>
    </row>
    <row r="7" ht="15" customHeight="1">
      <c r="A7" s="15" t="inlineStr">
        <is>
          <t>Khoa học tự nhiên (Hóa học)</t>
        </is>
      </c>
      <c r="B7" s="16" t="inlineStr">
        <is>
          <t>Trần Thị Liễu</t>
        </is>
      </c>
      <c r="C7" s="16" t="inlineStr">
        <is>
          <t>Trần Thị Liễu</t>
        </is>
      </c>
      <c r="D7" s="16" t="inlineStr">
        <is>
          <t>Trần Thị Liễu</t>
        </is>
      </c>
      <c r="E7" s="16" t="inlineStr">
        <is>
          <t>Trần Thị Liễu</t>
        </is>
      </c>
      <c r="F7" s="16" t="inlineStr">
        <is>
          <t>Trần Thị Liễu</t>
        </is>
      </c>
      <c r="G7" s="16" t="inlineStr">
        <is>
          <t>Trần Thị Liễu</t>
        </is>
      </c>
      <c r="H7" s="16" t="inlineStr">
        <is>
          <t>Trần Thị Liễu</t>
        </is>
      </c>
      <c r="I7" s="16" t="inlineStr">
        <is>
          <t>Trần Thị Liễu</t>
        </is>
      </c>
      <c r="J7" s="16" t="inlineStr">
        <is>
          <t>Trần Thị Liễu</t>
        </is>
      </c>
      <c r="K7" s="17" t="inlineStr">
        <is>
          <t>Trần Thị Liễu</t>
        </is>
      </c>
      <c r="L7" s="18" t="inlineStr">
        <is>
          <t>Trần Thị Liễu</t>
        </is>
      </c>
      <c r="M7" s="19" t="inlineStr">
        <is>
          <t>Trần Thị Liễu</t>
        </is>
      </c>
      <c r="N7" s="19" t="inlineStr">
        <is>
          <t>Trần Thị Liễu</t>
        </is>
      </c>
      <c r="O7" s="20" t="inlineStr">
        <is>
          <t>Trần Thị Liễu</t>
        </is>
      </c>
      <c r="P7" t="inlineStr">
        <is>
          <t>Trần Thị Liễu</t>
        </is>
      </c>
      <c r="Q7" t="inlineStr">
        <is>
          <t>Trần Thị Liễu</t>
        </is>
      </c>
      <c r="R7" t="inlineStr">
        <is>
          <t>Trần Thị Liễu</t>
        </is>
      </c>
      <c r="S7" t="inlineStr">
        <is>
          <t>Trần Thị Liễu</t>
        </is>
      </c>
      <c r="T7" t="inlineStr">
        <is>
          <t>Trần Thị Liễu</t>
        </is>
      </c>
      <c r="U7" t="inlineStr">
        <is>
          <t>Trần Thị Liễu</t>
        </is>
      </c>
      <c r="W7" t="n">
        <v>0</v>
      </c>
    </row>
    <row r="8" ht="15" customHeight="1">
      <c r="A8" s="15" t="inlineStr">
        <is>
          <t>Khoa học tự nhiên (Sinh học)</t>
        </is>
      </c>
      <c r="B8" s="16" t="inlineStr">
        <is>
          <t>Hà Thị Hải Yến</t>
        </is>
      </c>
      <c r="C8" s="16" t="inlineStr">
        <is>
          <t>Hà Thị Hải Yến</t>
        </is>
      </c>
      <c r="D8" s="16" t="inlineStr">
        <is>
          <t>Hà Thị Hải Yến</t>
        </is>
      </c>
      <c r="E8" s="16" t="inlineStr">
        <is>
          <t>Hà Thị Hải Yến</t>
        </is>
      </c>
      <c r="F8" s="16" t="inlineStr">
        <is>
          <t>Hà Thị Hải Yến</t>
        </is>
      </c>
      <c r="G8" s="16" t="inlineStr">
        <is>
          <t>Đoàn Tiến Quân</t>
        </is>
      </c>
      <c r="H8" s="16" t="inlineStr">
        <is>
          <t>Nguyễn Ánh Hồng</t>
        </is>
      </c>
      <c r="I8" s="16" t="inlineStr">
        <is>
          <t>Nguyễn Ánh Hồng</t>
        </is>
      </c>
      <c r="J8" s="16" t="inlineStr">
        <is>
          <t>Nguyễn Ánh Hồng</t>
        </is>
      </c>
      <c r="K8" s="17" t="inlineStr">
        <is>
          <t>Nguyễn Ánh Hồng</t>
        </is>
      </c>
      <c r="L8" s="18" t="inlineStr">
        <is>
          <t>Trần Thị Quỳnh Hằng</t>
        </is>
      </c>
      <c r="M8" s="19" t="inlineStr">
        <is>
          <t>Trần Thị Quỳnh Hằng</t>
        </is>
      </c>
      <c r="N8" s="19" t="inlineStr">
        <is>
          <t>Trần Thị Quỳnh Hằng</t>
        </is>
      </c>
      <c r="O8" s="20" t="inlineStr">
        <is>
          <t>Hà Thị Hải Yến</t>
        </is>
      </c>
      <c r="P8" t="inlineStr">
        <is>
          <t>Trần Thị Quỳnh Hằng</t>
        </is>
      </c>
      <c r="Q8" t="inlineStr">
        <is>
          <t>Hà Thị Hải Yến</t>
        </is>
      </c>
      <c r="R8" t="inlineStr">
        <is>
          <t>Hà Thị Hải Yến</t>
        </is>
      </c>
      <c r="S8" t="inlineStr">
        <is>
          <t>Hà Thị Hải Yến</t>
        </is>
      </c>
      <c r="T8" t="inlineStr">
        <is>
          <t>Hà Thị Hải Yến</t>
        </is>
      </c>
      <c r="U8" t="inlineStr">
        <is>
          <t>Hà Thị Hải Yến</t>
        </is>
      </c>
      <c r="W8" t="n">
        <v>0</v>
      </c>
    </row>
    <row r="9" ht="15" customHeight="1">
      <c r="A9" s="15" t="inlineStr">
        <is>
          <t>Lịch sử và Địa Lý (Lịch sử)</t>
        </is>
      </c>
      <c r="B9" s="16" t="inlineStr">
        <is>
          <t>Nguyễn Thị Thu Hương</t>
        </is>
      </c>
      <c r="C9" s="16" t="inlineStr">
        <is>
          <t>Nguyễn Thị Thu Hương</t>
        </is>
      </c>
      <c r="D9" s="16" t="inlineStr">
        <is>
          <t>Nguyễn Thị Thu Hương</t>
        </is>
      </c>
      <c r="E9" s="16" t="inlineStr">
        <is>
          <t>Nguyễn Thị Thu Hương</t>
        </is>
      </c>
      <c r="F9" s="16" t="inlineStr">
        <is>
          <t>Nguyễn Thị Thu Hương</t>
        </is>
      </c>
      <c r="G9" s="16" t="inlineStr">
        <is>
          <t>Bùi Thị Hòa</t>
        </is>
      </c>
      <c r="H9" s="16" t="inlineStr">
        <is>
          <t>Bùi Thị Hòa</t>
        </is>
      </c>
      <c r="I9" s="16" t="inlineStr">
        <is>
          <t>Nguyễn Thị Thu Hương</t>
        </is>
      </c>
      <c r="J9" s="16" t="inlineStr">
        <is>
          <t>Nguyễn Thị Thu Hương</t>
        </is>
      </c>
      <c r="K9" s="17" t="inlineStr">
        <is>
          <t>Bùi Thị Hòa</t>
        </is>
      </c>
      <c r="L9" s="18" t="inlineStr">
        <is>
          <t>Bùi Thị Hòa</t>
        </is>
      </c>
      <c r="M9" t="inlineStr">
        <is>
          <t>Bùi Thị Hòa</t>
        </is>
      </c>
      <c r="N9" t="inlineStr">
        <is>
          <t>Bùi Thị Hòa</t>
        </is>
      </c>
      <c r="O9" t="inlineStr">
        <is>
          <t>Bùi Thị Hòa</t>
        </is>
      </c>
      <c r="P9" t="inlineStr">
        <is>
          <t>Bùi Thị Hòa</t>
        </is>
      </c>
      <c r="Q9" t="inlineStr">
        <is>
          <t>Đồng Thị Hiền</t>
        </is>
      </c>
      <c r="R9" t="inlineStr">
        <is>
          <t>Bùi Thị Hòa</t>
        </is>
      </c>
      <c r="S9" t="inlineStr">
        <is>
          <t>Đồng Thị Hiền</t>
        </is>
      </c>
      <c r="T9" t="inlineStr">
        <is>
          <t>Bùi Thị Hòa</t>
        </is>
      </c>
      <c r="U9" t="inlineStr">
        <is>
          <t>Bùi Thị Hòa</t>
        </is>
      </c>
      <c r="W9" t="n">
        <v>0</v>
      </c>
    </row>
    <row r="10" ht="15" customHeight="1">
      <c r="A10" s="15" t="inlineStr">
        <is>
          <t>Lịch sử và Địa Lý (Địa lý)</t>
        </is>
      </c>
      <c r="B10" s="16" t="inlineStr">
        <is>
          <t>Vũ Thị Bích Hằng</t>
        </is>
      </c>
      <c r="C10" s="16" t="inlineStr">
        <is>
          <t>Vũ Thị Bích Hằng</t>
        </is>
      </c>
      <c r="D10" s="16" t="inlineStr">
        <is>
          <t>Vũ Thị Bích Hằng</t>
        </is>
      </c>
      <c r="E10" s="16" t="inlineStr">
        <is>
          <t>Vũ Thị Bích Hằng</t>
        </is>
      </c>
      <c r="F10" s="16" t="inlineStr">
        <is>
          <t>Vũ Thị Bích Hằng</t>
        </is>
      </c>
      <c r="G10" s="16" t="inlineStr">
        <is>
          <t>Vũ Thị Bích Hằng</t>
        </is>
      </c>
      <c r="H10" s="16" t="inlineStr">
        <is>
          <t>Vũ Thị Bích Hằng</t>
        </is>
      </c>
      <c r="I10" s="16" t="inlineStr">
        <is>
          <t>Vũ Thị Bích Hằng</t>
        </is>
      </c>
      <c r="J10" s="16" t="inlineStr">
        <is>
          <t>Vũ Thị Bích Hằng</t>
        </is>
      </c>
      <c r="K10" s="17" t="inlineStr">
        <is>
          <t>Vũ Thị Bích Hằng</t>
        </is>
      </c>
      <c r="L10" s="18" t="inlineStr">
        <is>
          <t>Chu Diệu Linh</t>
        </is>
      </c>
      <c r="M10" t="inlineStr">
        <is>
          <t>Chu Diệu Linh</t>
        </is>
      </c>
      <c r="N10" t="inlineStr">
        <is>
          <t>Chu Diệu Linh</t>
        </is>
      </c>
      <c r="O10" t="inlineStr">
        <is>
          <t>Chu Diệu Linh</t>
        </is>
      </c>
      <c r="P10" t="inlineStr">
        <is>
          <t>Chu Diệu Linh</t>
        </is>
      </c>
      <c r="Q10" t="inlineStr">
        <is>
          <t>Chu Diệu Linh</t>
        </is>
      </c>
      <c r="R10" t="inlineStr">
        <is>
          <t>Chu Diệu Linh</t>
        </is>
      </c>
      <c r="S10" t="inlineStr">
        <is>
          <t>Chu Diệu Linh</t>
        </is>
      </c>
      <c r="T10" t="inlineStr">
        <is>
          <t>Chu Diệu Linh</t>
        </is>
      </c>
      <c r="U10" t="inlineStr">
        <is>
          <t>Chu Diệu Linh</t>
        </is>
      </c>
      <c r="W10" t="n">
        <v>0</v>
      </c>
    </row>
    <row r="11" ht="15" customHeight="1">
      <c r="A11" s="15" t="inlineStr">
        <is>
          <t>GDCD</t>
        </is>
      </c>
      <c r="B11" s="16" t="inlineStr">
        <is>
          <t>Hoàng Thị Kiều Loan</t>
        </is>
      </c>
      <c r="C11" s="16" t="inlineStr">
        <is>
          <t>Hoàng Thị Kiều Loan</t>
        </is>
      </c>
      <c r="D11" s="16" t="inlineStr">
        <is>
          <t>Hoàng Thị Kiều Loan</t>
        </is>
      </c>
      <c r="E11" s="16" t="inlineStr">
        <is>
          <t>Hoàng Thị Kiều Loan</t>
        </is>
      </c>
      <c r="F11" s="16" t="inlineStr">
        <is>
          <t>Hoàng Thị Kiều Loan</t>
        </is>
      </c>
      <c r="G11" s="16" t="inlineStr">
        <is>
          <t>Bàng Thị Phượng</t>
        </is>
      </c>
      <c r="H11" s="16" t="inlineStr">
        <is>
          <t>Bàng Thị Phượng</t>
        </is>
      </c>
      <c r="I11" s="16" t="inlineStr">
        <is>
          <t>Bàng Thị Phượng</t>
        </is>
      </c>
      <c r="J11" s="16" t="inlineStr">
        <is>
          <t>Bàng Thị Phượng</t>
        </is>
      </c>
      <c r="K11" s="17" t="inlineStr">
        <is>
          <t>Bàng Thị Phượng</t>
        </is>
      </c>
      <c r="L11" s="18" t="inlineStr">
        <is>
          <t>Bùi Thị Mỹ Hạnh</t>
        </is>
      </c>
      <c r="M11" t="inlineStr">
        <is>
          <t>Bùi Thị Mỹ Hạnh</t>
        </is>
      </c>
      <c r="N11" t="inlineStr">
        <is>
          <t>Bùi Thị Mỹ Hạnh</t>
        </is>
      </c>
      <c r="O11" t="inlineStr">
        <is>
          <t>Bùi Thị Mỹ Hạnh</t>
        </is>
      </c>
      <c r="P11" t="inlineStr">
        <is>
          <t>Bùi Thị Mỹ Hạnh</t>
        </is>
      </c>
      <c r="Q11" t="inlineStr">
        <is>
          <t>Hoàng Thị Phương Duyên</t>
        </is>
      </c>
      <c r="R11" t="inlineStr">
        <is>
          <t>Hoàng Thị Phương Duyên</t>
        </is>
      </c>
      <c r="S11" t="inlineStr">
        <is>
          <t>Hoàng Thị Phương Duyên</t>
        </is>
      </c>
      <c r="T11" t="inlineStr">
        <is>
          <t>Hoàng Thị Phương Duyên</t>
        </is>
      </c>
      <c r="U11" t="inlineStr">
        <is>
          <t>Hoàng Thị Phương Duyên</t>
        </is>
      </c>
      <c r="W11" t="n">
        <v>0</v>
      </c>
    </row>
    <row r="12" ht="15" customHeight="1">
      <c r="A12" s="15" t="inlineStr">
        <is>
          <t>Công nghệ</t>
        </is>
      </c>
      <c r="B12" s="16" t="inlineStr">
        <is>
          <t>Vũ Thị Bích Hằng</t>
        </is>
      </c>
      <c r="C12" s="16" t="inlineStr">
        <is>
          <t>Vũ Thị Bích Hằng</t>
        </is>
      </c>
      <c r="D12" s="16" t="inlineStr">
        <is>
          <t>Vũ Thị Bích Hằng</t>
        </is>
      </c>
      <c r="E12" s="16" t="inlineStr">
        <is>
          <t>Vũ Thị Bích Hằng</t>
        </is>
      </c>
      <c r="F12" s="16" t="inlineStr">
        <is>
          <t>Bàng Như Quỳnh</t>
        </is>
      </c>
      <c r="G12" s="16" t="inlineStr">
        <is>
          <t>Hoàng Thị Kiều Loan</t>
        </is>
      </c>
      <c r="H12" s="16" t="inlineStr">
        <is>
          <t>Lương Thị Thu Hiền</t>
        </is>
      </c>
      <c r="I12" s="16" t="inlineStr">
        <is>
          <t>Lương Thị Thu Hiền</t>
        </is>
      </c>
      <c r="J12" s="16" t="inlineStr">
        <is>
          <t>Lương Thị Thu Hiền</t>
        </is>
      </c>
      <c r="K12" s="17" t="inlineStr">
        <is>
          <t>Lương Thị Thu Hiền</t>
        </is>
      </c>
      <c r="L12" s="18" t="inlineStr">
        <is>
          <t>Mẫn Xuân Thắng</t>
        </is>
      </c>
      <c r="M12" t="inlineStr">
        <is>
          <t>Mẫn Xuân Thắng</t>
        </is>
      </c>
      <c r="N12" t="inlineStr">
        <is>
          <t>Mẫn Xuân Thắng</t>
        </is>
      </c>
      <c r="O12" t="inlineStr">
        <is>
          <t>Mẫn Xuân Thắng</t>
        </is>
      </c>
      <c r="P12" t="inlineStr">
        <is>
          <t>Mẫn Xuân Thắng</t>
        </is>
      </c>
      <c r="Q12" t="inlineStr">
        <is>
          <t>Mẫn Xuân Thắng</t>
        </is>
      </c>
      <c r="R12" t="inlineStr">
        <is>
          <t>Mẫn Xuân Thắng</t>
        </is>
      </c>
      <c r="S12" t="inlineStr">
        <is>
          <t>Mẫn Xuân Thắng</t>
        </is>
      </c>
      <c r="T12" t="inlineStr">
        <is>
          <t>Mẫn Xuân Thắng</t>
        </is>
      </c>
      <c r="U12" t="inlineStr">
        <is>
          <t>Mẫn Xuân Thắng</t>
        </is>
      </c>
      <c r="W12" t="n">
        <v>0</v>
      </c>
    </row>
    <row r="13" ht="15" customHeight="1">
      <c r="A13" s="15" t="inlineStr">
        <is>
          <t>Tin học</t>
        </is>
      </c>
      <c r="B13" s="16" t="inlineStr">
        <is>
          <t>Lương Thị Thu Hiền</t>
        </is>
      </c>
      <c r="C13" s="16" t="inlineStr">
        <is>
          <t>Lương Thị Thu Hiền</t>
        </is>
      </c>
      <c r="D13" s="16" t="inlineStr">
        <is>
          <t>Lương Thị Thu Hiền</t>
        </is>
      </c>
      <c r="E13" s="16" t="inlineStr">
        <is>
          <t>Lương Thị Thu Hiền</t>
        </is>
      </c>
      <c r="F13" s="16" t="inlineStr">
        <is>
          <t>Lương Thị Thu Hiền</t>
        </is>
      </c>
      <c r="G13" s="16" t="inlineStr">
        <is>
          <t>Lương Thị Thu Hiền</t>
        </is>
      </c>
      <c r="H13" s="16" t="inlineStr">
        <is>
          <t>Lương Thị Thu Hiền</t>
        </is>
      </c>
      <c r="I13" s="16" t="inlineStr">
        <is>
          <t>Lương Thị Thu Hiền</t>
        </is>
      </c>
      <c r="J13" s="16" t="inlineStr">
        <is>
          <t>Lương Thị Thu Hiền</t>
        </is>
      </c>
      <c r="K13" s="17" t="inlineStr">
        <is>
          <t>Lương Thị Thu Hiền</t>
        </is>
      </c>
      <c r="L13" s="18" t="inlineStr">
        <is>
          <t>Lương Thị Thu Hiền</t>
        </is>
      </c>
      <c r="M13" t="inlineStr">
        <is>
          <t>Lương Thị Thu Hiền</t>
        </is>
      </c>
      <c r="N13" t="inlineStr">
        <is>
          <t>Lương Thị Thu Hiền</t>
        </is>
      </c>
      <c r="O13" t="inlineStr">
        <is>
          <t>Lương Thị Thu Hiền</t>
        </is>
      </c>
      <c r="P13" t="inlineStr">
        <is>
          <t>Lương Thị Thu Hiền</t>
        </is>
      </c>
      <c r="Q13" t="inlineStr">
        <is>
          <t>Nguyễn Thị Hiền</t>
        </is>
      </c>
      <c r="R13" t="inlineStr">
        <is>
          <t>Nguyễn Thị Hiền</t>
        </is>
      </c>
      <c r="S13" t="inlineStr">
        <is>
          <t>Nguyễn Thị Hiền</t>
        </is>
      </c>
      <c r="T13" t="inlineStr">
        <is>
          <t>Nguyễn Thị Hiền</t>
        </is>
      </c>
      <c r="U13" t="inlineStr">
        <is>
          <t>Nguyễn Thị Hiền</t>
        </is>
      </c>
      <c r="W13" t="n">
        <v>0</v>
      </c>
    </row>
    <row r="14" ht="15" customHeight="1">
      <c r="A14" s="15" t="inlineStr">
        <is>
          <t>Giáo dục thể chất</t>
        </is>
      </c>
      <c r="B14" s="16" t="inlineStr">
        <is>
          <t>Lê Văn Hậu</t>
        </is>
      </c>
      <c r="C14" s="16" t="inlineStr">
        <is>
          <t>Lê Văn Hậu</t>
        </is>
      </c>
      <c r="D14" s="16" t="inlineStr">
        <is>
          <t>Lê Văn Hậu</t>
        </is>
      </c>
      <c r="E14" s="16" t="inlineStr">
        <is>
          <t>Lê Văn Hậu</t>
        </is>
      </c>
      <c r="F14" s="16" t="inlineStr">
        <is>
          <t>Lê Văn Hậu</t>
        </is>
      </c>
      <c r="G14" s="16" t="inlineStr">
        <is>
          <t>Lê Văn Hậu</t>
        </is>
      </c>
      <c r="H14" s="16" t="inlineStr">
        <is>
          <t>Lê Văn Hậu</t>
        </is>
      </c>
      <c r="I14" s="16" t="inlineStr">
        <is>
          <t>Lê Văn Hậu</t>
        </is>
      </c>
      <c r="J14" s="16" t="inlineStr">
        <is>
          <t>Lê Văn Hậu</t>
        </is>
      </c>
      <c r="K14" s="17" t="inlineStr">
        <is>
          <t>Lê Văn Hậu</t>
        </is>
      </c>
      <c r="L14" s="18" t="inlineStr">
        <is>
          <t>GV môn GDTC</t>
        </is>
      </c>
      <c r="M14" t="inlineStr">
        <is>
          <t>GV môn GDTC</t>
        </is>
      </c>
      <c r="N14" t="inlineStr">
        <is>
          <t>GV môn GDTC</t>
        </is>
      </c>
      <c r="O14" t="inlineStr">
        <is>
          <t>GV môn GDTC</t>
        </is>
      </c>
      <c r="P14" t="inlineStr">
        <is>
          <t>Bùi Đức Anh</t>
        </is>
      </c>
      <c r="Q14" t="inlineStr">
        <is>
          <t>GV môn GDTC</t>
        </is>
      </c>
      <c r="R14" t="inlineStr">
        <is>
          <t>GV môn GDTC</t>
        </is>
      </c>
      <c r="S14" t="inlineStr">
        <is>
          <t>GV môn GDTC</t>
        </is>
      </c>
      <c r="T14" t="inlineStr">
        <is>
          <t>GV môn GDTC</t>
        </is>
      </c>
      <c r="U14" t="inlineStr">
        <is>
          <t>GV môn GDTC</t>
        </is>
      </c>
      <c r="W14" t="n">
        <v>4</v>
      </c>
    </row>
    <row r="15" ht="15" customHeight="1">
      <c r="A15" s="15" t="inlineStr">
        <is>
          <t>Nội dung giáo dục của địa phương</t>
        </is>
      </c>
      <c r="B15" s="16" t="inlineStr">
        <is>
          <t>Phan Thị Thùy Linh</t>
        </is>
      </c>
      <c r="C15" s="16" t="inlineStr">
        <is>
          <t>Bàng Thị Phượng</t>
        </is>
      </c>
      <c r="D15" s="16" t="inlineStr">
        <is>
          <t>Bàng Thị Phượng</t>
        </is>
      </c>
      <c r="E15" s="16" t="inlineStr">
        <is>
          <t>Bàng Thị Phượng</t>
        </is>
      </c>
      <c r="F15" s="16" t="inlineStr">
        <is>
          <t>Bàng Thị Phượng</t>
        </is>
      </c>
      <c r="G15" s="16" t="inlineStr">
        <is>
          <t>Triệu Thị Luyến</t>
        </is>
      </c>
      <c r="H15" s="16" t="inlineStr">
        <is>
          <t>Triệu Thị Luyến</t>
        </is>
      </c>
      <c r="I15" s="16" t="inlineStr">
        <is>
          <t>Triệu Thị Luyến</t>
        </is>
      </c>
      <c r="J15" s="16" t="inlineStr">
        <is>
          <t>Triệu Thị Luyến</t>
        </is>
      </c>
      <c r="K15" s="17" t="inlineStr">
        <is>
          <t>Triệu Thị Luyến</t>
        </is>
      </c>
      <c r="L15" s="18" t="inlineStr">
        <is>
          <t>Ngô Thị Xuân Hương</t>
        </is>
      </c>
      <c r="M15" t="inlineStr">
        <is>
          <t>Ngô Thị Xuân Hương</t>
        </is>
      </c>
      <c r="N15" t="inlineStr">
        <is>
          <t>Ngô Thị Xuân Hương</t>
        </is>
      </c>
      <c r="O15" t="inlineStr">
        <is>
          <t>Ngô Thị Xuân Hương</t>
        </is>
      </c>
      <c r="P15" t="inlineStr">
        <is>
          <t>Ngô Thị Xuân Hương</t>
        </is>
      </c>
      <c r="Q15" t="inlineStr">
        <is>
          <t>Triệu Thị Luyến</t>
        </is>
      </c>
      <c r="R15" t="inlineStr">
        <is>
          <t>Triệu Thị Luyến</t>
        </is>
      </c>
      <c r="S15" t="inlineStr">
        <is>
          <t>Triệu Thị Luyến</t>
        </is>
      </c>
      <c r="T15" t="inlineStr">
        <is>
          <t>Đồng Thị Hiền</t>
        </is>
      </c>
      <c r="U15" t="inlineStr">
        <is>
          <t>Đồng Thị Hiền</t>
        </is>
      </c>
      <c r="W15" t="n">
        <v>0</v>
      </c>
    </row>
    <row r="16" ht="15" customHeight="1">
      <c r="A16" s="15" t="inlineStr">
        <is>
          <t>Hoạt động trải nghiệm, hướng nghiệp</t>
        </is>
      </c>
      <c r="B16" s="16" t="inlineStr">
        <is>
          <t>Lại Thị Thanh Huyền</t>
        </is>
      </c>
      <c r="C16" s="16" t="inlineStr">
        <is>
          <t>Đỗ Thị Thu Hiền</t>
        </is>
      </c>
      <c r="D16" s="16" t="inlineStr">
        <is>
          <t>Phan Thị Minh</t>
        </is>
      </c>
      <c r="E16" s="16" t="inlineStr">
        <is>
          <t>Bàng Thị Phượng</t>
        </is>
      </c>
      <c r="F16" s="16" t="inlineStr">
        <is>
          <t>Bàng Thị Phượng</t>
        </is>
      </c>
      <c r="G16" s="16" t="inlineStr">
        <is>
          <t>Nguyễn Thị Hiền</t>
        </is>
      </c>
      <c r="H16" s="16" t="inlineStr">
        <is>
          <t>Nguyễn Thị Hiền</t>
        </is>
      </c>
      <c r="I16" s="16" t="inlineStr">
        <is>
          <t>Nguyễn Thị Hồng Minh</t>
        </is>
      </c>
      <c r="J16" s="16" t="inlineStr">
        <is>
          <t>Hoàng Thị Thanh Thắm</t>
        </is>
      </c>
      <c r="K16" s="17" t="inlineStr">
        <is>
          <t>Nông Thị Trà</t>
        </is>
      </c>
      <c r="L16" s="18" t="inlineStr">
        <is>
          <t>Hoàng Thị Kiều Loan</t>
        </is>
      </c>
      <c r="M16" t="inlineStr">
        <is>
          <t>Hoàng Thị Kiều Loan</t>
        </is>
      </c>
      <c r="N16" t="inlineStr">
        <is>
          <t>Hoàng Thị Kiều Loan</t>
        </is>
      </c>
      <c r="O16" t="inlineStr">
        <is>
          <t>Hà Thị Hải Yến</t>
        </is>
      </c>
      <c r="P16" t="inlineStr">
        <is>
          <t>Trần Đức Ngân</t>
        </is>
      </c>
      <c r="Q16" t="inlineStr">
        <is>
          <t>Nông Thị Trà</t>
        </is>
      </c>
      <c r="R16" t="inlineStr">
        <is>
          <t>Nông Thị Trà</t>
        </is>
      </c>
      <c r="S16" t="inlineStr">
        <is>
          <t>Phùng Thị Lan</t>
        </is>
      </c>
      <c r="T16" t="inlineStr">
        <is>
          <t>Nông Thị Trà</t>
        </is>
      </c>
      <c r="U16" t="inlineStr">
        <is>
          <t>Nông Thị Trà</t>
        </is>
      </c>
      <c r="W16" t="n">
        <v>5</v>
      </c>
    </row>
    <row r="17" ht="15" customHeight="1">
      <c r="A17" s="15" t="inlineStr">
        <is>
          <t>Nghệ thuật (Âm nhạc)</t>
        </is>
      </c>
      <c r="B17" s="16" t="inlineStr">
        <is>
          <t>Nguyễn Thị Luyến</t>
        </is>
      </c>
      <c r="C17" s="16" t="inlineStr">
        <is>
          <t>Nguyễn Thị Luyến</t>
        </is>
      </c>
      <c r="D17" s="16" t="inlineStr">
        <is>
          <t>Nguyễn Thị Luyến</t>
        </is>
      </c>
      <c r="E17" s="16" t="inlineStr">
        <is>
          <t>Nguyễn Thị Luyến</t>
        </is>
      </c>
      <c r="F17" s="16" t="inlineStr">
        <is>
          <t>Nguyễn Thị Luyến</t>
        </is>
      </c>
      <c r="G17" s="16" t="inlineStr">
        <is>
          <t>Nguyễn Thị Luyến</t>
        </is>
      </c>
      <c r="H17" s="16" t="inlineStr">
        <is>
          <t>Nguyễn Thị Luyến</t>
        </is>
      </c>
      <c r="I17" s="16" t="inlineStr">
        <is>
          <t>Nguyễn Thị Luyến</t>
        </is>
      </c>
      <c r="J17" s="16" t="inlineStr">
        <is>
          <t>Nguyễn Thị Luyến</t>
        </is>
      </c>
      <c r="K17" s="17" t="inlineStr">
        <is>
          <t>Nguyễn Thị Luyến</t>
        </is>
      </c>
      <c r="L17" s="18" t="inlineStr">
        <is>
          <t>Nguyễn Thị Luyến</t>
        </is>
      </c>
      <c r="M17" t="inlineStr">
        <is>
          <t>Nguyễn Thị Luyến</t>
        </is>
      </c>
      <c r="N17" t="inlineStr">
        <is>
          <t>Nguyễn Thị Luyến</t>
        </is>
      </c>
      <c r="O17" t="inlineStr">
        <is>
          <t>Nguyễn Thị Luyến</t>
        </is>
      </c>
      <c r="P17" t="inlineStr">
        <is>
          <t>Nguyễn Thị Luyến</t>
        </is>
      </c>
      <c r="Q17" t="inlineStr">
        <is>
          <t>Nguyễn Thị Luyến</t>
        </is>
      </c>
      <c r="R17" t="inlineStr">
        <is>
          <t>Nguyễn Thị Luyến</t>
        </is>
      </c>
      <c r="S17" t="inlineStr">
        <is>
          <t>Nguyễn Thị Luyến</t>
        </is>
      </c>
      <c r="T17" t="inlineStr">
        <is>
          <t>Nguyễn Thị Luyến</t>
        </is>
      </c>
      <c r="U17" t="inlineStr">
        <is>
          <t>Nguyễn Thị Luyến</t>
        </is>
      </c>
      <c r="W17" t="n">
        <v>0</v>
      </c>
    </row>
    <row r="18" ht="15" customHeight="1">
      <c r="A18" s="15" t="inlineStr">
        <is>
          <t>Nghệ thuật (Mỹ thuật)</t>
        </is>
      </c>
      <c r="B18" s="16" t="inlineStr">
        <is>
          <t>Lý Thị Duyên</t>
        </is>
      </c>
      <c r="C18" s="16" t="inlineStr">
        <is>
          <t>Lý Thị Duyên</t>
        </is>
      </c>
      <c r="D18" s="16" t="inlineStr">
        <is>
          <t>Lý Thị Duyên</t>
        </is>
      </c>
      <c r="E18" s="16" t="inlineStr">
        <is>
          <t>Lý Thị Duyên</t>
        </is>
      </c>
      <c r="F18" s="16" t="inlineStr">
        <is>
          <t>Lý Thị Duyên</t>
        </is>
      </c>
      <c r="G18" s="16" t="inlineStr">
        <is>
          <t>Lê Thị Minh Anh</t>
        </is>
      </c>
      <c r="H18" s="16" t="inlineStr">
        <is>
          <t>Lê Thị Minh Anh</t>
        </is>
      </c>
      <c r="I18" s="16" t="inlineStr">
        <is>
          <t>Lê Thị Minh Anh</t>
        </is>
      </c>
      <c r="J18" s="16" t="inlineStr">
        <is>
          <t>Lê Thị Minh Anh</t>
        </is>
      </c>
      <c r="K18" s="17" t="inlineStr">
        <is>
          <t>Ngô Thuý Vân</t>
        </is>
      </c>
      <c r="L18" s="18" t="inlineStr">
        <is>
          <t>Lý Thị Duyên</t>
        </is>
      </c>
      <c r="M18" t="inlineStr">
        <is>
          <t>Lý Thị Duyên</t>
        </is>
      </c>
      <c r="N18" t="inlineStr">
        <is>
          <t>Lý Thị Duyên</t>
        </is>
      </c>
      <c r="O18" t="inlineStr">
        <is>
          <t>Lý Thị Duyên</t>
        </is>
      </c>
      <c r="P18" t="inlineStr">
        <is>
          <t>Lý Thị Duyên</t>
        </is>
      </c>
      <c r="Q18" t="inlineStr">
        <is>
          <t>Lý Thị Duyên</t>
        </is>
      </c>
      <c r="R18" t="inlineStr">
        <is>
          <t>Lý Thị Duyên</t>
        </is>
      </c>
      <c r="S18" t="inlineStr">
        <is>
          <t>Lý Thị Duyên</t>
        </is>
      </c>
      <c r="T18" t="inlineStr">
        <is>
          <t>Lý Thị Duyên</t>
        </is>
      </c>
      <c r="U18" t="inlineStr">
        <is>
          <t>Lý Thị Duyên</t>
        </is>
      </c>
      <c r="W18" t="n">
        <v>0</v>
      </c>
    </row>
    <row r="19" ht="15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17" t="n"/>
      <c r="L19" s="17" t="n"/>
    </row>
    <row r="20" ht="15" customHeight="1"/>
    <row r="21" ht="15" customHeight="1">
      <c r="A21" s="23" t="n"/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dataValidations count="1">
    <dataValidation sqref="L3:L18" showDropDown="0" showInputMessage="0" showErrorMessage="0" allowBlank="0" type="whole">
      <formula1>0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P2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38" customWidth="1" min="1" max="1"/>
    <col width="10" customWidth="1" min="2" max="20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</cols>
  <sheetData>
    <row r="1" ht="15.75" customHeight="1">
      <c r="A1" s="2" t="inlineStr">
        <is>
          <t>ĐỊNH MỨC TIẾT/TUẦN — (C)=chẵn, (L)=lẻ. Môn .5: chẵn=2 lẻ=1</t>
        </is>
      </c>
    </row>
    <row r="2" ht="15" customHeight="1">
      <c r="A2" s="11" t="inlineStr">
        <is>
          <t>Môn \ Lớp</t>
        </is>
      </c>
      <c r="B2" s="24" t="inlineStr">
        <is>
          <t>6A7 C</t>
        </is>
      </c>
      <c r="C2" s="24" t="inlineStr">
        <is>
          <t>6A8 C</t>
        </is>
      </c>
      <c r="D2" s="24" t="inlineStr">
        <is>
          <t>6A9 C</t>
        </is>
      </c>
      <c r="E2" s="24" t="inlineStr">
        <is>
          <t>6A10 C</t>
        </is>
      </c>
      <c r="F2" s="24" t="inlineStr">
        <is>
          <t>6A11 C</t>
        </is>
      </c>
      <c r="G2" s="24" t="inlineStr">
        <is>
          <t>7A7 C</t>
        </is>
      </c>
      <c r="H2" s="24" t="inlineStr">
        <is>
          <t>7A8 C</t>
        </is>
      </c>
      <c r="I2" s="24" t="inlineStr">
        <is>
          <t>7A9 C</t>
        </is>
      </c>
      <c r="J2" s="24" t="inlineStr">
        <is>
          <t>7A10 C</t>
        </is>
      </c>
      <c r="K2" s="12" t="inlineStr">
        <is>
          <t>7A11 C</t>
        </is>
      </c>
      <c r="L2" s="25" t="inlineStr">
        <is>
          <t>8A7 C</t>
        </is>
      </c>
      <c r="M2" s="25" t="inlineStr">
        <is>
          <t>8A8 C</t>
        </is>
      </c>
      <c r="N2" s="25" t="inlineStr">
        <is>
          <t>8A9 C</t>
        </is>
      </c>
      <c r="O2" s="25" t="inlineStr">
        <is>
          <t>8A10 C</t>
        </is>
      </c>
      <c r="P2" s="25" t="inlineStr">
        <is>
          <t>8A11 C</t>
        </is>
      </c>
      <c r="Q2" s="25" t="inlineStr">
        <is>
          <t>9A8 C</t>
        </is>
      </c>
      <c r="R2" s="25" t="inlineStr">
        <is>
          <t>9A9 C</t>
        </is>
      </c>
      <c r="S2" s="25" t="inlineStr">
        <is>
          <t>9A10 C</t>
        </is>
      </c>
      <c r="T2" s="25" t="inlineStr">
        <is>
          <t>9A11 C</t>
        </is>
      </c>
      <c r="U2" t="inlineStr">
        <is>
          <t>9A12 C</t>
        </is>
      </c>
      <c r="W2" t="inlineStr">
        <is>
          <t>6A7 L</t>
        </is>
      </c>
      <c r="X2" t="inlineStr">
        <is>
          <t>6A8 L</t>
        </is>
      </c>
      <c r="Y2" t="inlineStr">
        <is>
          <t>6A9 L</t>
        </is>
      </c>
      <c r="Z2" t="inlineStr">
        <is>
          <t>6A10 L</t>
        </is>
      </c>
      <c r="AA2" t="inlineStr">
        <is>
          <t>6A11 L</t>
        </is>
      </c>
      <c r="AB2" t="inlineStr">
        <is>
          <t>7A7 L</t>
        </is>
      </c>
      <c r="AC2" t="inlineStr">
        <is>
          <t>7A8 L</t>
        </is>
      </c>
      <c r="AD2" t="inlineStr">
        <is>
          <t>7A9 L</t>
        </is>
      </c>
      <c r="AE2" t="inlineStr">
        <is>
          <t>7A10 L</t>
        </is>
      </c>
      <c r="AF2" t="inlineStr">
        <is>
          <t>7A11 L</t>
        </is>
      </c>
      <c r="AG2" t="inlineStr">
        <is>
          <t>8A7 L</t>
        </is>
      </c>
      <c r="AH2" t="inlineStr">
        <is>
          <t>8A8 L</t>
        </is>
      </c>
      <c r="AI2" t="inlineStr">
        <is>
          <t>8A9 L</t>
        </is>
      </c>
      <c r="AJ2" t="inlineStr">
        <is>
          <t>8A10 L</t>
        </is>
      </c>
      <c r="AK2" t="inlineStr">
        <is>
          <t>8A11 L</t>
        </is>
      </c>
      <c r="AL2" t="inlineStr">
        <is>
          <t>9A8 L</t>
        </is>
      </c>
      <c r="AM2" t="inlineStr">
        <is>
          <t>9A9 L</t>
        </is>
      </c>
      <c r="AN2" t="inlineStr">
        <is>
          <t>9A10 L</t>
        </is>
      </c>
      <c r="AO2" t="inlineStr">
        <is>
          <t>9A11 L</t>
        </is>
      </c>
      <c r="AP2" t="inlineStr">
        <is>
          <t>9A12 L</t>
        </is>
      </c>
    </row>
    <row r="3" ht="15" customHeight="1">
      <c r="A3" s="26" t="inlineStr">
        <is>
          <t>Toán học</t>
        </is>
      </c>
      <c r="B3" s="16" t="n">
        <v>4</v>
      </c>
      <c r="C3" s="16" t="n">
        <v>4</v>
      </c>
      <c r="D3" s="16" t="n">
        <v>4</v>
      </c>
      <c r="E3" s="16" t="n">
        <v>4</v>
      </c>
      <c r="F3" s="16" t="n">
        <v>4</v>
      </c>
      <c r="G3" s="16" t="n">
        <v>4</v>
      </c>
      <c r="H3" s="16" t="n">
        <v>4</v>
      </c>
      <c r="I3" s="16" t="n">
        <v>4</v>
      </c>
      <c r="J3" s="16" t="n">
        <v>4</v>
      </c>
      <c r="K3" s="22" t="n">
        <v>4</v>
      </c>
      <c r="L3" s="16" t="n">
        <v>4</v>
      </c>
      <c r="M3" s="16" t="n">
        <v>4</v>
      </c>
      <c r="N3" s="16" t="n">
        <v>4</v>
      </c>
      <c r="O3" s="16" t="n">
        <v>4</v>
      </c>
      <c r="P3" s="16" t="n">
        <v>4</v>
      </c>
      <c r="Q3" s="16" t="n">
        <v>4</v>
      </c>
      <c r="R3" s="16" t="n">
        <v>4</v>
      </c>
      <c r="S3" s="16" t="n">
        <v>4</v>
      </c>
      <c r="T3" s="16" t="n">
        <v>4</v>
      </c>
      <c r="U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</row>
    <row r="4" ht="15" customHeight="1">
      <c r="A4" s="26" t="inlineStr">
        <is>
          <t>Ngữ văn</t>
        </is>
      </c>
      <c r="B4" s="16" t="n">
        <v>4</v>
      </c>
      <c r="C4" s="16" t="n">
        <v>4</v>
      </c>
      <c r="D4" s="16" t="n">
        <v>4</v>
      </c>
      <c r="E4" s="16" t="n">
        <v>4</v>
      </c>
      <c r="F4" s="16" t="n">
        <v>4</v>
      </c>
      <c r="G4" s="16" t="n">
        <v>4</v>
      </c>
      <c r="H4" s="16" t="n">
        <v>4</v>
      </c>
      <c r="I4" s="16" t="n">
        <v>4</v>
      </c>
      <c r="J4" s="16" t="n">
        <v>4</v>
      </c>
      <c r="K4" s="22" t="n">
        <v>4</v>
      </c>
      <c r="L4" s="16" t="n">
        <v>4</v>
      </c>
      <c r="M4" s="16" t="n">
        <v>4</v>
      </c>
      <c r="N4" s="16" t="n">
        <v>4</v>
      </c>
      <c r="O4" s="16" t="n">
        <v>4</v>
      </c>
      <c r="P4" s="16" t="n">
        <v>4</v>
      </c>
      <c r="Q4" s="16" t="n">
        <v>4</v>
      </c>
      <c r="R4" s="16" t="n">
        <v>4</v>
      </c>
      <c r="S4" s="16" t="n">
        <v>4</v>
      </c>
      <c r="T4" s="16" t="n">
        <v>4</v>
      </c>
      <c r="U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</row>
    <row r="5" ht="15" customHeight="1">
      <c r="A5" s="26" t="inlineStr">
        <is>
          <t>Tiếng Anh</t>
        </is>
      </c>
      <c r="B5" s="16" t="n">
        <v>3</v>
      </c>
      <c r="C5" s="16" t="n">
        <v>3</v>
      </c>
      <c r="D5" s="16" t="n">
        <v>3</v>
      </c>
      <c r="E5" s="16" t="n">
        <v>3</v>
      </c>
      <c r="F5" s="16" t="n">
        <v>3</v>
      </c>
      <c r="G5" s="16" t="n">
        <v>3</v>
      </c>
      <c r="H5" s="16" t="n">
        <v>3</v>
      </c>
      <c r="I5" s="16" t="n">
        <v>3</v>
      </c>
      <c r="J5" s="16" t="n">
        <v>3</v>
      </c>
      <c r="K5" s="22" t="n">
        <v>3</v>
      </c>
      <c r="L5" s="16" t="n">
        <v>3</v>
      </c>
      <c r="M5" s="16" t="n">
        <v>3</v>
      </c>
      <c r="N5" s="16" t="n">
        <v>3</v>
      </c>
      <c r="O5" s="16" t="n">
        <v>3</v>
      </c>
      <c r="P5" s="16" t="n">
        <v>3</v>
      </c>
      <c r="Q5" s="16" t="n">
        <v>3</v>
      </c>
      <c r="R5" s="16" t="n">
        <v>3</v>
      </c>
      <c r="S5" s="16" t="n">
        <v>3</v>
      </c>
      <c r="T5" s="16" t="n">
        <v>3</v>
      </c>
      <c r="U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</row>
    <row r="6" ht="15" customHeight="1">
      <c r="A6" s="26" t="inlineStr">
        <is>
          <t>Khoa học tự nhiên (Vật lý)</t>
        </is>
      </c>
      <c r="B6" s="16" t="n">
        <v>2</v>
      </c>
      <c r="C6" s="16" t="n">
        <v>2</v>
      </c>
      <c r="D6" s="16" t="n">
        <v>2</v>
      </c>
      <c r="E6" s="16" t="n">
        <v>2</v>
      </c>
      <c r="F6" s="16" t="n">
        <v>2</v>
      </c>
      <c r="G6" s="16" t="n">
        <v>1</v>
      </c>
      <c r="H6" s="16" t="n">
        <v>1</v>
      </c>
      <c r="I6" s="16" t="n">
        <v>1</v>
      </c>
      <c r="J6" s="16" t="n">
        <v>1</v>
      </c>
      <c r="K6" s="22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2</v>
      </c>
      <c r="R6" s="16" t="n">
        <v>2</v>
      </c>
      <c r="S6" s="16" t="n">
        <v>2</v>
      </c>
      <c r="T6" s="16" t="n">
        <v>2</v>
      </c>
      <c r="U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</row>
    <row r="7" ht="15" customHeight="1">
      <c r="A7" s="26" t="inlineStr">
        <is>
          <t>Khoa học tự nhiên (Hóa học)</t>
        </is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22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6" t="n">
        <v>1</v>
      </c>
      <c r="U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 ht="15" customHeight="1">
      <c r="A8" s="26" t="inlineStr">
        <is>
          <t>Khoa học tự nhiên (Sinh học)</t>
        </is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2</v>
      </c>
      <c r="H8" s="16" t="n">
        <v>2</v>
      </c>
      <c r="I8" s="16" t="n">
        <v>2</v>
      </c>
      <c r="J8" s="16" t="n">
        <v>2</v>
      </c>
      <c r="K8" s="22" t="n">
        <v>2</v>
      </c>
      <c r="L8" s="16" t="n">
        <v>2</v>
      </c>
      <c r="M8" s="16" t="n">
        <v>2</v>
      </c>
      <c r="N8" s="16" t="n">
        <v>2</v>
      </c>
      <c r="O8" s="16" t="n">
        <v>2</v>
      </c>
      <c r="P8" s="16" t="n">
        <v>2</v>
      </c>
      <c r="Q8" s="16" t="n">
        <v>1</v>
      </c>
      <c r="R8" s="16" t="n">
        <v>1</v>
      </c>
      <c r="S8" s="16" t="n">
        <v>1</v>
      </c>
      <c r="T8" s="16" t="n">
        <v>1</v>
      </c>
      <c r="U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  <row r="9" ht="15" customHeight="1">
      <c r="A9" s="26" t="inlineStr">
        <is>
          <t>Lịch sử và Địa Lý (Lịch sử)</t>
        </is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2</v>
      </c>
      <c r="H9" s="16" t="n">
        <v>2</v>
      </c>
      <c r="I9" s="16" t="n">
        <v>2</v>
      </c>
      <c r="J9" s="16" t="n">
        <v>2</v>
      </c>
      <c r="K9" s="22" t="n">
        <v>2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2</v>
      </c>
      <c r="R9" s="16" t="n">
        <v>2</v>
      </c>
      <c r="S9" s="16" t="n">
        <v>2</v>
      </c>
      <c r="T9" s="16" t="n">
        <v>2</v>
      </c>
      <c r="U9" t="n">
        <v>2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</row>
    <row r="10" ht="15" customHeight="1">
      <c r="A10" s="26" t="inlineStr">
        <is>
          <t>Lịch sử và Địa Lý (Địa lý)</t>
        </is>
      </c>
      <c r="B10" s="16" t="n">
        <v>2</v>
      </c>
      <c r="C10" s="16" t="n">
        <v>2</v>
      </c>
      <c r="D10" s="16" t="n">
        <v>2</v>
      </c>
      <c r="E10" s="16" t="n">
        <v>2</v>
      </c>
      <c r="F10" s="16" t="n">
        <v>2</v>
      </c>
      <c r="G10" s="16" t="n">
        <v>1</v>
      </c>
      <c r="H10" s="16" t="n">
        <v>1</v>
      </c>
      <c r="I10" s="16" t="n">
        <v>1</v>
      </c>
      <c r="J10" s="16" t="n">
        <v>1</v>
      </c>
      <c r="K10" s="22" t="n">
        <v>1</v>
      </c>
      <c r="L10" s="16" t="n">
        <v>2</v>
      </c>
      <c r="M10" s="16" t="n">
        <v>2</v>
      </c>
      <c r="N10" s="16" t="n">
        <v>2</v>
      </c>
      <c r="O10" s="16" t="n">
        <v>2</v>
      </c>
      <c r="P10" s="16" t="n">
        <v>2</v>
      </c>
      <c r="Q10" s="16" t="n">
        <v>1</v>
      </c>
      <c r="R10" s="16" t="n">
        <v>1</v>
      </c>
      <c r="S10" s="16" t="n">
        <v>1</v>
      </c>
      <c r="T10" s="16" t="n">
        <v>1</v>
      </c>
      <c r="U10" t="n">
        <v>1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</row>
    <row r="11" ht="15" customHeight="1">
      <c r="A11" s="26" t="inlineStr">
        <is>
          <t>GDCD</t>
        </is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22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>
        <v>1</v>
      </c>
      <c r="T11" s="16" t="n">
        <v>1</v>
      </c>
      <c r="U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</row>
    <row r="12" ht="15" customHeight="1">
      <c r="A12" s="26" t="inlineStr">
        <is>
          <t>Công nghệ</t>
        </is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22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2</v>
      </c>
      <c r="R12" s="16" t="n">
        <v>2</v>
      </c>
      <c r="S12" s="16" t="n">
        <v>2</v>
      </c>
      <c r="T12" s="16" t="n">
        <v>2</v>
      </c>
      <c r="U12" t="n">
        <v>2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</row>
    <row r="13" ht="15" customHeight="1">
      <c r="A13" s="26" t="inlineStr">
        <is>
          <t>Tin học</t>
        </is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22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1</v>
      </c>
      <c r="T13" s="16" t="n">
        <v>1</v>
      </c>
      <c r="U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</row>
    <row r="14" ht="15" customHeight="1">
      <c r="A14" s="26" t="inlineStr">
        <is>
          <t>Giáo dục thể chất</t>
        </is>
      </c>
      <c r="B14" s="16" t="n">
        <v>2</v>
      </c>
      <c r="C14" s="16" t="n">
        <v>2</v>
      </c>
      <c r="D14" s="16" t="n">
        <v>2</v>
      </c>
      <c r="E14" s="16" t="n">
        <v>2</v>
      </c>
      <c r="F14" s="16" t="n">
        <v>2</v>
      </c>
      <c r="G14" s="16" t="n">
        <v>2</v>
      </c>
      <c r="H14" s="16" t="n">
        <v>2</v>
      </c>
      <c r="I14" s="16" t="n">
        <v>2</v>
      </c>
      <c r="J14" s="16" t="n">
        <v>2</v>
      </c>
      <c r="K14" s="22" t="n">
        <v>2</v>
      </c>
      <c r="L14" s="16" t="n">
        <v>2</v>
      </c>
      <c r="M14" s="16" t="n">
        <v>2</v>
      </c>
      <c r="N14" s="16" t="n">
        <v>2</v>
      </c>
      <c r="O14" s="16" t="n">
        <v>2</v>
      </c>
      <c r="P14" s="16" t="n">
        <v>2</v>
      </c>
      <c r="Q14" s="16" t="n">
        <v>2</v>
      </c>
      <c r="R14" s="16" t="n">
        <v>2</v>
      </c>
      <c r="S14" s="16" t="n">
        <v>2</v>
      </c>
      <c r="T14" s="16" t="n">
        <v>2</v>
      </c>
      <c r="U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</row>
    <row r="15" ht="15" customHeight="1">
      <c r="A15" s="26" t="inlineStr">
        <is>
          <t>Nội dung giáo dục của địa phương</t>
        </is>
      </c>
      <c r="B15" s="16" t="n">
        <v>2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22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>
        <v>1</v>
      </c>
      <c r="T15" s="16" t="n">
        <v>1</v>
      </c>
      <c r="U15" t="n">
        <v>1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</row>
    <row r="16" ht="15" customHeight="1">
      <c r="A16" s="26" t="inlineStr">
        <is>
          <t>Hoạt động trải nghiệm, hướng nghiệp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3</v>
      </c>
      <c r="I16" s="16" t="n">
        <v>3</v>
      </c>
      <c r="J16" s="16" t="n">
        <v>3</v>
      </c>
      <c r="K16" s="22" t="n">
        <v>3</v>
      </c>
      <c r="L16" s="16" t="n">
        <v>3</v>
      </c>
      <c r="M16" s="16" t="n">
        <v>3</v>
      </c>
      <c r="N16" s="16" t="n">
        <v>3</v>
      </c>
      <c r="O16" s="16" t="n">
        <v>3</v>
      </c>
      <c r="P16" s="16" t="n">
        <v>3</v>
      </c>
      <c r="Q16" s="16" t="n">
        <v>3</v>
      </c>
      <c r="R16" s="16" t="n">
        <v>3</v>
      </c>
      <c r="S16" s="16" t="n">
        <v>3</v>
      </c>
      <c r="T16" s="16" t="n">
        <v>3</v>
      </c>
      <c r="U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</row>
    <row r="17" ht="15" customHeight="1">
      <c r="A17" s="26" t="inlineStr">
        <is>
          <t>Nghệ thuật (Âm nhạc)</t>
        </is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22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1</v>
      </c>
      <c r="U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</row>
    <row r="18" ht="15" customHeight="1">
      <c r="A18" s="26" t="inlineStr">
        <is>
          <t>Nghệ thuật (Mỹ thuật)</t>
        </is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22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>
        <v>1</v>
      </c>
      <c r="T18" s="16" t="n">
        <v>1</v>
      </c>
      <c r="U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</row>
    <row r="19" ht="15" customHeight="1">
      <c r="A19" s="15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15" customHeight="1">
      <c r="A20" s="5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D15"/>
  <sheetViews>
    <sheetView zoomScaleNormal="100" workbookViewId="0">
      <selection activeCell="A1" sqref="A1"/>
    </sheetView>
  </sheetViews>
  <sheetFormatPr baseColWidth="8" defaultColWidth="8.7109375" defaultRowHeight="15"/>
  <cols>
    <col width="38" customWidth="1" min="1" max="1"/>
    <col width="10" customWidth="1" min="2" max="4"/>
    <col width="10" customWidth="1" min="3" max="3"/>
    <col width="10" customWidth="1" min="4" max="4"/>
  </cols>
  <sheetData>
    <row r="1" ht="29.25" customHeight="1">
      <c r="A1" s="1" t="inlineStr">
        <is>
          <t>GIÁO VIÊN BẬN / XIN NGHỈ — macro né các khung giờ này, chỉ đổi tối thiểu số tiết</t>
        </is>
      </c>
    </row>
    <row r="2" ht="15" customHeight="1">
      <c r="A2" s="11" t="n"/>
      <c r="B2" s="11" t="n"/>
      <c r="C2" s="11" t="n"/>
      <c r="D2" s="11" t="n"/>
    </row>
    <row r="3" ht="15" customHeight="1">
      <c r="A3" s="27" t="n"/>
      <c r="B3" s="27" t="n"/>
      <c r="C3" s="27" t="n"/>
      <c r="D3" s="27" t="n"/>
    </row>
    <row r="4" ht="15" customHeight="1">
      <c r="A4" s="27" t="n"/>
      <c r="B4" s="27" t="n"/>
      <c r="C4" s="27" t="n"/>
      <c r="D4" s="27" t="n"/>
    </row>
    <row r="5" ht="15" customHeight="1">
      <c r="A5" s="27" t="n"/>
      <c r="B5" s="27" t="n"/>
      <c r="C5" s="27" t="n"/>
      <c r="D5" s="27" t="n"/>
    </row>
    <row r="6" ht="15" customHeight="1">
      <c r="A6" s="27" t="n"/>
      <c r="B6" s="27" t="n"/>
      <c r="C6" s="27" t="n"/>
      <c r="D6" s="27" t="n"/>
    </row>
    <row r="7" ht="15" customHeight="1">
      <c r="A7" s="27" t="n"/>
      <c r="B7" s="27" t="n"/>
      <c r="C7" s="27" t="n"/>
      <c r="D7" s="27" t="n"/>
    </row>
    <row r="8" ht="15" customHeight="1">
      <c r="A8" s="27" t="n"/>
      <c r="B8" s="27" t="n"/>
      <c r="C8" s="27" t="n"/>
      <c r="D8" s="27" t="n"/>
    </row>
    <row r="9" ht="15" customHeight="1">
      <c r="A9" s="27" t="n"/>
      <c r="B9" s="27" t="n"/>
      <c r="C9" s="27" t="n"/>
      <c r="D9" s="27" t="n"/>
    </row>
    <row r="10" ht="15" customHeight="1">
      <c r="A10" s="27" t="n"/>
      <c r="B10" s="27" t="n"/>
      <c r="C10" s="27" t="n"/>
      <c r="D10" s="27" t="n"/>
    </row>
    <row r="11" ht="15" customHeight="1">
      <c r="A11" s="27" t="n"/>
      <c r="B11" s="27" t="n"/>
      <c r="C11" s="27" t="n"/>
      <c r="D11" s="27" t="n"/>
    </row>
    <row r="12" ht="15" customHeight="1">
      <c r="A12" s="27" t="n"/>
      <c r="B12" s="27" t="n"/>
      <c r="C12" s="27" t="n"/>
      <c r="D12" s="27" t="n"/>
    </row>
    <row r="13"/>
    <row r="14" ht="15" customHeight="1">
      <c r="A14" s="23" t="n"/>
    </row>
    <row r="15" ht="15" customHeight="1">
      <c r="A15" s="23" t="n"/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R43"/>
  <sheetViews>
    <sheetView zoomScaleNormal="100" workbookViewId="0">
      <selection activeCell="A1" sqref="A1:F1"/>
    </sheetView>
  </sheetViews>
  <sheetFormatPr baseColWidth="8" defaultColWidth="8.7109375" defaultRowHeight="15"/>
  <cols>
    <col width="38" customWidth="1" min="1" max="2"/>
    <col width="18" customWidth="1" min="2" max="2"/>
    <col width="11" customWidth="1" min="3" max="7"/>
    <col width="10" customWidth="1" min="4" max="4"/>
    <col width="11" customWidth="1" min="5" max="5"/>
    <col width="10" customWidth="1" min="6" max="6"/>
    <col width="14" customWidth="1" min="7" max="7"/>
    <col width="14" customWidth="1" min="8" max="9"/>
    <col width="13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7" customWidth="1" min="17" max="17"/>
    <col width="10" customWidth="1" min="18" max="18"/>
  </cols>
  <sheetData>
    <row r="1" ht="15.75" customHeight="1">
      <c r="A1" s="2" t="inlineStr">
        <is>
          <t>ĐỊNH MỨC GIÁO VIÊN — Vượt&gt;0 (đỏ)=quá tải. Chức vụ điền sẵn từ Sheet2.</t>
        </is>
      </c>
      <c r="H1" s="5" t="inlineStr">
        <is>
          <t>Chuẩn:</t>
        </is>
      </c>
      <c r="I1" s="18" t="n">
        <v>19</v>
      </c>
      <c r="K1" s="28" t="inlineStr">
        <is>
          <t>Chức vụ</t>
        </is>
      </c>
      <c r="L1" s="28" t="inlineStr">
        <is>
          <t>Giảm</t>
        </is>
      </c>
      <c r="N1" t="inlineStr">
        <is>
          <t>Chuẩn:</t>
        </is>
      </c>
      <c r="O1" t="n">
        <v>19</v>
      </c>
      <c r="Q1" t="inlineStr">
        <is>
          <t>Sàn tối thiểu:</t>
        </is>
      </c>
      <c r="R1" t="n">
        <v>15</v>
      </c>
    </row>
    <row r="2" ht="15" customHeight="1">
      <c r="A2" s="11" t="inlineStr">
        <is>
          <t>Tên GV</t>
        </is>
      </c>
      <c r="B2" s="11" t="inlineStr">
        <is>
          <t>Chức vụ</t>
        </is>
      </c>
      <c r="C2" s="11" t="inlineStr">
        <is>
          <t>Giảm trừ</t>
        </is>
      </c>
      <c r="D2" s="11" t="inlineStr">
        <is>
          <t>Trần</t>
        </is>
      </c>
      <c r="E2" s="11" t="inlineStr">
        <is>
          <t>Tải Chẵn</t>
        </is>
      </c>
      <c r="F2" s="11" t="inlineStr">
        <is>
          <t>Tải Lẻ</t>
        </is>
      </c>
      <c r="G2" s="11" t="inlineStr">
        <is>
          <t>Vượt (Chẵn)</t>
        </is>
      </c>
      <c r="H2" s="11" t="inlineStr">
        <is>
          <t>Đi T2 (1/0)</t>
        </is>
      </c>
      <c r="I2" s="11" t="inlineStr">
        <is>
          <t>GVCN (1/0)</t>
        </is>
      </c>
      <c r="K2" s="29" t="inlineStr">
        <is>
          <t>Hiệu trưởng</t>
        </is>
      </c>
      <c r="L2" s="30" t="n">
        <v>17</v>
      </c>
    </row>
    <row r="3" ht="15" customHeight="1">
      <c r="A3" s="29" t="inlineStr">
        <is>
          <t>Đỗ Thị Sa</t>
        </is>
      </c>
      <c r="B3" s="16" t="inlineStr">
        <is>
          <t>Hiệu trưởng</t>
        </is>
      </c>
      <c r="C3" s="30" t="n"/>
      <c r="D3" s="31" t="n"/>
      <c r="E3" s="30" t="n"/>
      <c r="F3" s="30" t="n"/>
      <c r="G3" s="31" t="n"/>
      <c r="H3" s="16" t="n">
        <v>1</v>
      </c>
      <c r="I3" s="16" t="n">
        <v>0</v>
      </c>
      <c r="K3" s="29" t="inlineStr">
        <is>
          <t>Phó hiệu trưởng</t>
        </is>
      </c>
      <c r="L3" s="30" t="n">
        <v>15</v>
      </c>
    </row>
    <row r="4" ht="15" customHeight="1">
      <c r="A4" s="29" t="inlineStr">
        <is>
          <t>Đoàn Tiến Quân</t>
        </is>
      </c>
      <c r="B4" s="16" t="inlineStr">
        <is>
          <t>Phó hiệu trưởng</t>
        </is>
      </c>
      <c r="C4" s="30" t="n"/>
      <c r="D4" s="31" t="n"/>
      <c r="E4" s="30" t="n"/>
      <c r="F4" s="30" t="n"/>
      <c r="G4" s="31" t="n"/>
      <c r="H4" s="16" t="n">
        <v>1</v>
      </c>
      <c r="I4" s="16" t="n">
        <v>0</v>
      </c>
      <c r="K4" s="29" t="inlineStr">
        <is>
          <t>Tổ trưởng</t>
        </is>
      </c>
      <c r="L4" s="30" t="n">
        <v>3</v>
      </c>
    </row>
    <row r="5" ht="15" customHeight="1">
      <c r="A5" s="29" t="inlineStr">
        <is>
          <t>Phan Thị Thùy Linh</t>
        </is>
      </c>
      <c r="B5" s="16" t="inlineStr">
        <is>
          <t>Tổ trưởng</t>
        </is>
      </c>
      <c r="C5" s="30" t="n"/>
      <c r="D5" s="31" t="n"/>
      <c r="E5" s="30" t="n"/>
      <c r="F5" s="30" t="n"/>
      <c r="G5" s="31" t="n"/>
      <c r="H5" s="16" t="n">
        <v>1</v>
      </c>
      <c r="I5" s="16" t="n">
        <v>1</v>
      </c>
      <c r="K5" s="29" t="inlineStr">
        <is>
          <t>Tổ phó</t>
        </is>
      </c>
      <c r="L5" s="30" t="n">
        <v>1</v>
      </c>
    </row>
    <row r="6" ht="15" customHeight="1">
      <c r="A6" s="29" t="inlineStr">
        <is>
          <t>Nguyễn Thị Thu Hương</t>
        </is>
      </c>
      <c r="B6" s="16" t="inlineStr">
        <is>
          <t>GVCN</t>
        </is>
      </c>
      <c r="C6" s="30" t="n"/>
      <c r="D6" s="31" t="n"/>
      <c r="E6" s="30" t="n"/>
      <c r="F6" s="30" t="n"/>
      <c r="G6" s="31" t="n"/>
      <c r="H6" s="16" t="n">
        <v>1</v>
      </c>
      <c r="I6" s="16" t="n">
        <v>1</v>
      </c>
      <c r="K6" t="inlineStr">
        <is>
          <t>GVCN</t>
        </is>
      </c>
      <c r="L6" t="n">
        <v>4</v>
      </c>
    </row>
    <row r="7" ht="15" customHeight="1">
      <c r="A7" s="29" t="inlineStr">
        <is>
          <t>Đồng Thị Hiền</t>
        </is>
      </c>
      <c r="B7" s="16" t="inlineStr">
        <is>
          <t>GVCN</t>
        </is>
      </c>
      <c r="C7" s="30" t="n"/>
      <c r="D7" s="31" t="n"/>
      <c r="E7" s="30" t="n"/>
      <c r="F7" s="30" t="n"/>
      <c r="G7" s="31" t="n"/>
      <c r="H7" s="16" t="n">
        <v>1</v>
      </c>
      <c r="I7" s="16" t="n">
        <v>1</v>
      </c>
      <c r="K7" t="inlineStr">
        <is>
          <t>Tổng phụ trách</t>
        </is>
      </c>
      <c r="L7" t="n">
        <v>8</v>
      </c>
    </row>
    <row r="8" ht="15" customHeight="1">
      <c r="A8" s="29" t="inlineStr">
        <is>
          <t>Hoàng Thị Phương Duyên</t>
        </is>
      </c>
      <c r="B8" s="16" t="inlineStr">
        <is>
          <t>GVCN</t>
        </is>
      </c>
      <c r="C8" s="30" t="n"/>
      <c r="D8" s="31" t="n"/>
      <c r="E8" s="30" t="n"/>
      <c r="F8" s="30" t="n"/>
      <c r="G8" s="31" t="n"/>
      <c r="H8" s="16" t="n">
        <v>1</v>
      </c>
      <c r="I8" s="16" t="n">
        <v>1</v>
      </c>
      <c r="K8" t="inlineStr">
        <is>
          <t>Thư ký HĐ</t>
        </is>
      </c>
      <c r="L8" t="n">
        <v>2</v>
      </c>
    </row>
    <row r="9" ht="15" customHeight="1">
      <c r="A9" s="29" t="inlineStr">
        <is>
          <t>Ngô Thị Xuân Hương</t>
        </is>
      </c>
      <c r="B9" s="16" t="inlineStr">
        <is>
          <t>GVCN</t>
        </is>
      </c>
      <c r="C9" s="30" t="n"/>
      <c r="D9" s="31" t="n"/>
      <c r="E9" s="30" t="n"/>
      <c r="F9" s="30" t="n"/>
      <c r="G9" s="31" t="n"/>
      <c r="H9" s="16" t="n">
        <v>1</v>
      </c>
      <c r="I9" s="16" t="n">
        <v>1</v>
      </c>
    </row>
    <row r="10" ht="15" customHeight="1">
      <c r="A10" s="29" t="inlineStr">
        <is>
          <t>Bùi Thị Mỹ Hạnh</t>
        </is>
      </c>
      <c r="B10" s="16" t="inlineStr">
        <is>
          <t>GVCN</t>
        </is>
      </c>
      <c r="C10" s="30" t="n"/>
      <c r="D10" s="31" t="n"/>
      <c r="E10" s="30" t="n"/>
      <c r="F10" s="30" t="n"/>
      <c r="G10" s="31" t="n"/>
      <c r="H10" s="16" t="n">
        <v>1</v>
      </c>
      <c r="I10" s="16" t="n">
        <v>1</v>
      </c>
    </row>
    <row r="11" ht="15" customHeight="1">
      <c r="A11" s="29" t="inlineStr">
        <is>
          <t>Triệu Thị Luyến</t>
        </is>
      </c>
      <c r="B11" s="16" t="inlineStr">
        <is>
          <t>GVCN</t>
        </is>
      </c>
      <c r="C11" s="30" t="n"/>
      <c r="D11" s="31" t="n"/>
      <c r="E11" s="30" t="n"/>
      <c r="F11" s="30" t="n"/>
      <c r="G11" s="31" t="n"/>
      <c r="H11" s="16" t="n">
        <v>1</v>
      </c>
      <c r="I11" s="16" t="n">
        <v>1</v>
      </c>
    </row>
    <row r="12" ht="15" customHeight="1">
      <c r="A12" s="29" t="inlineStr">
        <is>
          <t>Hoàng Thị Kiều Loan</t>
        </is>
      </c>
      <c r="B12" s="16" t="inlineStr">
        <is>
          <t>HĐ235</t>
        </is>
      </c>
      <c r="C12" s="30" t="n"/>
      <c r="D12" s="31" t="n"/>
      <c r="E12" s="30" t="n"/>
      <c r="F12" s="30" t="n"/>
      <c r="G12" s="31" t="n"/>
      <c r="H12" s="16" t="n">
        <v>1</v>
      </c>
      <c r="I12" s="16" t="n">
        <v>0</v>
      </c>
    </row>
    <row r="13" ht="15" customHeight="1">
      <c r="A13" s="29" t="inlineStr">
        <is>
          <t>Bàng Thị Phượng</t>
        </is>
      </c>
      <c r="B13" s="16" t="inlineStr">
        <is>
          <t>HĐ235</t>
        </is>
      </c>
      <c r="C13" s="30" t="n"/>
      <c r="D13" s="31" t="n"/>
      <c r="E13" s="30" t="n"/>
      <c r="F13" s="30" t="n"/>
      <c r="G13" s="31" t="n"/>
      <c r="H13" s="16" t="n">
        <v>1</v>
      </c>
      <c r="I13" s="16" t="n">
        <v>0</v>
      </c>
    </row>
    <row r="14" ht="15" customHeight="1">
      <c r="A14" s="29" t="inlineStr">
        <is>
          <t>Nông Thị Trà</t>
        </is>
      </c>
      <c r="B14" s="16" t="inlineStr">
        <is>
          <t>HĐ235</t>
        </is>
      </c>
      <c r="C14" s="30" t="n"/>
      <c r="D14" s="31" t="n"/>
      <c r="E14" s="30" t="n"/>
      <c r="F14" s="30" t="n"/>
      <c r="G14" s="31" t="n"/>
      <c r="H14" s="16" t="n">
        <v>1</v>
      </c>
      <c r="I14" s="16" t="n">
        <v>0</v>
      </c>
    </row>
    <row r="15" ht="15" customHeight="1">
      <c r="A15" s="29" t="inlineStr">
        <is>
          <t>Bùi Thị Hòa</t>
        </is>
      </c>
      <c r="B15" s="16" t="inlineStr">
        <is>
          <t>GVCN</t>
        </is>
      </c>
      <c r="C15" s="30" t="n"/>
      <c r="D15" s="31" t="n"/>
      <c r="E15" s="30" t="n"/>
      <c r="F15" s="30" t="n"/>
      <c r="G15" s="31" t="n"/>
      <c r="H15" s="16" t="n">
        <v>1</v>
      </c>
      <c r="I15" s="16" t="n">
        <v>1</v>
      </c>
    </row>
    <row r="16" ht="15" customHeight="1">
      <c r="A16" s="29" t="inlineStr">
        <is>
          <t>Lại Thị Thanh Huyền</t>
        </is>
      </c>
      <c r="B16" s="16" t="inlineStr">
        <is>
          <t>Tổ phó</t>
        </is>
      </c>
      <c r="C16" s="30" t="n"/>
      <c r="D16" s="31" t="n"/>
      <c r="E16" s="30" t="n"/>
      <c r="F16" s="30" t="n"/>
      <c r="G16" s="31" t="n"/>
      <c r="H16" s="16" t="n">
        <v>1</v>
      </c>
      <c r="I16" s="16" t="n">
        <v>1</v>
      </c>
    </row>
    <row r="17" ht="15" customHeight="1">
      <c r="A17" s="29" t="inlineStr">
        <is>
          <t>Nguyễn Thị Hà</t>
        </is>
      </c>
      <c r="B17" s="16" t="inlineStr">
        <is>
          <t>GVCN</t>
        </is>
      </c>
      <c r="C17" s="30" t="n"/>
      <c r="D17" s="31" t="n"/>
      <c r="E17" s="30" t="n"/>
      <c r="F17" s="30" t="n"/>
      <c r="G17" s="31" t="n"/>
      <c r="H17" s="16" t="n">
        <v>1</v>
      </c>
      <c r="I17" s="16" t="n">
        <v>1</v>
      </c>
    </row>
    <row r="18" ht="15" customHeight="1">
      <c r="A18" s="29" t="inlineStr">
        <is>
          <t>Mẫn Xuân Thắng</t>
        </is>
      </c>
      <c r="B18" s="16" t="inlineStr"/>
      <c r="C18" s="30" t="n"/>
      <c r="D18" s="31" t="n"/>
      <c r="E18" s="30" t="n"/>
      <c r="F18" s="30" t="n"/>
      <c r="G18" s="31" t="n"/>
      <c r="H18" s="16" t="n">
        <v>1</v>
      </c>
      <c r="I18" s="16" t="n">
        <v>0</v>
      </c>
    </row>
    <row r="19" ht="15" customHeight="1">
      <c r="A19" s="29" t="inlineStr">
        <is>
          <t>Phùng Thị Lan</t>
        </is>
      </c>
      <c r="B19" s="16" t="inlineStr">
        <is>
          <t>GVCN</t>
        </is>
      </c>
      <c r="C19" s="30" t="n"/>
      <c r="D19" s="31" t="n"/>
      <c r="E19" s="30" t="n"/>
      <c r="F19" s="30" t="n"/>
      <c r="G19" s="31" t="n"/>
      <c r="H19" s="16" t="n">
        <v>1</v>
      </c>
      <c r="I19" s="16" t="n">
        <v>1</v>
      </c>
    </row>
    <row r="20" ht="15" customHeight="1">
      <c r="A20" s="29" t="inlineStr">
        <is>
          <t>Hoàng Thị Thanh Thắm</t>
        </is>
      </c>
      <c r="B20" s="16" t="inlineStr">
        <is>
          <t>GVCN</t>
        </is>
      </c>
      <c r="C20" s="30" t="n"/>
      <c r="D20" s="31" t="n"/>
      <c r="E20" s="30" t="n"/>
      <c r="F20" s="30" t="n"/>
      <c r="G20" s="31" t="n"/>
      <c r="H20" s="16" t="n">
        <v>1</v>
      </c>
      <c r="I20" s="16" t="n">
        <v>1</v>
      </c>
    </row>
    <row r="21" ht="15" customHeight="1">
      <c r="A21" s="29" t="inlineStr">
        <is>
          <t>Lê Thị Thu Hằng</t>
        </is>
      </c>
      <c r="B21" s="16" t="inlineStr">
        <is>
          <t>HĐ235 / GVCN</t>
        </is>
      </c>
      <c r="C21" s="30" t="n"/>
      <c r="D21" s="31" t="n"/>
      <c r="E21" s="30" t="n"/>
      <c r="F21" s="30" t="n"/>
      <c r="G21" s="31" t="n"/>
      <c r="H21" s="16" t="n">
        <v>1</v>
      </c>
      <c r="I21" s="16" t="n">
        <v>1</v>
      </c>
    </row>
    <row r="22" ht="15" customHeight="1">
      <c r="A22" t="inlineStr">
        <is>
          <t>Nguyễn Thị Hiền</t>
        </is>
      </c>
      <c r="B22" s="32" t="inlineStr">
        <is>
          <t>HĐ235</t>
        </is>
      </c>
      <c r="D22" s="5" t="n"/>
      <c r="E22" s="5" t="n"/>
      <c r="H22" t="n">
        <v>1</v>
      </c>
      <c r="I22" t="n">
        <v>0</v>
      </c>
    </row>
    <row r="23" ht="15" customHeight="1">
      <c r="A23" s="23" t="inlineStr">
        <is>
          <t>Lương Thị Thu Hiền</t>
        </is>
      </c>
      <c r="B23" t="inlineStr">
        <is>
          <t>HĐ235</t>
        </is>
      </c>
      <c r="D23" s="5" t="n"/>
      <c r="E23" s="5" t="n"/>
      <c r="H23" s="33" t="n">
        <v>1</v>
      </c>
      <c r="I23" t="n">
        <v>0</v>
      </c>
    </row>
    <row r="24" ht="15" customHeight="1">
      <c r="A24" s="23" t="inlineStr">
        <is>
          <t>Hà Thị Hải Yến</t>
        </is>
      </c>
      <c r="B24" t="inlineStr">
        <is>
          <t>Tổ phó</t>
        </is>
      </c>
      <c r="D24" s="5" t="n"/>
      <c r="E24" s="5" t="n"/>
      <c r="H24" s="33" t="n">
        <v>1</v>
      </c>
      <c r="I24" t="n">
        <v>1</v>
      </c>
    </row>
    <row r="25" ht="15" customHeight="1">
      <c r="A25" t="inlineStr">
        <is>
          <t>Trần Thị Liễu</t>
        </is>
      </c>
      <c r="B25" t="inlineStr">
        <is>
          <t>HĐK</t>
        </is>
      </c>
      <c r="H25" t="n">
        <v>1</v>
      </c>
      <c r="I25" t="n">
        <v>0</v>
      </c>
    </row>
    <row r="26" ht="15" customHeight="1">
      <c r="A26" t="inlineStr">
        <is>
          <t>Trần Thị Quỳnh Hằng</t>
        </is>
      </c>
      <c r="B26" t="inlineStr">
        <is>
          <t>HĐK</t>
        </is>
      </c>
      <c r="H26" t="n">
        <v>1</v>
      </c>
      <c r="I26" t="n">
        <v>0</v>
      </c>
    </row>
    <row r="27" ht="15" customHeight="1">
      <c r="A27" t="inlineStr">
        <is>
          <t>Nguyễn Ánh Hồng</t>
        </is>
      </c>
      <c r="B27" t="inlineStr">
        <is>
          <t>HĐK</t>
        </is>
      </c>
      <c r="H27" t="n">
        <v>1</v>
      </c>
      <c r="I27" t="n">
        <v>0</v>
      </c>
    </row>
    <row r="28" ht="15" customHeight="1">
      <c r="A28" t="inlineStr">
        <is>
          <t>Vũ Thị Bích Hằng</t>
        </is>
      </c>
      <c r="B28" t="inlineStr"/>
      <c r="H28" t="n">
        <v>1</v>
      </c>
      <c r="I28" t="n">
        <v>0</v>
      </c>
    </row>
    <row r="29" ht="15" customHeight="1">
      <c r="A29" t="inlineStr">
        <is>
          <t>Chu Diệu Linh</t>
        </is>
      </c>
      <c r="B29" t="inlineStr">
        <is>
          <t>GVCN</t>
        </is>
      </c>
      <c r="H29" t="n">
        <v>1</v>
      </c>
      <c r="I29" t="n">
        <v>1</v>
      </c>
    </row>
    <row r="30" ht="15" customHeight="1">
      <c r="A30" t="inlineStr">
        <is>
          <t>Trương Thị Thu Hương</t>
        </is>
      </c>
      <c r="B30" t="inlineStr">
        <is>
          <t>GVCN</t>
        </is>
      </c>
      <c r="H30" t="n">
        <v>1</v>
      </c>
      <c r="I30" t="n">
        <v>1</v>
      </c>
    </row>
    <row r="31" ht="15" customHeight="1">
      <c r="A31" t="inlineStr">
        <is>
          <t>Đỗ Thị Thu Hiền</t>
        </is>
      </c>
      <c r="B31" t="inlineStr"/>
      <c r="H31" t="n">
        <v>1</v>
      </c>
      <c r="I31" t="n">
        <v>0</v>
      </c>
    </row>
    <row r="32" ht="15" customHeight="1">
      <c r="A32" t="inlineStr">
        <is>
          <t>Lê Văn Hậu</t>
        </is>
      </c>
      <c r="B32" t="inlineStr"/>
      <c r="H32" t="n">
        <v>1</v>
      </c>
      <c r="I32" t="n">
        <v>0</v>
      </c>
    </row>
    <row r="33" ht="15" customHeight="1">
      <c r="A33" t="inlineStr">
        <is>
          <t>GV môn GDTC</t>
        </is>
      </c>
      <c r="B33" t="inlineStr"/>
      <c r="H33" t="n">
        <v>1</v>
      </c>
      <c r="I33" t="n">
        <v>0</v>
      </c>
    </row>
    <row r="34" ht="15" customHeight="1">
      <c r="A34" t="inlineStr">
        <is>
          <t>Bùi Đức Anh</t>
        </is>
      </c>
      <c r="B34" t="inlineStr">
        <is>
          <t>Trường chính</t>
        </is>
      </c>
      <c r="H34" t="n">
        <v>1</v>
      </c>
      <c r="I34" t="n">
        <v>0</v>
      </c>
    </row>
    <row r="35" ht="15" customHeight="1">
      <c r="A35" t="inlineStr">
        <is>
          <t>Lý Thị Duyên</t>
        </is>
      </c>
      <c r="B35" t="inlineStr">
        <is>
          <t>GVCN</t>
        </is>
      </c>
      <c r="H35" t="n">
        <v>1</v>
      </c>
      <c r="I35" t="n">
        <v>1</v>
      </c>
    </row>
    <row r="36" ht="15" customHeight="1">
      <c r="A36" t="inlineStr">
        <is>
          <t>Lê Thị Minh Anh</t>
        </is>
      </c>
      <c r="B36" t="inlineStr">
        <is>
          <t>HĐK</t>
        </is>
      </c>
      <c r="H36" t="n">
        <v>1</v>
      </c>
      <c r="I36" t="n">
        <v>0</v>
      </c>
    </row>
    <row r="37" ht="15" customHeight="1">
      <c r="A37" t="inlineStr">
        <is>
          <t>Ngô Thuý Vân</t>
        </is>
      </c>
      <c r="B37" t="inlineStr">
        <is>
          <t>Tổng phụ trách</t>
        </is>
      </c>
      <c r="H37" t="n">
        <v>1</v>
      </c>
      <c r="I37" t="n">
        <v>0</v>
      </c>
    </row>
    <row r="38" ht="15" customHeight="1">
      <c r="A38" t="inlineStr">
        <is>
          <t>Nguyễn Thị Luyến</t>
        </is>
      </c>
      <c r="B38" t="inlineStr"/>
      <c r="H38" t="n">
        <v>1</v>
      </c>
      <c r="I38" t="n">
        <v>0</v>
      </c>
    </row>
    <row r="39" ht="15" customHeight="1">
      <c r="A39" t="inlineStr">
        <is>
          <t>Nguyễn Đình Tiến</t>
        </is>
      </c>
      <c r="B39" t="inlineStr">
        <is>
          <t>GVCN</t>
        </is>
      </c>
      <c r="H39" t="n">
        <v>1</v>
      </c>
      <c r="I39" t="n">
        <v>1</v>
      </c>
    </row>
    <row r="40" ht="15" customHeight="1">
      <c r="A40" t="inlineStr">
        <is>
          <t>Phan Thị Minh</t>
        </is>
      </c>
      <c r="B40" t="inlineStr">
        <is>
          <t>Tổ phó</t>
        </is>
      </c>
      <c r="H40" t="n">
        <v>1</v>
      </c>
      <c r="I40" t="n">
        <v>1</v>
      </c>
    </row>
    <row r="41" ht="15" customHeight="1">
      <c r="A41" t="inlineStr">
        <is>
          <t>Trần Đức Ngân</t>
        </is>
      </c>
      <c r="B41" t="inlineStr">
        <is>
          <t>GVCN</t>
        </is>
      </c>
      <c r="H41" t="n">
        <v>1</v>
      </c>
      <c r="I41" t="n">
        <v>1</v>
      </c>
    </row>
    <row r="42" ht="15" customHeight="1">
      <c r="A42" t="inlineStr">
        <is>
          <t>Nguyễn Thị Hồng Minh</t>
        </is>
      </c>
      <c r="B42" t="inlineStr">
        <is>
          <t>HĐ235</t>
        </is>
      </c>
      <c r="H42" t="n">
        <v>1</v>
      </c>
      <c r="I42" t="n">
        <v>0</v>
      </c>
    </row>
    <row r="43" ht="15" customHeight="1">
      <c r="A43" t="inlineStr">
        <is>
          <t>Bàng Như Quỳnh</t>
        </is>
      </c>
      <c r="B43" t="inlineStr">
        <is>
          <t>Trường chính</t>
        </is>
      </c>
      <c r="H43" t="n">
        <v>1</v>
      </c>
      <c r="I43" t="n">
        <v>0</v>
      </c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1">
    <mergeCell ref="A1:F1"/>
  </mergeCells>
  <conditionalFormatting sqref="E22:E24">
    <cfRule type="expression" priority="3" dxfId="0">
      <formula>E22&gt;E21</formula>
    </cfRule>
  </conditionalFormatting>
  <conditionalFormatting sqref="F3:G20">
    <cfRule type="expression" priority="2" dxfId="0">
      <formula>F3&gt;0</formula>
    </cfRule>
  </conditionalFormatting>
  <conditionalFormatting sqref="G3:G20">
    <cfRule type="expression" priority="5" dxfId="4">
      <formula>G3&lt;=0</formula>
    </cfRule>
  </conditionalFormatting>
  <conditionalFormatting sqref="G3:G21">
    <cfRule type="expression" priority="7" dxfId="0">
      <formula>G3&gt;0</formula>
    </cfRule>
    <cfRule type="expression" priority="8" dxfId="4">
      <formula>G3&lt;=0</formula>
    </cfRule>
    <cfRule type="expression" priority="9" dxfId="0">
      <formula>G3&gt;0</formula>
    </cfRule>
    <cfRule type="expression" priority="10" dxfId="4">
      <formula>G3&lt;=0</formula>
    </cfRule>
  </conditionalFormatting>
  <dataValidations count="1">
    <dataValidation sqref="B3:B21" showDropDown="0" showInputMessage="0" showErrorMessage="0" allowBlank="1" type="list">
      <formula1>"GVCN,Tổ trưởng,Tổ phó,Tổng phụ trách"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161"/>
  <sheetViews>
    <sheetView tabSelected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10" customWidth="1" min="2" max="3"/>
    <col width="11" customWidth="1" min="3" max="3"/>
    <col width="10" customWidth="1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 ht="24.7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24.75" customHeight="1">
      <c r="A2" s="30" t="inlineStr">
        <is>
          <t>6A7</t>
        </is>
      </c>
      <c r="B2" s="30" t="inlineStr">
        <is>
          <t>S</t>
        </is>
      </c>
      <c r="C2" s="30" t="n">
        <v>1</v>
      </c>
      <c r="D2" s="35" t="n"/>
      <c r="E2" s="35" t="n"/>
      <c r="F2" s="35" t="n"/>
      <c r="G2" s="35" t="n"/>
      <c r="H2" s="35" t="n"/>
      <c r="I2" s="35" t="n"/>
      <c r="J2" s="35" t="n"/>
    </row>
    <row r="3" ht="15" customHeight="1">
      <c r="A3" s="30" t="inlineStr">
        <is>
          <t>6A7</t>
        </is>
      </c>
      <c r="B3" s="30" t="inlineStr">
        <is>
          <t>S</t>
        </is>
      </c>
      <c r="C3" s="30" t="n">
        <v>2</v>
      </c>
      <c r="D3" s="35" t="n"/>
      <c r="E3" s="35" t="n"/>
      <c r="F3" s="35" t="n"/>
      <c r="G3" s="35" t="n"/>
      <c r="H3" s="35" t="n"/>
      <c r="I3" s="35" t="n"/>
      <c r="J3" s="35" t="n"/>
    </row>
    <row r="4" ht="24.75" customHeight="1">
      <c r="A4" s="30" t="inlineStr">
        <is>
          <t>6A7</t>
        </is>
      </c>
      <c r="B4" s="30" t="inlineStr">
        <is>
          <t>S</t>
        </is>
      </c>
      <c r="C4" s="30" t="n">
        <v>3</v>
      </c>
      <c r="D4" s="35" t="n"/>
      <c r="E4" s="35" t="n"/>
      <c r="F4" s="35" t="n"/>
      <c r="G4" s="35" t="n"/>
      <c r="H4" s="35" t="n"/>
      <c r="I4" s="35" t="n"/>
      <c r="J4" s="35" t="n"/>
    </row>
    <row r="5" ht="15" customHeight="1">
      <c r="A5" s="30" t="inlineStr">
        <is>
          <t>6A7</t>
        </is>
      </c>
      <c r="B5" s="30" t="inlineStr">
        <is>
          <t>S</t>
        </is>
      </c>
      <c r="C5" s="30" t="n">
        <v>4</v>
      </c>
      <c r="D5" s="35" t="n"/>
      <c r="E5" s="35" t="n"/>
      <c r="F5" s="35" t="n"/>
      <c r="G5" s="35" t="n"/>
      <c r="H5" s="35" t="n"/>
      <c r="I5" s="35" t="n"/>
      <c r="J5" s="35" t="n"/>
    </row>
    <row r="6" ht="24.75" customHeight="1">
      <c r="A6" s="30" t="inlineStr">
        <is>
          <t>6A7</t>
        </is>
      </c>
      <c r="B6" s="30" t="inlineStr">
        <is>
          <t>S</t>
        </is>
      </c>
      <c r="C6" s="30" t="n">
        <v>5</v>
      </c>
      <c r="D6" s="35" t="n"/>
      <c r="E6" s="35" t="n"/>
      <c r="F6" s="35" t="n"/>
      <c r="G6" s="35" t="n"/>
      <c r="H6" s="35" t="n"/>
      <c r="I6" s="35" t="n"/>
      <c r="J6" s="35" t="n"/>
    </row>
    <row r="7" ht="24.75" customHeight="1">
      <c r="A7" s="30" t="inlineStr">
        <is>
          <t>6A7</t>
        </is>
      </c>
      <c r="B7" s="30" t="inlineStr">
        <is>
          <t>C</t>
        </is>
      </c>
      <c r="C7" s="30" t="n">
        <v>1</v>
      </c>
      <c r="D7" s="35" t="n"/>
      <c r="E7" s="35" t="n"/>
      <c r="F7" s="35" t="n"/>
      <c r="G7" s="35" t="n"/>
      <c r="H7" s="35" t="n"/>
      <c r="I7" s="35" t="n"/>
      <c r="J7" s="35" t="n"/>
    </row>
    <row r="8" ht="15" customHeight="1">
      <c r="A8" s="30" t="inlineStr">
        <is>
          <t>6A7</t>
        </is>
      </c>
      <c r="B8" s="30" t="inlineStr">
        <is>
          <t>C</t>
        </is>
      </c>
      <c r="C8" s="30" t="n">
        <v>2</v>
      </c>
      <c r="D8" s="35" t="n"/>
      <c r="E8" s="35" t="n"/>
      <c r="F8" s="35" t="n"/>
      <c r="G8" s="35" t="n"/>
      <c r="H8" s="35" t="n"/>
      <c r="I8" s="35" t="n"/>
      <c r="J8" s="35" t="n"/>
    </row>
    <row r="9" ht="15" customHeight="1">
      <c r="A9" s="30" t="inlineStr">
        <is>
          <t>6A7</t>
        </is>
      </c>
      <c r="B9" s="30" t="inlineStr">
        <is>
          <t>C</t>
        </is>
      </c>
      <c r="C9" s="30" t="n">
        <v>3</v>
      </c>
      <c r="D9" s="35" t="n"/>
      <c r="E9" s="35" t="n"/>
      <c r="F9" s="35" t="n"/>
      <c r="G9" s="35" t="n"/>
      <c r="H9" s="35" t="n"/>
      <c r="I9" s="35" t="n"/>
      <c r="J9" s="35" t="n"/>
    </row>
    <row r="10" ht="24.75" customHeight="1">
      <c r="A10" s="36" t="inlineStr">
        <is>
          <t>6A8</t>
        </is>
      </c>
      <c r="B10" s="36" t="inlineStr">
        <is>
          <t>S</t>
        </is>
      </c>
      <c r="C10" s="36" t="n">
        <v>1</v>
      </c>
      <c r="D10" s="37" t="n"/>
      <c r="E10" s="37" t="n"/>
      <c r="F10" s="37" t="n"/>
      <c r="G10" s="37" t="n"/>
      <c r="H10" s="37" t="n"/>
      <c r="I10" s="37" t="n"/>
      <c r="J10" s="37" t="n"/>
    </row>
    <row r="11" ht="15" customHeight="1">
      <c r="A11" s="36" t="inlineStr">
        <is>
          <t>6A8</t>
        </is>
      </c>
      <c r="B11" s="36" t="inlineStr">
        <is>
          <t>S</t>
        </is>
      </c>
      <c r="C11" s="36" t="n">
        <v>2</v>
      </c>
      <c r="D11" s="37" t="n"/>
      <c r="E11" s="37" t="n"/>
      <c r="F11" s="37" t="n"/>
      <c r="G11" s="37" t="n"/>
      <c r="H11" s="37" t="n"/>
      <c r="I11" s="37" t="n"/>
      <c r="J11" s="37" t="n"/>
    </row>
    <row r="12" ht="15" customHeight="1">
      <c r="A12" s="36" t="inlineStr">
        <is>
          <t>6A8</t>
        </is>
      </c>
      <c r="B12" s="36" t="inlineStr">
        <is>
          <t>S</t>
        </is>
      </c>
      <c r="C12" s="36" t="n">
        <v>3</v>
      </c>
      <c r="D12" s="37" t="n"/>
      <c r="E12" s="37" t="n"/>
      <c r="F12" s="37" t="n"/>
      <c r="G12" s="37" t="n"/>
      <c r="H12" s="37" t="n"/>
      <c r="I12" s="37" t="n"/>
      <c r="J12" s="37" t="n"/>
    </row>
    <row r="13" ht="15" customHeight="1">
      <c r="A13" s="36" t="inlineStr">
        <is>
          <t>6A8</t>
        </is>
      </c>
      <c r="B13" s="36" t="inlineStr">
        <is>
          <t>S</t>
        </is>
      </c>
      <c r="C13" s="36" t="n">
        <v>4</v>
      </c>
      <c r="D13" s="37" t="n"/>
      <c r="E13" s="37" t="n"/>
      <c r="F13" s="37" t="n"/>
      <c r="G13" s="37" t="n"/>
      <c r="H13" s="37" t="n"/>
      <c r="I13" s="37" t="n"/>
      <c r="J13" s="37" t="n"/>
    </row>
    <row r="14" ht="24.75" customHeight="1">
      <c r="A14" s="36" t="inlineStr">
        <is>
          <t>6A8</t>
        </is>
      </c>
      <c r="B14" s="36" t="inlineStr">
        <is>
          <t>S</t>
        </is>
      </c>
      <c r="C14" s="36" t="n">
        <v>5</v>
      </c>
      <c r="D14" s="37" t="n"/>
      <c r="E14" s="37" t="n"/>
      <c r="F14" s="37" t="n"/>
      <c r="G14" s="37" t="n"/>
      <c r="H14" s="37" t="n"/>
      <c r="I14" s="37" t="n"/>
      <c r="J14" s="37" t="n"/>
    </row>
    <row r="15" ht="24.75" customHeight="1">
      <c r="A15" s="36" t="inlineStr">
        <is>
          <t>6A8</t>
        </is>
      </c>
      <c r="B15" s="36" t="inlineStr">
        <is>
          <t>C</t>
        </is>
      </c>
      <c r="C15" s="36" t="n">
        <v>1</v>
      </c>
      <c r="D15" s="37" t="n"/>
      <c r="E15" s="37" t="n"/>
      <c r="F15" s="37" t="n"/>
      <c r="G15" s="37" t="n"/>
      <c r="H15" s="37" t="n"/>
      <c r="I15" s="37" t="n"/>
      <c r="J15" s="37" t="n"/>
    </row>
    <row r="16" ht="15" customHeight="1">
      <c r="A16" s="36" t="inlineStr">
        <is>
          <t>6A8</t>
        </is>
      </c>
      <c r="B16" s="36" t="inlineStr">
        <is>
          <t>C</t>
        </is>
      </c>
      <c r="C16" s="36" t="n">
        <v>2</v>
      </c>
      <c r="D16" s="37" t="n"/>
      <c r="E16" s="37" t="n"/>
      <c r="F16" s="37" t="n"/>
      <c r="G16" s="37" t="n"/>
      <c r="H16" s="37" t="n"/>
      <c r="I16" s="37" t="n"/>
      <c r="J16" s="37" t="n"/>
    </row>
    <row r="17" ht="24.75" customHeight="1">
      <c r="A17" s="36" t="inlineStr">
        <is>
          <t>6A8</t>
        </is>
      </c>
      <c r="B17" s="36" t="inlineStr">
        <is>
          <t>C</t>
        </is>
      </c>
      <c r="C17" s="36" t="n">
        <v>3</v>
      </c>
      <c r="D17" s="37" t="n"/>
      <c r="E17" s="37" t="n"/>
      <c r="F17" s="37" t="n"/>
      <c r="G17" s="37" t="n"/>
      <c r="H17" s="37" t="n"/>
      <c r="I17" s="37" t="n"/>
      <c r="J17" s="37" t="n"/>
    </row>
    <row r="18" ht="15" customHeight="1">
      <c r="A18" s="30" t="inlineStr">
        <is>
          <t>6A9</t>
        </is>
      </c>
      <c r="B18" s="30" t="inlineStr">
        <is>
          <t>S</t>
        </is>
      </c>
      <c r="C18" s="30" t="n">
        <v>1</v>
      </c>
      <c r="D18" s="35" t="n"/>
      <c r="E18" s="35" t="n"/>
      <c r="F18" s="35" t="n"/>
      <c r="G18" s="35" t="n"/>
      <c r="H18" s="35" t="n"/>
      <c r="I18" s="35" t="n"/>
      <c r="J18" s="35" t="n"/>
    </row>
    <row r="19" ht="15" customHeight="1">
      <c r="A19" s="30" t="inlineStr">
        <is>
          <t>6A9</t>
        </is>
      </c>
      <c r="B19" s="30" t="inlineStr">
        <is>
          <t>S</t>
        </is>
      </c>
      <c r="C19" s="30" t="n">
        <v>2</v>
      </c>
      <c r="D19" s="35" t="n"/>
      <c r="E19" s="35" t="n"/>
      <c r="F19" s="35" t="n"/>
      <c r="G19" s="35" t="n"/>
      <c r="H19" s="35" t="n"/>
      <c r="I19" s="35" t="n"/>
      <c r="J19" s="35" t="n"/>
    </row>
    <row r="20" ht="15" customHeight="1">
      <c r="A20" s="30" t="inlineStr">
        <is>
          <t>6A9</t>
        </is>
      </c>
      <c r="B20" s="30" t="inlineStr">
        <is>
          <t>S</t>
        </is>
      </c>
      <c r="C20" s="30" t="n">
        <v>3</v>
      </c>
      <c r="D20" s="35" t="n"/>
      <c r="E20" s="35" t="n"/>
      <c r="F20" s="35" t="n"/>
      <c r="G20" s="35" t="n"/>
      <c r="H20" s="35" t="n"/>
      <c r="I20" s="35" t="n"/>
      <c r="J20" s="35" t="n"/>
    </row>
    <row r="21" ht="15" customHeight="1">
      <c r="A21" s="30" t="inlineStr">
        <is>
          <t>6A9</t>
        </is>
      </c>
      <c r="B21" s="30" t="inlineStr">
        <is>
          <t>S</t>
        </is>
      </c>
      <c r="C21" s="30" t="n">
        <v>4</v>
      </c>
      <c r="D21" s="35" t="n"/>
      <c r="E21" s="35" t="n"/>
      <c r="F21" s="35" t="n"/>
      <c r="G21" s="35" t="n"/>
      <c r="H21" s="35" t="n"/>
      <c r="I21" s="35" t="n"/>
      <c r="J21" s="35" t="n"/>
    </row>
    <row r="22" ht="15" customHeight="1">
      <c r="A22" s="30" t="inlineStr">
        <is>
          <t>6A9</t>
        </is>
      </c>
      <c r="B22" s="30" t="inlineStr">
        <is>
          <t>S</t>
        </is>
      </c>
      <c r="C22" s="30" t="n">
        <v>5</v>
      </c>
      <c r="D22" s="35" t="n"/>
      <c r="E22" s="35" t="n"/>
      <c r="F22" s="35" t="n"/>
      <c r="G22" s="35" t="n"/>
      <c r="H22" s="35" t="n"/>
      <c r="I22" s="35" t="n"/>
      <c r="J22" s="35" t="n"/>
    </row>
    <row r="23" ht="15" customHeight="1">
      <c r="A23" s="30" t="inlineStr">
        <is>
          <t>6A9</t>
        </is>
      </c>
      <c r="B23" s="30" t="inlineStr">
        <is>
          <t>C</t>
        </is>
      </c>
      <c r="C23" s="30" t="n">
        <v>1</v>
      </c>
      <c r="D23" s="35" t="n"/>
      <c r="E23" s="35" t="n"/>
      <c r="F23" s="35" t="n"/>
      <c r="G23" s="35" t="n"/>
      <c r="H23" s="35" t="n"/>
      <c r="I23" s="35" t="n"/>
      <c r="J23" s="35" t="n"/>
    </row>
    <row r="24" ht="15" customHeight="1">
      <c r="A24" s="30" t="inlineStr">
        <is>
          <t>6A9</t>
        </is>
      </c>
      <c r="B24" s="30" t="inlineStr">
        <is>
          <t>C</t>
        </is>
      </c>
      <c r="C24" s="30" t="n">
        <v>2</v>
      </c>
      <c r="D24" s="35" t="n"/>
      <c r="E24" s="35" t="n"/>
      <c r="F24" s="35" t="n"/>
      <c r="G24" s="35" t="n"/>
      <c r="H24" s="35" t="n"/>
      <c r="I24" s="35" t="n"/>
      <c r="J24" s="35" t="n"/>
    </row>
    <row r="25" ht="15" customHeight="1">
      <c r="A25" s="30" t="inlineStr">
        <is>
          <t>6A9</t>
        </is>
      </c>
      <c r="B25" s="30" t="inlineStr">
        <is>
          <t>C</t>
        </is>
      </c>
      <c r="C25" s="30" t="n">
        <v>3</v>
      </c>
      <c r="D25" s="35" t="n"/>
      <c r="E25" s="35" t="n"/>
      <c r="F25" s="35" t="n"/>
      <c r="G25" s="35" t="n"/>
      <c r="H25" s="35" t="n"/>
      <c r="I25" s="35" t="n"/>
      <c r="J25" s="35" t="n"/>
    </row>
    <row r="26" ht="24.75" customHeight="1">
      <c r="A26" s="36" t="inlineStr">
        <is>
          <t>6A10</t>
        </is>
      </c>
      <c r="B26" s="36" t="inlineStr">
        <is>
          <t>S</t>
        </is>
      </c>
      <c r="C26" s="36" t="n">
        <v>1</v>
      </c>
      <c r="D26" s="37" t="n"/>
      <c r="E26" s="37" t="n"/>
      <c r="F26" s="37" t="n"/>
      <c r="G26" s="37" t="n"/>
      <c r="H26" s="37" t="n"/>
      <c r="I26" s="37" t="n"/>
      <c r="J26" s="37" t="n"/>
    </row>
    <row r="27" ht="15" customHeight="1">
      <c r="A27" s="36" t="inlineStr">
        <is>
          <t>6A10</t>
        </is>
      </c>
      <c r="B27" s="36" t="inlineStr">
        <is>
          <t>S</t>
        </is>
      </c>
      <c r="C27" s="36" t="n">
        <v>2</v>
      </c>
      <c r="D27" s="37" t="n"/>
      <c r="E27" s="37" t="n"/>
      <c r="F27" s="37" t="n"/>
      <c r="G27" s="37" t="n"/>
      <c r="H27" s="37" t="n"/>
      <c r="I27" s="37" t="n"/>
      <c r="J27" s="37" t="n"/>
    </row>
    <row r="28" ht="15" customHeight="1">
      <c r="A28" s="36" t="inlineStr">
        <is>
          <t>6A10</t>
        </is>
      </c>
      <c r="B28" s="36" t="inlineStr">
        <is>
          <t>S</t>
        </is>
      </c>
      <c r="C28" s="36" t="n">
        <v>3</v>
      </c>
      <c r="D28" s="37" t="n"/>
      <c r="E28" s="37" t="n"/>
      <c r="F28" s="37" t="n"/>
      <c r="G28" s="37" t="n"/>
      <c r="H28" s="37" t="n"/>
      <c r="I28" s="37" t="n"/>
      <c r="J28" s="37" t="n"/>
    </row>
    <row r="29" ht="24.75" customHeight="1">
      <c r="A29" s="36" t="inlineStr">
        <is>
          <t>6A10</t>
        </is>
      </c>
      <c r="B29" s="36" t="inlineStr">
        <is>
          <t>S</t>
        </is>
      </c>
      <c r="C29" s="36" t="n">
        <v>4</v>
      </c>
      <c r="D29" s="37" t="n"/>
      <c r="E29" s="37" t="n"/>
      <c r="F29" s="37" t="n"/>
      <c r="G29" s="37" t="n"/>
      <c r="H29" s="37" t="n"/>
      <c r="I29" s="37" t="n"/>
      <c r="J29" s="37" t="n"/>
    </row>
    <row r="30" ht="24.75" customHeight="1">
      <c r="A30" s="36" t="inlineStr">
        <is>
          <t>6A10</t>
        </is>
      </c>
      <c r="B30" s="36" t="inlineStr">
        <is>
          <t>S</t>
        </is>
      </c>
      <c r="C30" s="36" t="n">
        <v>5</v>
      </c>
      <c r="D30" s="37" t="n"/>
      <c r="E30" s="37" t="n"/>
      <c r="F30" s="37" t="n"/>
      <c r="G30" s="37" t="n"/>
      <c r="H30" s="37" t="n"/>
      <c r="I30" s="37" t="n"/>
      <c r="J30" s="37" t="n"/>
    </row>
    <row r="31" ht="24.75" customHeight="1">
      <c r="A31" s="36" t="inlineStr">
        <is>
          <t>6A10</t>
        </is>
      </c>
      <c r="B31" s="36" t="inlineStr">
        <is>
          <t>C</t>
        </is>
      </c>
      <c r="C31" s="36" t="n">
        <v>1</v>
      </c>
      <c r="D31" s="37" t="n"/>
      <c r="E31" s="37" t="n"/>
      <c r="F31" s="37" t="n"/>
      <c r="G31" s="37" t="n"/>
      <c r="H31" s="37" t="n"/>
      <c r="I31" s="37" t="n"/>
      <c r="J31" s="37" t="n"/>
    </row>
    <row r="32" ht="15" customHeight="1">
      <c r="A32" s="36" t="inlineStr">
        <is>
          <t>6A10</t>
        </is>
      </c>
      <c r="B32" s="36" t="inlineStr">
        <is>
          <t>C</t>
        </is>
      </c>
      <c r="C32" s="36" t="n">
        <v>2</v>
      </c>
      <c r="D32" s="37" t="n"/>
      <c r="E32" s="37" t="n"/>
      <c r="F32" s="37" t="n"/>
      <c r="G32" s="37" t="n"/>
      <c r="H32" s="37" t="n"/>
      <c r="I32" s="37" t="n"/>
      <c r="J32" s="37" t="n"/>
    </row>
    <row r="33" ht="15" customHeight="1">
      <c r="A33" s="36" t="inlineStr">
        <is>
          <t>6A10</t>
        </is>
      </c>
      <c r="B33" s="36" t="inlineStr">
        <is>
          <t>C</t>
        </is>
      </c>
      <c r="C33" s="36" t="n">
        <v>3</v>
      </c>
      <c r="D33" s="37" t="n"/>
      <c r="E33" s="37" t="n"/>
      <c r="F33" s="37" t="n"/>
      <c r="G33" s="37" t="n"/>
      <c r="H33" s="37" t="n"/>
      <c r="I33" s="37" t="n"/>
      <c r="J33" s="37" t="n"/>
    </row>
    <row r="34" ht="24.75" customHeight="1">
      <c r="A34" s="30" t="inlineStr">
        <is>
          <t>6A11</t>
        </is>
      </c>
      <c r="B34" s="30" t="inlineStr">
        <is>
          <t>S</t>
        </is>
      </c>
      <c r="C34" s="30" t="n">
        <v>1</v>
      </c>
      <c r="D34" s="35" t="n"/>
      <c r="E34" s="35" t="n"/>
      <c r="F34" s="35" t="n"/>
      <c r="G34" s="35" t="n"/>
      <c r="H34" s="35" t="n"/>
      <c r="I34" s="35" t="n"/>
      <c r="J34" s="35" t="n"/>
    </row>
    <row r="35" ht="24.75" customHeight="1">
      <c r="A35" s="30" t="inlineStr">
        <is>
          <t>6A11</t>
        </is>
      </c>
      <c r="B35" s="30" t="inlineStr">
        <is>
          <t>S</t>
        </is>
      </c>
      <c r="C35" s="30" t="n">
        <v>2</v>
      </c>
      <c r="D35" s="35" t="n"/>
      <c r="E35" s="35" t="n"/>
      <c r="F35" s="35" t="n"/>
      <c r="G35" s="35" t="n"/>
      <c r="H35" s="35" t="n"/>
      <c r="I35" s="35" t="n"/>
      <c r="J35" s="35" t="n"/>
    </row>
    <row r="36" ht="24.75" customHeight="1">
      <c r="A36" s="30" t="inlineStr">
        <is>
          <t>6A11</t>
        </is>
      </c>
      <c r="B36" s="30" t="inlineStr">
        <is>
          <t>S</t>
        </is>
      </c>
      <c r="C36" s="30" t="n">
        <v>3</v>
      </c>
      <c r="D36" s="35" t="n"/>
      <c r="E36" s="35" t="n"/>
      <c r="F36" s="35" t="n"/>
      <c r="G36" s="35" t="n"/>
      <c r="H36" s="35" t="n"/>
      <c r="I36" s="35" t="n"/>
      <c r="J36" s="35" t="n"/>
    </row>
    <row r="37" ht="15" customHeight="1">
      <c r="A37" s="30" t="inlineStr">
        <is>
          <t>6A11</t>
        </is>
      </c>
      <c r="B37" s="30" t="inlineStr">
        <is>
          <t>S</t>
        </is>
      </c>
      <c r="C37" s="30" t="n">
        <v>4</v>
      </c>
      <c r="D37" s="35" t="n"/>
      <c r="E37" s="35" t="n"/>
      <c r="F37" s="35" t="n"/>
      <c r="G37" s="35" t="n"/>
      <c r="H37" s="35" t="n"/>
      <c r="I37" s="35" t="n"/>
      <c r="J37" s="35" t="n"/>
    </row>
    <row r="38" ht="24.75" customHeight="1">
      <c r="A38" s="30" t="inlineStr">
        <is>
          <t>6A11</t>
        </is>
      </c>
      <c r="B38" s="30" t="inlineStr">
        <is>
          <t>S</t>
        </is>
      </c>
      <c r="C38" s="30" t="n">
        <v>5</v>
      </c>
      <c r="D38" s="35" t="n"/>
      <c r="E38" s="35" t="n"/>
      <c r="F38" s="35" t="n"/>
      <c r="G38" s="35" t="n"/>
      <c r="H38" s="35" t="n"/>
      <c r="I38" s="35" t="n"/>
      <c r="J38" s="35" t="n"/>
    </row>
    <row r="39" ht="15" customHeight="1">
      <c r="A39" s="30" t="inlineStr">
        <is>
          <t>6A11</t>
        </is>
      </c>
      <c r="B39" s="30" t="inlineStr">
        <is>
          <t>C</t>
        </is>
      </c>
      <c r="C39" s="30" t="n">
        <v>1</v>
      </c>
      <c r="D39" s="35" t="n"/>
      <c r="E39" s="35" t="n"/>
      <c r="F39" s="35" t="n"/>
      <c r="G39" s="35" t="n"/>
      <c r="H39" s="35" t="n"/>
      <c r="I39" s="35" t="n"/>
      <c r="J39" s="35" t="n"/>
    </row>
    <row r="40" ht="24.75" customHeight="1">
      <c r="A40" s="30" t="inlineStr">
        <is>
          <t>6A11</t>
        </is>
      </c>
      <c r="B40" s="30" t="inlineStr">
        <is>
          <t>C</t>
        </is>
      </c>
      <c r="C40" s="30" t="n">
        <v>2</v>
      </c>
      <c r="D40" s="35" t="n"/>
      <c r="E40" s="35" t="n"/>
      <c r="F40" s="35" t="n"/>
      <c r="G40" s="35" t="n"/>
      <c r="H40" s="35" t="n"/>
      <c r="I40" s="35" t="n"/>
      <c r="J40" s="35" t="n"/>
    </row>
    <row r="41" ht="24.75" customHeight="1">
      <c r="A41" s="30" t="inlineStr">
        <is>
          <t>6A11</t>
        </is>
      </c>
      <c r="B41" s="30" t="inlineStr">
        <is>
          <t>C</t>
        </is>
      </c>
      <c r="C41" s="30" t="n">
        <v>3</v>
      </c>
      <c r="D41" s="35" t="n"/>
      <c r="E41" s="35" t="n"/>
      <c r="F41" s="35" t="n"/>
      <c r="G41" s="35" t="n"/>
      <c r="H41" s="35" t="n"/>
      <c r="I41" s="35" t="n"/>
      <c r="J41" s="35" t="n"/>
    </row>
    <row r="42" ht="24.75" customHeight="1">
      <c r="A42" s="36" t="inlineStr">
        <is>
          <t>7A7</t>
        </is>
      </c>
      <c r="B42" s="36" t="inlineStr">
        <is>
          <t>S</t>
        </is>
      </c>
      <c r="C42" s="36" t="n">
        <v>1</v>
      </c>
      <c r="D42" s="37" t="n"/>
      <c r="E42" s="37" t="n"/>
      <c r="F42" s="37" t="n"/>
      <c r="G42" s="37" t="n"/>
      <c r="H42" s="37" t="n"/>
      <c r="I42" s="37" t="n"/>
      <c r="J42" s="37" t="n"/>
    </row>
    <row r="43" ht="24.75" customHeight="1">
      <c r="A43" s="36" t="inlineStr">
        <is>
          <t>7A7</t>
        </is>
      </c>
      <c r="B43" s="36" t="inlineStr">
        <is>
          <t>S</t>
        </is>
      </c>
      <c r="C43" s="36" t="n">
        <v>2</v>
      </c>
      <c r="D43" s="37" t="n"/>
      <c r="E43" s="37" t="n"/>
      <c r="F43" s="37" t="n"/>
      <c r="G43" s="37" t="n"/>
      <c r="H43" s="37" t="n"/>
      <c r="I43" s="37" t="n"/>
      <c r="J43" s="37" t="n"/>
    </row>
    <row r="44" ht="24.75" customHeight="1">
      <c r="A44" s="36" t="inlineStr">
        <is>
          <t>7A7</t>
        </is>
      </c>
      <c r="B44" s="36" t="inlineStr">
        <is>
          <t>S</t>
        </is>
      </c>
      <c r="C44" s="36" t="n">
        <v>3</v>
      </c>
      <c r="D44" s="37" t="n"/>
      <c r="E44" s="37" t="n"/>
      <c r="F44" s="37" t="n"/>
      <c r="G44" s="37" t="n"/>
      <c r="H44" s="37" t="n"/>
      <c r="I44" s="37" t="n"/>
      <c r="J44" s="37" t="n"/>
    </row>
    <row r="45" ht="24.75" customHeight="1">
      <c r="A45" s="36" t="inlineStr">
        <is>
          <t>7A7</t>
        </is>
      </c>
      <c r="B45" s="36" t="inlineStr">
        <is>
          <t>S</t>
        </is>
      </c>
      <c r="C45" s="36" t="n">
        <v>4</v>
      </c>
      <c r="D45" s="37" t="n"/>
      <c r="E45" s="37" t="n"/>
      <c r="F45" s="37" t="n"/>
      <c r="G45" s="37" t="n"/>
      <c r="H45" s="37" t="n"/>
      <c r="I45" s="37" t="n"/>
      <c r="J45" s="37" t="n"/>
    </row>
    <row r="46" ht="24.75" customHeight="1">
      <c r="A46" s="36" t="inlineStr">
        <is>
          <t>7A7</t>
        </is>
      </c>
      <c r="B46" s="36" t="inlineStr">
        <is>
          <t>S</t>
        </is>
      </c>
      <c r="C46" s="36" t="n">
        <v>5</v>
      </c>
      <c r="D46" s="37" t="n"/>
      <c r="E46" s="37" t="n"/>
      <c r="F46" s="37" t="n"/>
      <c r="G46" s="37" t="n"/>
      <c r="H46" s="37" t="n"/>
      <c r="I46" s="37" t="n"/>
      <c r="J46" s="37" t="n"/>
    </row>
    <row r="47" ht="15" customHeight="1">
      <c r="A47" s="36" t="inlineStr">
        <is>
          <t>7A7</t>
        </is>
      </c>
      <c r="B47" s="36" t="inlineStr">
        <is>
          <t>C</t>
        </is>
      </c>
      <c r="C47" s="36" t="n">
        <v>1</v>
      </c>
      <c r="D47" s="37" t="n"/>
      <c r="E47" s="37" t="n"/>
      <c r="F47" s="37" t="n"/>
      <c r="G47" s="37" t="n"/>
      <c r="H47" s="37" t="n"/>
      <c r="I47" s="37" t="n"/>
      <c r="J47" s="37" t="n"/>
    </row>
    <row r="48" ht="15" customHeight="1">
      <c r="A48" s="36" t="inlineStr">
        <is>
          <t>7A7</t>
        </is>
      </c>
      <c r="B48" s="36" t="inlineStr">
        <is>
          <t>C</t>
        </is>
      </c>
      <c r="C48" s="36" t="n">
        <v>2</v>
      </c>
      <c r="D48" s="37" t="n"/>
      <c r="E48" s="37" t="n"/>
      <c r="F48" s="37" t="n"/>
      <c r="G48" s="37" t="n"/>
      <c r="H48" s="37" t="n"/>
      <c r="I48" s="37" t="n"/>
      <c r="J48" s="37" t="n"/>
    </row>
    <row r="49" ht="24.75" customHeight="1">
      <c r="A49" s="36" t="inlineStr">
        <is>
          <t>7A7</t>
        </is>
      </c>
      <c r="B49" s="36" t="inlineStr">
        <is>
          <t>C</t>
        </is>
      </c>
      <c r="C49" s="36" t="n">
        <v>3</v>
      </c>
      <c r="D49" s="37" t="n"/>
      <c r="E49" s="37" t="n"/>
      <c r="F49" s="37" t="n"/>
      <c r="G49" s="37" t="n"/>
      <c r="H49" s="37" t="n"/>
      <c r="I49" s="37" t="n"/>
      <c r="J49" s="37" t="n"/>
    </row>
    <row r="50" ht="24.75" customHeight="1">
      <c r="A50" s="30" t="inlineStr">
        <is>
          <t>7A8</t>
        </is>
      </c>
      <c r="B50" s="30" t="inlineStr">
        <is>
          <t>S</t>
        </is>
      </c>
      <c r="C50" s="30" t="n">
        <v>1</v>
      </c>
      <c r="D50" s="35" t="n"/>
      <c r="E50" s="35" t="n"/>
      <c r="F50" s="35" t="n"/>
      <c r="G50" s="35" t="n"/>
      <c r="H50" s="35" t="n"/>
      <c r="I50" s="35" t="n"/>
      <c r="J50" s="35" t="n"/>
    </row>
    <row r="51" ht="24.75" customHeight="1">
      <c r="A51" s="30" t="inlineStr">
        <is>
          <t>7A8</t>
        </is>
      </c>
      <c r="B51" s="30" t="inlineStr">
        <is>
          <t>S</t>
        </is>
      </c>
      <c r="C51" s="30" t="n">
        <v>2</v>
      </c>
      <c r="D51" s="35" t="n"/>
      <c r="E51" s="35" t="n"/>
      <c r="F51" s="35" t="n"/>
      <c r="G51" s="35" t="n"/>
      <c r="H51" s="35" t="n"/>
      <c r="I51" s="35" t="n"/>
      <c r="J51" s="35" t="n"/>
    </row>
    <row r="52" ht="24.75" customHeight="1">
      <c r="A52" s="30" t="inlineStr">
        <is>
          <t>7A8</t>
        </is>
      </c>
      <c r="B52" s="30" t="inlineStr">
        <is>
          <t>S</t>
        </is>
      </c>
      <c r="C52" s="30" t="n">
        <v>3</v>
      </c>
      <c r="D52" s="35" t="n"/>
      <c r="E52" s="35" t="n"/>
      <c r="F52" s="35" t="n"/>
      <c r="G52" s="35" t="n"/>
      <c r="H52" s="35" t="n"/>
      <c r="I52" s="35" t="n"/>
      <c r="J52" s="35" t="n"/>
    </row>
    <row r="53" ht="24.75" customHeight="1">
      <c r="A53" s="30" t="inlineStr">
        <is>
          <t>7A8</t>
        </is>
      </c>
      <c r="B53" s="30" t="inlineStr">
        <is>
          <t>S</t>
        </is>
      </c>
      <c r="C53" s="30" t="n">
        <v>4</v>
      </c>
      <c r="D53" s="35" t="n"/>
      <c r="E53" s="35" t="n"/>
      <c r="F53" s="35" t="n"/>
      <c r="G53" s="35" t="n"/>
      <c r="H53" s="35" t="n"/>
      <c r="I53" s="35" t="n"/>
      <c r="J53" s="35" t="n"/>
    </row>
    <row r="54" ht="24.75" customHeight="1">
      <c r="A54" s="30" t="inlineStr">
        <is>
          <t>7A8</t>
        </is>
      </c>
      <c r="B54" s="30" t="inlineStr">
        <is>
          <t>S</t>
        </is>
      </c>
      <c r="C54" s="30" t="n">
        <v>5</v>
      </c>
      <c r="D54" s="35" t="n"/>
      <c r="E54" s="35" t="n"/>
      <c r="F54" s="35" t="n"/>
      <c r="G54" s="35" t="n"/>
      <c r="H54" s="35" t="n"/>
      <c r="I54" s="35" t="n"/>
      <c r="J54" s="35" t="n"/>
    </row>
    <row r="55" ht="15" customHeight="1">
      <c r="A55" s="30" t="inlineStr">
        <is>
          <t>7A8</t>
        </is>
      </c>
      <c r="B55" s="30" t="inlineStr">
        <is>
          <t>C</t>
        </is>
      </c>
      <c r="C55" s="30" t="n">
        <v>1</v>
      </c>
      <c r="D55" s="35" t="n"/>
      <c r="E55" s="35" t="n"/>
      <c r="F55" s="35" t="n"/>
      <c r="G55" s="35" t="n"/>
      <c r="H55" s="35" t="n"/>
      <c r="I55" s="35" t="n"/>
      <c r="J55" s="35" t="n"/>
    </row>
    <row r="56" ht="24.75" customHeight="1">
      <c r="A56" s="30" t="inlineStr">
        <is>
          <t>7A8</t>
        </is>
      </c>
      <c r="B56" s="30" t="inlineStr">
        <is>
          <t>C</t>
        </is>
      </c>
      <c r="C56" s="30" t="n">
        <v>2</v>
      </c>
      <c r="D56" s="35" t="n"/>
      <c r="E56" s="35" t="n"/>
      <c r="F56" s="35" t="n"/>
      <c r="G56" s="35" t="n"/>
      <c r="H56" s="35" t="n"/>
      <c r="I56" s="35" t="n"/>
      <c r="J56" s="35" t="n"/>
    </row>
    <row r="57" ht="15" customHeight="1">
      <c r="A57" s="30" t="inlineStr">
        <is>
          <t>7A8</t>
        </is>
      </c>
      <c r="B57" s="30" t="inlineStr">
        <is>
          <t>C</t>
        </is>
      </c>
      <c r="C57" s="30" t="n">
        <v>3</v>
      </c>
      <c r="D57" s="35" t="n"/>
      <c r="E57" s="35" t="n"/>
      <c r="F57" s="35" t="n"/>
      <c r="G57" s="35" t="n"/>
      <c r="H57" s="35" t="n"/>
      <c r="I57" s="35" t="n"/>
      <c r="J57" s="35" t="n"/>
    </row>
    <row r="58" ht="24.75" customHeight="1">
      <c r="A58" s="36" t="inlineStr">
        <is>
          <t>7A9</t>
        </is>
      </c>
      <c r="B58" s="36" t="inlineStr">
        <is>
          <t>S</t>
        </is>
      </c>
      <c r="C58" s="36" t="n">
        <v>1</v>
      </c>
      <c r="D58" s="37" t="n"/>
      <c r="E58" s="37" t="n"/>
      <c r="F58" s="37" t="n"/>
      <c r="G58" s="37" t="n"/>
      <c r="H58" s="37" t="n"/>
      <c r="I58" s="37" t="n"/>
      <c r="J58" s="37" t="n"/>
    </row>
    <row r="59" ht="24.75" customHeight="1">
      <c r="A59" s="36" t="inlineStr">
        <is>
          <t>7A9</t>
        </is>
      </c>
      <c r="B59" s="36" t="inlineStr">
        <is>
          <t>S</t>
        </is>
      </c>
      <c r="C59" s="36" t="n">
        <v>2</v>
      </c>
      <c r="D59" s="37" t="n"/>
      <c r="E59" s="37" t="n"/>
      <c r="F59" s="37" t="n"/>
      <c r="G59" s="37" t="n"/>
      <c r="H59" s="37" t="n"/>
      <c r="I59" s="37" t="n"/>
      <c r="J59" s="37" t="n"/>
    </row>
    <row r="60" ht="15" customHeight="1">
      <c r="A60" s="36" t="inlineStr">
        <is>
          <t>7A9</t>
        </is>
      </c>
      <c r="B60" s="36" t="inlineStr">
        <is>
          <t>S</t>
        </is>
      </c>
      <c r="C60" s="36" t="n">
        <v>3</v>
      </c>
      <c r="D60" s="37" t="n"/>
      <c r="E60" s="37" t="n"/>
      <c r="F60" s="37" t="n"/>
      <c r="G60" s="37" t="n"/>
      <c r="H60" s="37" t="n"/>
      <c r="I60" s="37" t="n"/>
      <c r="J60" s="37" t="n"/>
    </row>
    <row r="61" ht="15" customHeight="1">
      <c r="A61" s="36" t="inlineStr">
        <is>
          <t>7A9</t>
        </is>
      </c>
      <c r="B61" s="36" t="inlineStr">
        <is>
          <t>S</t>
        </is>
      </c>
      <c r="C61" s="36" t="n">
        <v>4</v>
      </c>
      <c r="D61" s="37" t="n"/>
      <c r="E61" s="37" t="n"/>
      <c r="F61" s="37" t="n"/>
      <c r="G61" s="37" t="n"/>
      <c r="H61" s="37" t="n"/>
      <c r="I61" s="37" t="n"/>
      <c r="J61" s="37" t="n"/>
    </row>
    <row r="62" ht="24.75" customHeight="1">
      <c r="A62" s="36" t="inlineStr">
        <is>
          <t>7A9</t>
        </is>
      </c>
      <c r="B62" s="36" t="inlineStr">
        <is>
          <t>S</t>
        </is>
      </c>
      <c r="C62" s="36" t="n">
        <v>5</v>
      </c>
      <c r="D62" s="37" t="n"/>
      <c r="E62" s="37" t="n"/>
      <c r="F62" s="37" t="n"/>
      <c r="G62" s="37" t="n"/>
      <c r="H62" s="37" t="n"/>
      <c r="I62" s="37" t="n"/>
      <c r="J62" s="37" t="n"/>
    </row>
    <row r="63" ht="24.75" customHeight="1">
      <c r="A63" s="36" t="inlineStr">
        <is>
          <t>7A9</t>
        </is>
      </c>
      <c r="B63" s="36" t="inlineStr">
        <is>
          <t>C</t>
        </is>
      </c>
      <c r="C63" s="36" t="n">
        <v>1</v>
      </c>
      <c r="D63" s="37" t="n"/>
      <c r="E63" s="37" t="n"/>
      <c r="F63" s="37" t="n"/>
      <c r="G63" s="37" t="n"/>
      <c r="H63" s="37" t="n"/>
      <c r="I63" s="37" t="n"/>
      <c r="J63" s="37" t="n"/>
    </row>
    <row r="64" ht="24.75" customHeight="1">
      <c r="A64" s="36" t="inlineStr">
        <is>
          <t>7A9</t>
        </is>
      </c>
      <c r="B64" s="36" t="inlineStr">
        <is>
          <t>C</t>
        </is>
      </c>
      <c r="C64" s="36" t="n">
        <v>2</v>
      </c>
      <c r="D64" s="37" t="n"/>
      <c r="E64" s="37" t="n"/>
      <c r="F64" s="37" t="n"/>
      <c r="G64" s="37" t="n"/>
      <c r="H64" s="37" t="n"/>
      <c r="I64" s="37" t="n"/>
      <c r="J64" s="37" t="n"/>
    </row>
    <row r="65" ht="15" customHeight="1">
      <c r="A65" s="36" t="inlineStr">
        <is>
          <t>7A9</t>
        </is>
      </c>
      <c r="B65" s="36" t="inlineStr">
        <is>
          <t>C</t>
        </is>
      </c>
      <c r="C65" s="36" t="n">
        <v>3</v>
      </c>
      <c r="D65" s="37" t="n"/>
      <c r="E65" s="37" t="n"/>
      <c r="F65" s="37" t="n"/>
      <c r="G65" s="37" t="n"/>
      <c r="H65" s="37" t="n"/>
      <c r="I65" s="37" t="n"/>
      <c r="J65" s="37" t="n"/>
    </row>
    <row r="66" ht="24.75" customHeight="1">
      <c r="A66" s="30" t="inlineStr">
        <is>
          <t>7A10</t>
        </is>
      </c>
      <c r="B66" s="30" t="inlineStr">
        <is>
          <t>S</t>
        </is>
      </c>
      <c r="C66" s="30" t="n">
        <v>1</v>
      </c>
      <c r="D66" s="35" t="n"/>
      <c r="E66" s="35" t="n"/>
      <c r="F66" s="35" t="n"/>
      <c r="G66" s="35" t="n"/>
      <c r="H66" s="35" t="n"/>
      <c r="I66" s="35" t="n"/>
      <c r="J66" s="35" t="n"/>
    </row>
    <row r="67" ht="24.75" customHeight="1">
      <c r="A67" s="30" t="inlineStr">
        <is>
          <t>7A10</t>
        </is>
      </c>
      <c r="B67" s="30" t="inlineStr">
        <is>
          <t>S</t>
        </is>
      </c>
      <c r="C67" s="30" t="n">
        <v>2</v>
      </c>
      <c r="D67" s="35" t="n"/>
      <c r="E67" s="35" t="n"/>
      <c r="F67" s="35" t="n"/>
      <c r="G67" s="35" t="n"/>
      <c r="H67" s="35" t="n"/>
      <c r="I67" s="35" t="n"/>
      <c r="J67" s="35" t="n"/>
    </row>
    <row r="68" ht="15" customHeight="1">
      <c r="A68" s="30" t="inlineStr">
        <is>
          <t>7A10</t>
        </is>
      </c>
      <c r="B68" s="30" t="inlineStr">
        <is>
          <t>S</t>
        </is>
      </c>
      <c r="C68" s="30" t="n">
        <v>3</v>
      </c>
      <c r="D68" s="35" t="n"/>
      <c r="E68" s="35" t="n"/>
      <c r="F68" s="35" t="n"/>
      <c r="G68" s="35" t="n"/>
      <c r="H68" s="35" t="n"/>
      <c r="I68" s="35" t="n"/>
      <c r="J68" s="35" t="n"/>
    </row>
    <row r="69" ht="15" customHeight="1">
      <c r="A69" s="30" t="inlineStr">
        <is>
          <t>7A10</t>
        </is>
      </c>
      <c r="B69" s="30" t="inlineStr">
        <is>
          <t>S</t>
        </is>
      </c>
      <c r="C69" s="30" t="n">
        <v>4</v>
      </c>
      <c r="D69" s="35" t="n"/>
      <c r="E69" s="35" t="n"/>
      <c r="F69" s="35" t="n"/>
      <c r="G69" s="35" t="n"/>
      <c r="H69" s="35" t="n"/>
      <c r="I69" s="35" t="n"/>
      <c r="J69" s="35" t="n"/>
    </row>
    <row r="70" ht="24.75" customHeight="1">
      <c r="A70" s="30" t="inlineStr">
        <is>
          <t>7A10</t>
        </is>
      </c>
      <c r="B70" s="30" t="inlineStr">
        <is>
          <t>S</t>
        </is>
      </c>
      <c r="C70" s="30" t="n">
        <v>5</v>
      </c>
      <c r="D70" s="35" t="n"/>
      <c r="E70" s="35" t="n"/>
      <c r="F70" s="35" t="n"/>
      <c r="G70" s="35" t="n"/>
      <c r="H70" s="35" t="n"/>
      <c r="I70" s="35" t="n"/>
      <c r="J70" s="35" t="n"/>
    </row>
    <row r="71" ht="24.75" customHeight="1">
      <c r="A71" s="30" t="inlineStr">
        <is>
          <t>7A10</t>
        </is>
      </c>
      <c r="B71" s="30" t="inlineStr">
        <is>
          <t>C</t>
        </is>
      </c>
      <c r="C71" s="30" t="n">
        <v>1</v>
      </c>
      <c r="D71" s="35" t="n"/>
      <c r="E71" s="35" t="n"/>
      <c r="F71" s="35" t="n"/>
      <c r="G71" s="35" t="n"/>
      <c r="H71" s="35" t="n"/>
      <c r="I71" s="35" t="n"/>
      <c r="J71" s="35" t="n"/>
    </row>
    <row r="72" ht="15" customHeight="1">
      <c r="A72" s="30" t="inlineStr">
        <is>
          <t>7A10</t>
        </is>
      </c>
      <c r="B72" s="30" t="inlineStr">
        <is>
          <t>C</t>
        </is>
      </c>
      <c r="C72" s="30" t="n">
        <v>2</v>
      </c>
      <c r="D72" s="35" t="n"/>
      <c r="E72" s="35" t="n"/>
      <c r="F72" s="35" t="n"/>
      <c r="G72" s="35" t="n"/>
      <c r="H72" s="35" t="n"/>
      <c r="I72" s="35" t="n"/>
      <c r="J72" s="35" t="n"/>
    </row>
    <row r="73" ht="24.75" customHeight="1">
      <c r="A73" s="30" t="inlineStr">
        <is>
          <t>7A10</t>
        </is>
      </c>
      <c r="B73" s="30" t="inlineStr">
        <is>
          <t>C</t>
        </is>
      </c>
      <c r="C73" s="30" t="n">
        <v>3</v>
      </c>
      <c r="D73" s="35" t="n"/>
      <c r="E73" s="35" t="n"/>
      <c r="F73" s="35" t="n"/>
      <c r="G73" s="35" t="n"/>
      <c r="H73" s="35" t="n"/>
      <c r="I73" s="35" t="n"/>
      <c r="J73" s="35" t="n"/>
    </row>
    <row r="74" ht="15" customHeight="1">
      <c r="A74" t="inlineStr">
        <is>
          <t>7A11</t>
        </is>
      </c>
      <c r="B74" t="inlineStr">
        <is>
          <t>S</t>
        </is>
      </c>
      <c r="C74" t="n">
        <v>1</v>
      </c>
    </row>
    <row r="75" ht="15" customHeight="1">
      <c r="A75" t="inlineStr">
        <is>
          <t>7A11</t>
        </is>
      </c>
      <c r="B75" t="inlineStr">
        <is>
          <t>S</t>
        </is>
      </c>
      <c r="C75" t="n">
        <v>2</v>
      </c>
    </row>
    <row r="76" ht="15" customHeight="1">
      <c r="A76" t="inlineStr">
        <is>
          <t>7A11</t>
        </is>
      </c>
      <c r="B76" t="inlineStr">
        <is>
          <t>S</t>
        </is>
      </c>
      <c r="C76" t="n">
        <v>3</v>
      </c>
    </row>
    <row r="77" ht="15" customHeight="1">
      <c r="A77" t="inlineStr">
        <is>
          <t>7A11</t>
        </is>
      </c>
      <c r="B77" t="inlineStr">
        <is>
          <t>S</t>
        </is>
      </c>
      <c r="C77" t="n">
        <v>4</v>
      </c>
    </row>
    <row r="78" ht="15" customHeight="1">
      <c r="A78" t="inlineStr">
        <is>
          <t>7A11</t>
        </is>
      </c>
      <c r="B78" t="inlineStr">
        <is>
          <t>S</t>
        </is>
      </c>
      <c r="C78" t="n">
        <v>5</v>
      </c>
    </row>
    <row r="79" ht="15" customHeight="1">
      <c r="A79" t="inlineStr">
        <is>
          <t>7A11</t>
        </is>
      </c>
      <c r="B79" t="inlineStr">
        <is>
          <t>C</t>
        </is>
      </c>
      <c r="C79" t="n">
        <v>1</v>
      </c>
    </row>
    <row r="80" ht="15" customHeight="1">
      <c r="A80" t="inlineStr">
        <is>
          <t>7A11</t>
        </is>
      </c>
      <c r="B80" t="inlineStr">
        <is>
          <t>C</t>
        </is>
      </c>
      <c r="C80" t="n">
        <v>2</v>
      </c>
    </row>
    <row r="81" ht="15" customHeight="1">
      <c r="A81" t="inlineStr">
        <is>
          <t>7A11</t>
        </is>
      </c>
      <c r="B81" t="inlineStr">
        <is>
          <t>C</t>
        </is>
      </c>
      <c r="C81" t="n">
        <v>3</v>
      </c>
    </row>
    <row r="82" ht="15" customHeight="1">
      <c r="A82" t="inlineStr">
        <is>
          <t>8A7</t>
        </is>
      </c>
      <c r="B82" t="inlineStr">
        <is>
          <t>S</t>
        </is>
      </c>
      <c r="C82" t="n">
        <v>1</v>
      </c>
    </row>
    <row r="83" ht="15" customHeight="1">
      <c r="A83" t="inlineStr">
        <is>
          <t>8A7</t>
        </is>
      </c>
      <c r="B83" t="inlineStr">
        <is>
          <t>S</t>
        </is>
      </c>
      <c r="C83" t="n">
        <v>2</v>
      </c>
    </row>
    <row r="84" ht="15" customHeight="1">
      <c r="A84" t="inlineStr">
        <is>
          <t>8A7</t>
        </is>
      </c>
      <c r="B84" t="inlineStr">
        <is>
          <t>S</t>
        </is>
      </c>
      <c r="C84" t="n">
        <v>3</v>
      </c>
    </row>
    <row r="85" ht="15" customHeight="1">
      <c r="A85" t="inlineStr">
        <is>
          <t>8A7</t>
        </is>
      </c>
      <c r="B85" t="inlineStr">
        <is>
          <t>S</t>
        </is>
      </c>
      <c r="C85" t="n">
        <v>4</v>
      </c>
    </row>
    <row r="86" ht="15" customHeight="1">
      <c r="A86" t="inlineStr">
        <is>
          <t>8A7</t>
        </is>
      </c>
      <c r="B86" t="inlineStr">
        <is>
          <t>S</t>
        </is>
      </c>
      <c r="C86" t="n">
        <v>5</v>
      </c>
    </row>
    <row r="87" ht="15" customHeight="1">
      <c r="A87" t="inlineStr">
        <is>
          <t>8A7</t>
        </is>
      </c>
      <c r="B87" t="inlineStr">
        <is>
          <t>C</t>
        </is>
      </c>
      <c r="C87" t="n">
        <v>1</v>
      </c>
    </row>
    <row r="88" ht="15" customHeight="1">
      <c r="A88" t="inlineStr">
        <is>
          <t>8A7</t>
        </is>
      </c>
      <c r="B88" t="inlineStr">
        <is>
          <t>C</t>
        </is>
      </c>
      <c r="C88" t="n">
        <v>2</v>
      </c>
    </row>
    <row r="89" ht="15" customHeight="1">
      <c r="A89" t="inlineStr">
        <is>
          <t>8A7</t>
        </is>
      </c>
      <c r="B89" t="inlineStr">
        <is>
          <t>C</t>
        </is>
      </c>
      <c r="C89" t="n">
        <v>3</v>
      </c>
    </row>
    <row r="90" ht="15" customHeight="1">
      <c r="A90" t="inlineStr">
        <is>
          <t>8A8</t>
        </is>
      </c>
      <c r="B90" t="inlineStr">
        <is>
          <t>S</t>
        </is>
      </c>
      <c r="C90" t="n">
        <v>1</v>
      </c>
    </row>
    <row r="91">
      <c r="A91" t="inlineStr">
        <is>
          <t>8A8</t>
        </is>
      </c>
      <c r="B91" t="inlineStr">
        <is>
          <t>S</t>
        </is>
      </c>
      <c r="C91" t="n">
        <v>2</v>
      </c>
    </row>
    <row r="92">
      <c r="A92" t="inlineStr">
        <is>
          <t>8A8</t>
        </is>
      </c>
      <c r="B92" t="inlineStr">
        <is>
          <t>S</t>
        </is>
      </c>
      <c r="C92" t="n">
        <v>3</v>
      </c>
    </row>
    <row r="93">
      <c r="A93" t="inlineStr">
        <is>
          <t>8A8</t>
        </is>
      </c>
      <c r="B93" t="inlineStr">
        <is>
          <t>S</t>
        </is>
      </c>
      <c r="C93" t="n">
        <v>4</v>
      </c>
    </row>
    <row r="94">
      <c r="A94" t="inlineStr">
        <is>
          <t>8A8</t>
        </is>
      </c>
      <c r="B94" t="inlineStr">
        <is>
          <t>S</t>
        </is>
      </c>
      <c r="C94" t="n">
        <v>5</v>
      </c>
    </row>
    <row r="95">
      <c r="A95" t="inlineStr">
        <is>
          <t>8A8</t>
        </is>
      </c>
      <c r="B95" t="inlineStr">
        <is>
          <t>C</t>
        </is>
      </c>
      <c r="C95" t="n">
        <v>1</v>
      </c>
    </row>
    <row r="96">
      <c r="A96" t="inlineStr">
        <is>
          <t>8A8</t>
        </is>
      </c>
      <c r="B96" t="inlineStr">
        <is>
          <t>C</t>
        </is>
      </c>
      <c r="C96" t="n">
        <v>2</v>
      </c>
    </row>
    <row r="97">
      <c r="A97" t="inlineStr">
        <is>
          <t>8A8</t>
        </is>
      </c>
      <c r="B97" t="inlineStr">
        <is>
          <t>C</t>
        </is>
      </c>
      <c r="C97" t="n">
        <v>3</v>
      </c>
    </row>
    <row r="98">
      <c r="A98" t="inlineStr">
        <is>
          <t>8A9</t>
        </is>
      </c>
      <c r="B98" t="inlineStr">
        <is>
          <t>S</t>
        </is>
      </c>
      <c r="C98" t="n">
        <v>1</v>
      </c>
    </row>
    <row r="99">
      <c r="A99" t="inlineStr">
        <is>
          <t>8A9</t>
        </is>
      </c>
      <c r="B99" t="inlineStr">
        <is>
          <t>S</t>
        </is>
      </c>
      <c r="C99" t="n">
        <v>2</v>
      </c>
    </row>
    <row r="100">
      <c r="A100" t="inlineStr">
        <is>
          <t>8A9</t>
        </is>
      </c>
      <c r="B100" t="inlineStr">
        <is>
          <t>S</t>
        </is>
      </c>
      <c r="C100" t="n">
        <v>3</v>
      </c>
    </row>
    <row r="101">
      <c r="A101" t="inlineStr">
        <is>
          <t>8A9</t>
        </is>
      </c>
      <c r="B101" t="inlineStr">
        <is>
          <t>S</t>
        </is>
      </c>
      <c r="C101" t="n">
        <v>4</v>
      </c>
    </row>
    <row r="102">
      <c r="A102" t="inlineStr">
        <is>
          <t>8A9</t>
        </is>
      </c>
      <c r="B102" t="inlineStr">
        <is>
          <t>S</t>
        </is>
      </c>
      <c r="C102" t="n">
        <v>5</v>
      </c>
    </row>
    <row r="103">
      <c r="A103" t="inlineStr">
        <is>
          <t>8A9</t>
        </is>
      </c>
      <c r="B103" t="inlineStr">
        <is>
          <t>C</t>
        </is>
      </c>
      <c r="C103" t="n">
        <v>1</v>
      </c>
    </row>
    <row r="104">
      <c r="A104" t="inlineStr">
        <is>
          <t>8A9</t>
        </is>
      </c>
      <c r="B104" t="inlineStr">
        <is>
          <t>C</t>
        </is>
      </c>
      <c r="C104" t="n">
        <v>2</v>
      </c>
    </row>
    <row r="105">
      <c r="A105" t="inlineStr">
        <is>
          <t>8A9</t>
        </is>
      </c>
      <c r="B105" t="inlineStr">
        <is>
          <t>C</t>
        </is>
      </c>
      <c r="C105" t="n">
        <v>3</v>
      </c>
    </row>
    <row r="106">
      <c r="A106" t="inlineStr">
        <is>
          <t>8A10</t>
        </is>
      </c>
      <c r="B106" t="inlineStr">
        <is>
          <t>S</t>
        </is>
      </c>
      <c r="C106" t="n">
        <v>1</v>
      </c>
    </row>
    <row r="107">
      <c r="A107" t="inlineStr">
        <is>
          <t>8A10</t>
        </is>
      </c>
      <c r="B107" t="inlineStr">
        <is>
          <t>S</t>
        </is>
      </c>
      <c r="C107" t="n">
        <v>2</v>
      </c>
    </row>
    <row r="108">
      <c r="A108" t="inlineStr">
        <is>
          <t>8A10</t>
        </is>
      </c>
      <c r="B108" t="inlineStr">
        <is>
          <t>S</t>
        </is>
      </c>
      <c r="C108" t="n">
        <v>3</v>
      </c>
    </row>
    <row r="109">
      <c r="A109" t="inlineStr">
        <is>
          <t>8A10</t>
        </is>
      </c>
      <c r="B109" t="inlineStr">
        <is>
          <t>S</t>
        </is>
      </c>
      <c r="C109" t="n">
        <v>4</v>
      </c>
    </row>
    <row r="110">
      <c r="A110" t="inlineStr">
        <is>
          <t>8A10</t>
        </is>
      </c>
      <c r="B110" t="inlineStr">
        <is>
          <t>S</t>
        </is>
      </c>
      <c r="C110" t="n">
        <v>5</v>
      </c>
    </row>
    <row r="111">
      <c r="A111" t="inlineStr">
        <is>
          <t>8A10</t>
        </is>
      </c>
      <c r="B111" t="inlineStr">
        <is>
          <t>C</t>
        </is>
      </c>
      <c r="C111" t="n">
        <v>1</v>
      </c>
    </row>
    <row r="112">
      <c r="A112" t="inlineStr">
        <is>
          <t>8A10</t>
        </is>
      </c>
      <c r="B112" t="inlineStr">
        <is>
          <t>C</t>
        </is>
      </c>
      <c r="C112" t="n">
        <v>2</v>
      </c>
    </row>
    <row r="113">
      <c r="A113" t="inlineStr">
        <is>
          <t>8A10</t>
        </is>
      </c>
      <c r="B113" t="inlineStr">
        <is>
          <t>C</t>
        </is>
      </c>
      <c r="C113" t="n">
        <v>3</v>
      </c>
    </row>
    <row r="114">
      <c r="A114" t="inlineStr">
        <is>
          <t>8A11</t>
        </is>
      </c>
      <c r="B114" t="inlineStr">
        <is>
          <t>S</t>
        </is>
      </c>
      <c r="C114" t="n">
        <v>1</v>
      </c>
    </row>
    <row r="115">
      <c r="A115" t="inlineStr">
        <is>
          <t>8A11</t>
        </is>
      </c>
      <c r="B115" t="inlineStr">
        <is>
          <t>S</t>
        </is>
      </c>
      <c r="C115" t="n">
        <v>2</v>
      </c>
    </row>
    <row r="116">
      <c r="A116" t="inlineStr">
        <is>
          <t>8A11</t>
        </is>
      </c>
      <c r="B116" t="inlineStr">
        <is>
          <t>S</t>
        </is>
      </c>
      <c r="C116" t="n">
        <v>3</v>
      </c>
    </row>
    <row r="117">
      <c r="A117" t="inlineStr">
        <is>
          <t>8A11</t>
        </is>
      </c>
      <c r="B117" t="inlineStr">
        <is>
          <t>S</t>
        </is>
      </c>
      <c r="C117" t="n">
        <v>4</v>
      </c>
    </row>
    <row r="118">
      <c r="A118" t="inlineStr">
        <is>
          <t>8A11</t>
        </is>
      </c>
      <c r="B118" t="inlineStr">
        <is>
          <t>S</t>
        </is>
      </c>
      <c r="C118" t="n">
        <v>5</v>
      </c>
    </row>
    <row r="119">
      <c r="A119" t="inlineStr">
        <is>
          <t>8A11</t>
        </is>
      </c>
      <c r="B119" t="inlineStr">
        <is>
          <t>C</t>
        </is>
      </c>
      <c r="C119" t="n">
        <v>1</v>
      </c>
    </row>
    <row r="120">
      <c r="A120" t="inlineStr">
        <is>
          <t>8A11</t>
        </is>
      </c>
      <c r="B120" t="inlineStr">
        <is>
          <t>C</t>
        </is>
      </c>
      <c r="C120" t="n">
        <v>2</v>
      </c>
    </row>
    <row r="121">
      <c r="A121" t="inlineStr">
        <is>
          <t>8A11</t>
        </is>
      </c>
      <c r="B121" t="inlineStr">
        <is>
          <t>C</t>
        </is>
      </c>
      <c r="C121" t="n">
        <v>3</v>
      </c>
    </row>
    <row r="122">
      <c r="A122" t="inlineStr">
        <is>
          <t>9A8</t>
        </is>
      </c>
      <c r="B122" t="inlineStr">
        <is>
          <t>S</t>
        </is>
      </c>
      <c r="C122" t="n">
        <v>1</v>
      </c>
    </row>
    <row r="123">
      <c r="A123" t="inlineStr">
        <is>
          <t>9A8</t>
        </is>
      </c>
      <c r="B123" t="inlineStr">
        <is>
          <t>S</t>
        </is>
      </c>
      <c r="C123" t="n">
        <v>2</v>
      </c>
    </row>
    <row r="124">
      <c r="A124" t="inlineStr">
        <is>
          <t>9A8</t>
        </is>
      </c>
      <c r="B124" t="inlineStr">
        <is>
          <t>S</t>
        </is>
      </c>
      <c r="C124" t="n">
        <v>3</v>
      </c>
    </row>
    <row r="125">
      <c r="A125" t="inlineStr">
        <is>
          <t>9A8</t>
        </is>
      </c>
      <c r="B125" t="inlineStr">
        <is>
          <t>S</t>
        </is>
      </c>
      <c r="C125" t="n">
        <v>4</v>
      </c>
    </row>
    <row r="126">
      <c r="A126" t="inlineStr">
        <is>
          <t>9A8</t>
        </is>
      </c>
      <c r="B126" t="inlineStr">
        <is>
          <t>S</t>
        </is>
      </c>
      <c r="C126" t="n">
        <v>5</v>
      </c>
    </row>
    <row r="127">
      <c r="A127" t="inlineStr">
        <is>
          <t>9A8</t>
        </is>
      </c>
      <c r="B127" t="inlineStr">
        <is>
          <t>C</t>
        </is>
      </c>
      <c r="C127" t="n">
        <v>1</v>
      </c>
    </row>
    <row r="128">
      <c r="A128" t="inlineStr">
        <is>
          <t>9A8</t>
        </is>
      </c>
      <c r="B128" t="inlineStr">
        <is>
          <t>C</t>
        </is>
      </c>
      <c r="C128" t="n">
        <v>2</v>
      </c>
    </row>
    <row r="129">
      <c r="A129" t="inlineStr">
        <is>
          <t>9A8</t>
        </is>
      </c>
      <c r="B129" t="inlineStr">
        <is>
          <t>C</t>
        </is>
      </c>
      <c r="C129" t="n">
        <v>3</v>
      </c>
    </row>
    <row r="130">
      <c r="A130" t="inlineStr">
        <is>
          <t>9A9</t>
        </is>
      </c>
      <c r="B130" t="inlineStr">
        <is>
          <t>S</t>
        </is>
      </c>
      <c r="C130" t="n">
        <v>1</v>
      </c>
    </row>
    <row r="131">
      <c r="A131" t="inlineStr">
        <is>
          <t>9A9</t>
        </is>
      </c>
      <c r="B131" t="inlineStr">
        <is>
          <t>S</t>
        </is>
      </c>
      <c r="C131" t="n">
        <v>2</v>
      </c>
    </row>
    <row r="132">
      <c r="A132" t="inlineStr">
        <is>
          <t>9A9</t>
        </is>
      </c>
      <c r="B132" t="inlineStr">
        <is>
          <t>S</t>
        </is>
      </c>
      <c r="C132" t="n">
        <v>3</v>
      </c>
    </row>
    <row r="133">
      <c r="A133" t="inlineStr">
        <is>
          <t>9A9</t>
        </is>
      </c>
      <c r="B133" t="inlineStr">
        <is>
          <t>S</t>
        </is>
      </c>
      <c r="C133" t="n">
        <v>4</v>
      </c>
    </row>
    <row r="134">
      <c r="A134" t="inlineStr">
        <is>
          <t>9A9</t>
        </is>
      </c>
      <c r="B134" t="inlineStr">
        <is>
          <t>S</t>
        </is>
      </c>
      <c r="C134" t="n">
        <v>5</v>
      </c>
    </row>
    <row r="135">
      <c r="A135" t="inlineStr">
        <is>
          <t>9A9</t>
        </is>
      </c>
      <c r="B135" t="inlineStr">
        <is>
          <t>C</t>
        </is>
      </c>
      <c r="C135" t="n">
        <v>1</v>
      </c>
    </row>
    <row r="136">
      <c r="A136" t="inlineStr">
        <is>
          <t>9A9</t>
        </is>
      </c>
      <c r="B136" t="inlineStr">
        <is>
          <t>C</t>
        </is>
      </c>
      <c r="C136" t="n">
        <v>2</v>
      </c>
    </row>
    <row r="137">
      <c r="A137" t="inlineStr">
        <is>
          <t>9A9</t>
        </is>
      </c>
      <c r="B137" t="inlineStr">
        <is>
          <t>C</t>
        </is>
      </c>
      <c r="C137" t="n">
        <v>3</v>
      </c>
    </row>
    <row r="138">
      <c r="A138" t="inlineStr">
        <is>
          <t>9A10</t>
        </is>
      </c>
      <c r="B138" t="inlineStr">
        <is>
          <t>S</t>
        </is>
      </c>
      <c r="C138" t="n">
        <v>1</v>
      </c>
    </row>
    <row r="139">
      <c r="A139" t="inlineStr">
        <is>
          <t>9A10</t>
        </is>
      </c>
      <c r="B139" t="inlineStr">
        <is>
          <t>S</t>
        </is>
      </c>
      <c r="C139" t="n">
        <v>2</v>
      </c>
    </row>
    <row r="140">
      <c r="A140" t="inlineStr">
        <is>
          <t>9A10</t>
        </is>
      </c>
      <c r="B140" t="inlineStr">
        <is>
          <t>S</t>
        </is>
      </c>
      <c r="C140" t="n">
        <v>3</v>
      </c>
    </row>
    <row r="141">
      <c r="A141" t="inlineStr">
        <is>
          <t>9A10</t>
        </is>
      </c>
      <c r="B141" t="inlineStr">
        <is>
          <t>S</t>
        </is>
      </c>
      <c r="C141" t="n">
        <v>4</v>
      </c>
    </row>
    <row r="142">
      <c r="A142" t="inlineStr">
        <is>
          <t>9A10</t>
        </is>
      </c>
      <c r="B142" t="inlineStr">
        <is>
          <t>S</t>
        </is>
      </c>
      <c r="C142" t="n">
        <v>5</v>
      </c>
    </row>
    <row r="143">
      <c r="A143" t="inlineStr">
        <is>
          <t>9A10</t>
        </is>
      </c>
      <c r="B143" t="inlineStr">
        <is>
          <t>C</t>
        </is>
      </c>
      <c r="C143" t="n">
        <v>1</v>
      </c>
    </row>
    <row r="144">
      <c r="A144" t="inlineStr">
        <is>
          <t>9A10</t>
        </is>
      </c>
      <c r="B144" t="inlineStr">
        <is>
          <t>C</t>
        </is>
      </c>
      <c r="C144" t="n">
        <v>2</v>
      </c>
    </row>
    <row r="145">
      <c r="A145" t="inlineStr">
        <is>
          <t>9A10</t>
        </is>
      </c>
      <c r="B145" t="inlineStr">
        <is>
          <t>C</t>
        </is>
      </c>
      <c r="C145" t="n">
        <v>3</v>
      </c>
    </row>
    <row r="146">
      <c r="A146" t="inlineStr">
        <is>
          <t>9A11</t>
        </is>
      </c>
      <c r="B146" t="inlineStr">
        <is>
          <t>S</t>
        </is>
      </c>
      <c r="C146" t="n">
        <v>1</v>
      </c>
    </row>
    <row r="147">
      <c r="A147" t="inlineStr">
        <is>
          <t>9A11</t>
        </is>
      </c>
      <c r="B147" t="inlineStr">
        <is>
          <t>S</t>
        </is>
      </c>
      <c r="C147" t="n">
        <v>2</v>
      </c>
    </row>
    <row r="148">
      <c r="A148" t="inlineStr">
        <is>
          <t>9A11</t>
        </is>
      </c>
      <c r="B148" t="inlineStr">
        <is>
          <t>S</t>
        </is>
      </c>
      <c r="C148" t="n">
        <v>3</v>
      </c>
    </row>
    <row r="149">
      <c r="A149" t="inlineStr">
        <is>
          <t>9A11</t>
        </is>
      </c>
      <c r="B149" t="inlineStr">
        <is>
          <t>S</t>
        </is>
      </c>
      <c r="C149" t="n">
        <v>4</v>
      </c>
    </row>
    <row r="150">
      <c r="A150" t="inlineStr">
        <is>
          <t>9A11</t>
        </is>
      </c>
      <c r="B150" t="inlineStr">
        <is>
          <t>S</t>
        </is>
      </c>
      <c r="C150" t="n">
        <v>5</v>
      </c>
    </row>
    <row r="151">
      <c r="A151" t="inlineStr">
        <is>
          <t>9A11</t>
        </is>
      </c>
      <c r="B151" t="inlineStr">
        <is>
          <t>C</t>
        </is>
      </c>
      <c r="C151" t="n">
        <v>1</v>
      </c>
    </row>
    <row r="152">
      <c r="A152" t="inlineStr">
        <is>
          <t>9A11</t>
        </is>
      </c>
      <c r="B152" t="inlineStr">
        <is>
          <t>C</t>
        </is>
      </c>
      <c r="C152" t="n">
        <v>2</v>
      </c>
    </row>
    <row r="153">
      <c r="A153" t="inlineStr">
        <is>
          <t>9A11</t>
        </is>
      </c>
      <c r="B153" t="inlineStr">
        <is>
          <t>C</t>
        </is>
      </c>
      <c r="C153" t="n">
        <v>3</v>
      </c>
    </row>
    <row r="154">
      <c r="A154" t="inlineStr">
        <is>
          <t>9A12</t>
        </is>
      </c>
      <c r="B154" t="inlineStr">
        <is>
          <t>S</t>
        </is>
      </c>
      <c r="C154" t="n">
        <v>1</v>
      </c>
    </row>
    <row r="155">
      <c r="A155" t="inlineStr">
        <is>
          <t>9A12</t>
        </is>
      </c>
      <c r="B155" t="inlineStr">
        <is>
          <t>S</t>
        </is>
      </c>
      <c r="C155" t="n">
        <v>2</v>
      </c>
    </row>
    <row r="156">
      <c r="A156" t="inlineStr">
        <is>
          <t>9A12</t>
        </is>
      </c>
      <c r="B156" t="inlineStr">
        <is>
          <t>S</t>
        </is>
      </c>
      <c r="C156" t="n">
        <v>3</v>
      </c>
    </row>
    <row r="157">
      <c r="A157" t="inlineStr">
        <is>
          <t>9A12</t>
        </is>
      </c>
      <c r="B157" t="inlineStr">
        <is>
          <t>S</t>
        </is>
      </c>
      <c r="C157" t="n">
        <v>4</v>
      </c>
    </row>
    <row r="158">
      <c r="A158" t="inlineStr">
        <is>
          <t>9A12</t>
        </is>
      </c>
      <c r="B158" t="inlineStr">
        <is>
          <t>S</t>
        </is>
      </c>
      <c r="C158" t="n">
        <v>5</v>
      </c>
    </row>
    <row r="159">
      <c r="A159" t="inlineStr">
        <is>
          <t>9A12</t>
        </is>
      </c>
      <c r="B159" t="inlineStr">
        <is>
          <t>C</t>
        </is>
      </c>
      <c r="C159" t="n">
        <v>1</v>
      </c>
    </row>
    <row r="160">
      <c r="A160" t="inlineStr">
        <is>
          <t>9A12</t>
        </is>
      </c>
      <c r="B160" t="inlineStr">
        <is>
          <t>C</t>
        </is>
      </c>
      <c r="C160" t="n">
        <v>2</v>
      </c>
    </row>
    <row r="161">
      <c r="A161" t="inlineStr">
        <is>
          <t>9A12</t>
        </is>
      </c>
      <c r="B161" t="inlineStr">
        <is>
          <t>C</t>
        </is>
      </c>
      <c r="C161" t="n">
        <v>3</v>
      </c>
    </row>
  </sheetData>
  <dataValidations count="1">
    <dataValidation sqref="D2:J73" showDropDown="0" showInputMessage="0" showErrorMessage="0" allowBlank="1" type="list">
      <formula1>DS_Mon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J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6" customWidth="1" min="1" max="1"/>
    <col width="16" customWidth="1" min="2" max="3"/>
    <col width="16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</cols>
  <sheetData>
    <row r="1" ht="24.7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27.75" customHeight="1">
      <c r="A2" s="30">
        <f>TKB_Nhap!A2</f>
        <v/>
      </c>
      <c r="B2" s="30">
        <f>TKB_Nhap!B2</f>
        <v/>
      </c>
      <c r="C2" s="30">
        <f>TKB_Nhap!C2</f>
        <v/>
      </c>
      <c r="D2" s="26">
        <f>IF(TKB_Nhap!D2="","",TKB_Nhap!D2&amp;CHAR(10)&amp;IF(T(INDEX(PhanCong!$B$3:$I$18,MATCH(TKB_Nhap!D2,PhanCong!$A$3:$A$18,0),MATCH($A2,PhanCong!$B$2:$I$2,0)))="","(chưa PC GV)","GV: "&amp;INDEX(PhanCong!$B$3:$I$18,MATCH(TKB_Nhap!D2,PhanCong!$A$3:$A$18,0),MATCH($A2,PhanCong!$B$2:$I$2,0))))</f>
        <v/>
      </c>
      <c r="E2" s="26">
        <f>IF(TKB_Nhap!E2="","",TKB_Nhap!E2&amp;CHAR(10)&amp;IF(T(INDEX(PhanCong!$B$3:$I$18,MATCH(TKB_Nhap!E2,PhanCong!$A$3:$A$18,0),MATCH($A2,PhanCong!$B$2:$I$2,0)))="","(chưa PC GV)","GV: "&amp;INDEX(PhanCong!$B$3:$I$18,MATCH(TKB_Nhap!E2,PhanCong!$A$3:$A$18,0),MATCH($A2,PhanCong!$B$2:$I$2,0))))</f>
        <v/>
      </c>
      <c r="F2" s="26">
        <f>IF(TKB_Nhap!F2="","",TKB_Nhap!F2&amp;CHAR(10)&amp;IF(T(INDEX(PhanCong!$B$3:$I$18,MATCH(TKB_Nhap!F2,PhanCong!$A$3:$A$18,0),MATCH($A2,PhanCong!$B$2:$I$2,0)))="","(chưa PC GV)","GV: "&amp;INDEX(PhanCong!$B$3:$I$18,MATCH(TKB_Nhap!F2,PhanCong!$A$3:$A$18,0),MATCH($A2,PhanCong!$B$2:$I$2,0))))</f>
        <v/>
      </c>
      <c r="G2" s="26">
        <f>IF(TKB_Nhap!G2="","",TKB_Nhap!G2&amp;CHAR(10)&amp;IF(T(INDEX(PhanCong!$B$3:$I$18,MATCH(TKB_Nhap!G2,PhanCong!$A$3:$A$18,0),MATCH($A2,PhanCong!$B$2:$I$2,0)))="","(chưa PC GV)","GV: "&amp;INDEX(PhanCong!$B$3:$I$18,MATCH(TKB_Nhap!G2,PhanCong!$A$3:$A$18,0),MATCH($A2,PhanCong!$B$2:$I$2,0))))</f>
        <v/>
      </c>
      <c r="H2" s="26">
        <f>IF(TKB_Nhap!H2="","",TKB_Nhap!H2&amp;CHAR(10)&amp;IF(T(INDEX(PhanCong!$B$3:$I$18,MATCH(TKB_Nhap!H2,PhanCong!$A$3:$A$18,0),MATCH($A2,PhanCong!$B$2:$I$2,0)))="","(chưa PC GV)","GV: "&amp;INDEX(PhanCong!$B$3:$I$18,MATCH(TKB_Nhap!H2,PhanCong!$A$3:$A$18,0),MATCH($A2,PhanCong!$B$2:$I$2,0))))</f>
        <v/>
      </c>
      <c r="I2" s="26">
        <f>IF(TKB_Nhap!I2="","",TKB_Nhap!I2&amp;CHAR(10)&amp;IF(T(INDEX(PhanCong!$B$3:$I$18,MATCH(TKB_Nhap!I2,PhanCong!$A$3:$A$18,0),MATCH($A2,PhanCong!$B$2:$I$2,0)))="","(chưa PC GV)","GV: "&amp;INDEX(PhanCong!$B$3:$I$18,MATCH(TKB_Nhap!I2,PhanCong!$A$3:$A$18,0),MATCH($A2,PhanCong!$B$2:$I$2,0))))</f>
        <v/>
      </c>
      <c r="J2" s="26" t="n"/>
    </row>
    <row r="3" ht="27.75" customHeight="1">
      <c r="A3" s="30">
        <f>TKB_Nhap!A3</f>
        <v/>
      </c>
      <c r="B3" s="30">
        <f>TKB_Nhap!B3</f>
        <v/>
      </c>
      <c r="C3" s="30">
        <f>TKB_Nhap!C3</f>
        <v/>
      </c>
      <c r="D3" s="26">
        <f>IF(TKB_Nhap!D3="","",TKB_Nhap!D3&amp;CHAR(10)&amp;IF(T(INDEX(PhanCong!$B$3:$I$18,MATCH(TKB_Nhap!D3,PhanCong!$A$3:$A$18,0),MATCH($A3,PhanCong!$B$2:$I$2,0)))="","(chưa PC GV)","GV: "&amp;INDEX(PhanCong!$B$3:$I$18,MATCH(TKB_Nhap!D3,PhanCong!$A$3:$A$18,0),MATCH($A3,PhanCong!$B$2:$I$2,0))))</f>
        <v/>
      </c>
      <c r="E3" s="26">
        <f>IF(TKB_Nhap!E3="","",TKB_Nhap!E3&amp;CHAR(10)&amp;IF(T(INDEX(PhanCong!$B$3:$I$18,MATCH(TKB_Nhap!E3,PhanCong!$A$3:$A$18,0),MATCH($A3,PhanCong!$B$2:$I$2,0)))="","(chưa PC GV)","GV: "&amp;INDEX(PhanCong!$B$3:$I$18,MATCH(TKB_Nhap!E3,PhanCong!$A$3:$A$18,0),MATCH($A3,PhanCong!$B$2:$I$2,0))))</f>
        <v/>
      </c>
      <c r="F3" s="26">
        <f>IF(TKB_Nhap!F3="","",TKB_Nhap!F3&amp;CHAR(10)&amp;IF(T(INDEX(PhanCong!$B$3:$I$18,MATCH(TKB_Nhap!F3,PhanCong!$A$3:$A$18,0),MATCH($A3,PhanCong!$B$2:$I$2,0)))="","(chưa PC GV)","GV: "&amp;INDEX(PhanCong!$B$3:$I$18,MATCH(TKB_Nhap!F3,PhanCong!$A$3:$A$18,0),MATCH($A3,PhanCong!$B$2:$I$2,0))))</f>
        <v/>
      </c>
      <c r="G3" s="26">
        <f>IF(TKB_Nhap!G3="","",TKB_Nhap!G3&amp;CHAR(10)&amp;IF(T(INDEX(PhanCong!$B$3:$I$18,MATCH(TKB_Nhap!G3,PhanCong!$A$3:$A$18,0),MATCH($A3,PhanCong!$B$2:$I$2,0)))="","(chưa PC GV)","GV: "&amp;INDEX(PhanCong!$B$3:$I$18,MATCH(TKB_Nhap!G3,PhanCong!$A$3:$A$18,0),MATCH($A3,PhanCong!$B$2:$I$2,0))))</f>
        <v/>
      </c>
      <c r="H3" s="26">
        <f>IF(TKB_Nhap!H3="","",TKB_Nhap!H3&amp;CHAR(10)&amp;IF(T(INDEX(PhanCong!$B$3:$I$18,MATCH(TKB_Nhap!H3,PhanCong!$A$3:$A$18,0),MATCH($A3,PhanCong!$B$2:$I$2,0)))="","(chưa PC GV)","GV: "&amp;INDEX(PhanCong!$B$3:$I$18,MATCH(TKB_Nhap!H3,PhanCong!$A$3:$A$18,0),MATCH($A3,PhanCong!$B$2:$I$2,0))))</f>
        <v/>
      </c>
      <c r="I3" s="26">
        <f>IF(TKB_Nhap!I3="","",TKB_Nhap!I3&amp;CHAR(10)&amp;IF(T(INDEX(PhanCong!$B$3:$I$18,MATCH(TKB_Nhap!I3,PhanCong!$A$3:$A$18,0),MATCH($A3,PhanCong!$B$2:$I$2,0)))="","(chưa PC GV)","GV: "&amp;INDEX(PhanCong!$B$3:$I$18,MATCH(TKB_Nhap!I3,PhanCong!$A$3:$A$18,0),MATCH($A3,PhanCong!$B$2:$I$2,0))))</f>
        <v/>
      </c>
      <c r="J3" s="26" t="n"/>
    </row>
    <row r="4" ht="27.75" customHeight="1">
      <c r="A4" s="30">
        <f>TKB_Nhap!A4</f>
        <v/>
      </c>
      <c r="B4" s="30">
        <f>TKB_Nhap!B4</f>
        <v/>
      </c>
      <c r="C4" s="30">
        <f>TKB_Nhap!C4</f>
        <v/>
      </c>
      <c r="D4" s="26">
        <f>IF(TKB_Nhap!D4="","",TKB_Nhap!D4&amp;CHAR(10)&amp;IF(T(INDEX(PhanCong!$B$3:$I$18,MATCH(TKB_Nhap!D4,PhanCong!$A$3:$A$18,0),MATCH($A4,PhanCong!$B$2:$I$2,0)))="","(chưa PC GV)","GV: "&amp;INDEX(PhanCong!$B$3:$I$18,MATCH(TKB_Nhap!D4,PhanCong!$A$3:$A$18,0),MATCH($A4,PhanCong!$B$2:$I$2,0))))</f>
        <v/>
      </c>
      <c r="E4" s="26">
        <f>IF(TKB_Nhap!E4="","",TKB_Nhap!E4&amp;CHAR(10)&amp;IF(T(INDEX(PhanCong!$B$3:$I$18,MATCH(TKB_Nhap!E4,PhanCong!$A$3:$A$18,0),MATCH($A4,PhanCong!$B$2:$I$2,0)))="","(chưa PC GV)","GV: "&amp;INDEX(PhanCong!$B$3:$I$18,MATCH(TKB_Nhap!E4,PhanCong!$A$3:$A$18,0),MATCH($A4,PhanCong!$B$2:$I$2,0))))</f>
        <v/>
      </c>
      <c r="F4" s="26">
        <f>IF(TKB_Nhap!F4="","",TKB_Nhap!F4&amp;CHAR(10)&amp;IF(T(INDEX(PhanCong!$B$3:$I$18,MATCH(TKB_Nhap!F4,PhanCong!$A$3:$A$18,0),MATCH($A4,PhanCong!$B$2:$I$2,0)))="","(chưa PC GV)","GV: "&amp;INDEX(PhanCong!$B$3:$I$18,MATCH(TKB_Nhap!F4,PhanCong!$A$3:$A$18,0),MATCH($A4,PhanCong!$B$2:$I$2,0))))</f>
        <v/>
      </c>
      <c r="G4" s="26">
        <f>IF(TKB_Nhap!G4="","",TKB_Nhap!G4&amp;CHAR(10)&amp;IF(T(INDEX(PhanCong!$B$3:$I$18,MATCH(TKB_Nhap!G4,PhanCong!$A$3:$A$18,0),MATCH($A4,PhanCong!$B$2:$I$2,0)))="","(chưa PC GV)","GV: "&amp;INDEX(PhanCong!$B$3:$I$18,MATCH(TKB_Nhap!G4,PhanCong!$A$3:$A$18,0),MATCH($A4,PhanCong!$B$2:$I$2,0))))</f>
        <v/>
      </c>
      <c r="H4" s="26">
        <f>IF(TKB_Nhap!H4="","",TKB_Nhap!H4&amp;CHAR(10)&amp;IF(T(INDEX(PhanCong!$B$3:$I$18,MATCH(TKB_Nhap!H4,PhanCong!$A$3:$A$18,0),MATCH($A4,PhanCong!$B$2:$I$2,0)))="","(chưa PC GV)","GV: "&amp;INDEX(PhanCong!$B$3:$I$18,MATCH(TKB_Nhap!H4,PhanCong!$A$3:$A$18,0),MATCH($A4,PhanCong!$B$2:$I$2,0))))</f>
        <v/>
      </c>
      <c r="I4" s="26">
        <f>IF(TKB_Nhap!I4="","",TKB_Nhap!I4&amp;CHAR(10)&amp;IF(T(INDEX(PhanCong!$B$3:$I$18,MATCH(TKB_Nhap!I4,PhanCong!$A$3:$A$18,0),MATCH($A4,PhanCong!$B$2:$I$2,0)))="","(chưa PC GV)","GV: "&amp;INDEX(PhanCong!$B$3:$I$18,MATCH(TKB_Nhap!I4,PhanCong!$A$3:$A$18,0),MATCH($A4,PhanCong!$B$2:$I$2,0))))</f>
        <v/>
      </c>
      <c r="J4" s="26" t="n"/>
    </row>
    <row r="5" ht="27.75" customHeight="1">
      <c r="A5" s="30">
        <f>TKB_Nhap!A5</f>
        <v/>
      </c>
      <c r="B5" s="30">
        <f>TKB_Nhap!B5</f>
        <v/>
      </c>
      <c r="C5" s="30">
        <f>TKB_Nhap!C5</f>
        <v/>
      </c>
      <c r="D5" s="26">
        <f>IF(TKB_Nhap!D5="","",TKB_Nhap!D5&amp;CHAR(10)&amp;IF(T(INDEX(PhanCong!$B$3:$I$18,MATCH(TKB_Nhap!D5,PhanCong!$A$3:$A$18,0),MATCH($A5,PhanCong!$B$2:$I$2,0)))="","(chưa PC GV)","GV: "&amp;INDEX(PhanCong!$B$3:$I$18,MATCH(TKB_Nhap!D5,PhanCong!$A$3:$A$18,0),MATCH($A5,PhanCong!$B$2:$I$2,0))))</f>
        <v/>
      </c>
      <c r="E5" s="26">
        <f>IF(TKB_Nhap!E5="","",TKB_Nhap!E5&amp;CHAR(10)&amp;IF(T(INDEX(PhanCong!$B$3:$I$18,MATCH(TKB_Nhap!E5,PhanCong!$A$3:$A$18,0),MATCH($A5,PhanCong!$B$2:$I$2,0)))="","(chưa PC GV)","GV: "&amp;INDEX(PhanCong!$B$3:$I$18,MATCH(TKB_Nhap!E5,PhanCong!$A$3:$A$18,0),MATCH($A5,PhanCong!$B$2:$I$2,0))))</f>
        <v/>
      </c>
      <c r="F5" s="26">
        <f>IF(TKB_Nhap!F5="","",TKB_Nhap!F5&amp;CHAR(10)&amp;IF(T(INDEX(PhanCong!$B$3:$I$18,MATCH(TKB_Nhap!F5,PhanCong!$A$3:$A$18,0),MATCH($A5,PhanCong!$B$2:$I$2,0)))="","(chưa PC GV)","GV: "&amp;INDEX(PhanCong!$B$3:$I$18,MATCH(TKB_Nhap!F5,PhanCong!$A$3:$A$18,0),MATCH($A5,PhanCong!$B$2:$I$2,0))))</f>
        <v/>
      </c>
      <c r="G5" s="26">
        <f>IF(TKB_Nhap!G5="","",TKB_Nhap!G5&amp;CHAR(10)&amp;IF(T(INDEX(PhanCong!$B$3:$I$18,MATCH(TKB_Nhap!G5,PhanCong!$A$3:$A$18,0),MATCH($A5,PhanCong!$B$2:$I$2,0)))="","(chưa PC GV)","GV: "&amp;INDEX(PhanCong!$B$3:$I$18,MATCH(TKB_Nhap!G5,PhanCong!$A$3:$A$18,0),MATCH($A5,PhanCong!$B$2:$I$2,0))))</f>
        <v/>
      </c>
      <c r="H5" s="26">
        <f>IF(TKB_Nhap!H5="","",TKB_Nhap!H5&amp;CHAR(10)&amp;IF(T(INDEX(PhanCong!$B$3:$I$18,MATCH(TKB_Nhap!H5,PhanCong!$A$3:$A$18,0),MATCH($A5,PhanCong!$B$2:$I$2,0)))="","(chưa PC GV)","GV: "&amp;INDEX(PhanCong!$B$3:$I$18,MATCH(TKB_Nhap!H5,PhanCong!$A$3:$A$18,0),MATCH($A5,PhanCong!$B$2:$I$2,0))))</f>
        <v/>
      </c>
      <c r="I5" s="26">
        <f>IF(TKB_Nhap!I5="","",TKB_Nhap!I5&amp;CHAR(10)&amp;IF(T(INDEX(PhanCong!$B$3:$I$18,MATCH(TKB_Nhap!I5,PhanCong!$A$3:$A$18,0),MATCH($A5,PhanCong!$B$2:$I$2,0)))="","(chưa PC GV)","GV: "&amp;INDEX(PhanCong!$B$3:$I$18,MATCH(TKB_Nhap!I5,PhanCong!$A$3:$A$18,0),MATCH($A5,PhanCong!$B$2:$I$2,0))))</f>
        <v/>
      </c>
      <c r="J5" s="26" t="n"/>
    </row>
    <row r="6" ht="27.75" customHeight="1">
      <c r="A6" s="30">
        <f>TKB_Nhap!A6</f>
        <v/>
      </c>
      <c r="B6" s="30">
        <f>TKB_Nhap!B6</f>
        <v/>
      </c>
      <c r="C6" s="30">
        <f>TKB_Nhap!C6</f>
        <v/>
      </c>
      <c r="D6" s="26">
        <f>IF(TKB_Nhap!D6="","",TKB_Nhap!D6&amp;CHAR(10)&amp;IF(T(INDEX(PhanCong!$B$3:$I$18,MATCH(TKB_Nhap!D6,PhanCong!$A$3:$A$18,0),MATCH($A6,PhanCong!$B$2:$I$2,0)))="","(chưa PC GV)","GV: "&amp;INDEX(PhanCong!$B$3:$I$18,MATCH(TKB_Nhap!D6,PhanCong!$A$3:$A$18,0),MATCH($A6,PhanCong!$B$2:$I$2,0))))</f>
        <v/>
      </c>
      <c r="E6" s="26">
        <f>IF(TKB_Nhap!E6="","",TKB_Nhap!E6&amp;CHAR(10)&amp;IF(T(INDEX(PhanCong!$B$3:$I$18,MATCH(TKB_Nhap!E6,PhanCong!$A$3:$A$18,0),MATCH($A6,PhanCong!$B$2:$I$2,0)))="","(chưa PC GV)","GV: "&amp;INDEX(PhanCong!$B$3:$I$18,MATCH(TKB_Nhap!E6,PhanCong!$A$3:$A$18,0),MATCH($A6,PhanCong!$B$2:$I$2,0))))</f>
        <v/>
      </c>
      <c r="F6" s="26">
        <f>IF(TKB_Nhap!F6="","",TKB_Nhap!F6&amp;CHAR(10)&amp;IF(T(INDEX(PhanCong!$B$3:$I$18,MATCH(TKB_Nhap!F6,PhanCong!$A$3:$A$18,0),MATCH($A6,PhanCong!$B$2:$I$2,0)))="","(chưa PC GV)","GV: "&amp;INDEX(PhanCong!$B$3:$I$18,MATCH(TKB_Nhap!F6,PhanCong!$A$3:$A$18,0),MATCH($A6,PhanCong!$B$2:$I$2,0))))</f>
        <v/>
      </c>
      <c r="G6" s="26">
        <f>IF(TKB_Nhap!G6="","",TKB_Nhap!G6&amp;CHAR(10)&amp;IF(T(INDEX(PhanCong!$B$3:$I$18,MATCH(TKB_Nhap!G6,PhanCong!$A$3:$A$18,0),MATCH($A6,PhanCong!$B$2:$I$2,0)))="","(chưa PC GV)","GV: "&amp;INDEX(PhanCong!$B$3:$I$18,MATCH(TKB_Nhap!G6,PhanCong!$A$3:$A$18,0),MATCH($A6,PhanCong!$B$2:$I$2,0))))</f>
        <v/>
      </c>
      <c r="H6" s="26">
        <f>IF(TKB_Nhap!H6="","",TKB_Nhap!H6&amp;CHAR(10)&amp;IF(T(INDEX(PhanCong!$B$3:$I$18,MATCH(TKB_Nhap!H6,PhanCong!$A$3:$A$18,0),MATCH($A6,PhanCong!$B$2:$I$2,0)))="","(chưa PC GV)","GV: "&amp;INDEX(PhanCong!$B$3:$I$18,MATCH(TKB_Nhap!H6,PhanCong!$A$3:$A$18,0),MATCH($A6,PhanCong!$B$2:$I$2,0))))</f>
        <v/>
      </c>
      <c r="I6" s="26">
        <f>IF(TKB_Nhap!I6="","",TKB_Nhap!I6&amp;CHAR(10)&amp;IF(T(INDEX(PhanCong!$B$3:$I$18,MATCH(TKB_Nhap!I6,PhanCong!$A$3:$A$18,0),MATCH($A6,PhanCong!$B$2:$I$2,0)))="","(chưa PC GV)","GV: "&amp;INDEX(PhanCong!$B$3:$I$18,MATCH(TKB_Nhap!I6,PhanCong!$A$3:$A$18,0),MATCH($A6,PhanCong!$B$2:$I$2,0))))</f>
        <v/>
      </c>
      <c r="J6" s="26" t="n"/>
    </row>
    <row r="7" ht="27.75" customHeight="1">
      <c r="A7" s="30">
        <f>TKB_Nhap!A7</f>
        <v/>
      </c>
      <c r="B7" s="30">
        <f>TKB_Nhap!B7</f>
        <v/>
      </c>
      <c r="C7" s="30">
        <f>TKB_Nhap!C7</f>
        <v/>
      </c>
      <c r="D7" s="26">
        <f>IF(TKB_Nhap!D7="","",TKB_Nhap!D7&amp;CHAR(10)&amp;IF(T(INDEX(PhanCong!$B$3:$I$18,MATCH(TKB_Nhap!D7,PhanCong!$A$3:$A$18,0),MATCH($A7,PhanCong!$B$2:$I$2,0)))="","(chưa PC GV)","GV: "&amp;INDEX(PhanCong!$B$3:$I$18,MATCH(TKB_Nhap!D7,PhanCong!$A$3:$A$18,0),MATCH($A7,PhanCong!$B$2:$I$2,0))))</f>
        <v/>
      </c>
      <c r="E7" s="26">
        <f>IF(TKB_Nhap!E7="","",TKB_Nhap!E7&amp;CHAR(10)&amp;IF(T(INDEX(PhanCong!$B$3:$I$18,MATCH(TKB_Nhap!E7,PhanCong!$A$3:$A$18,0),MATCH($A7,PhanCong!$B$2:$I$2,0)))="","(chưa PC GV)","GV: "&amp;INDEX(PhanCong!$B$3:$I$18,MATCH(TKB_Nhap!E7,PhanCong!$A$3:$A$18,0),MATCH($A7,PhanCong!$B$2:$I$2,0))))</f>
        <v/>
      </c>
      <c r="F7" s="26">
        <f>IF(TKB_Nhap!F7="","",TKB_Nhap!F7&amp;CHAR(10)&amp;IF(T(INDEX(PhanCong!$B$3:$I$18,MATCH(TKB_Nhap!F7,PhanCong!$A$3:$A$18,0),MATCH($A7,PhanCong!$B$2:$I$2,0)))="","(chưa PC GV)","GV: "&amp;INDEX(PhanCong!$B$3:$I$18,MATCH(TKB_Nhap!F7,PhanCong!$A$3:$A$18,0),MATCH($A7,PhanCong!$B$2:$I$2,0))))</f>
        <v/>
      </c>
      <c r="G7" s="26">
        <f>IF(TKB_Nhap!G7="","",TKB_Nhap!G7&amp;CHAR(10)&amp;IF(T(INDEX(PhanCong!$B$3:$I$18,MATCH(TKB_Nhap!G7,PhanCong!$A$3:$A$18,0),MATCH($A7,PhanCong!$B$2:$I$2,0)))="","(chưa PC GV)","GV: "&amp;INDEX(PhanCong!$B$3:$I$18,MATCH(TKB_Nhap!G7,PhanCong!$A$3:$A$18,0),MATCH($A7,PhanCong!$B$2:$I$2,0))))</f>
        <v/>
      </c>
      <c r="H7" s="26">
        <f>IF(TKB_Nhap!H7="","",TKB_Nhap!H7&amp;CHAR(10)&amp;IF(T(INDEX(PhanCong!$B$3:$I$18,MATCH(TKB_Nhap!H7,PhanCong!$A$3:$A$18,0),MATCH($A7,PhanCong!$B$2:$I$2,0)))="","(chưa PC GV)","GV: "&amp;INDEX(PhanCong!$B$3:$I$18,MATCH(TKB_Nhap!H7,PhanCong!$A$3:$A$18,0),MATCH($A7,PhanCong!$B$2:$I$2,0))))</f>
        <v/>
      </c>
      <c r="I7" s="26">
        <f>IF(TKB_Nhap!I7="","",TKB_Nhap!I7&amp;CHAR(10)&amp;IF(T(INDEX(PhanCong!$B$3:$I$18,MATCH(TKB_Nhap!I7,PhanCong!$A$3:$A$18,0),MATCH($A7,PhanCong!$B$2:$I$2,0)))="","(chưa PC GV)","GV: "&amp;INDEX(PhanCong!$B$3:$I$18,MATCH(TKB_Nhap!I7,PhanCong!$A$3:$A$18,0),MATCH($A7,PhanCong!$B$2:$I$2,0))))</f>
        <v/>
      </c>
      <c r="J7" s="26" t="n"/>
    </row>
    <row r="8" ht="27.75" customHeight="1">
      <c r="A8" s="30">
        <f>TKB_Nhap!A8</f>
        <v/>
      </c>
      <c r="B8" s="30">
        <f>TKB_Nhap!B8</f>
        <v/>
      </c>
      <c r="C8" s="30">
        <f>TKB_Nhap!C8</f>
        <v/>
      </c>
      <c r="D8" s="26">
        <f>IF(TKB_Nhap!D8="","",TKB_Nhap!D8&amp;CHAR(10)&amp;IF(T(INDEX(PhanCong!$B$3:$I$18,MATCH(TKB_Nhap!D8,PhanCong!$A$3:$A$18,0),MATCH($A8,PhanCong!$B$2:$I$2,0)))="","(chưa PC GV)","GV: "&amp;INDEX(PhanCong!$B$3:$I$18,MATCH(TKB_Nhap!D8,PhanCong!$A$3:$A$18,0),MATCH($A8,PhanCong!$B$2:$I$2,0))))</f>
        <v/>
      </c>
      <c r="E8" s="26">
        <f>IF(TKB_Nhap!E8="","",TKB_Nhap!E8&amp;CHAR(10)&amp;IF(T(INDEX(PhanCong!$B$3:$I$18,MATCH(TKB_Nhap!E8,PhanCong!$A$3:$A$18,0),MATCH($A8,PhanCong!$B$2:$I$2,0)))="","(chưa PC GV)","GV: "&amp;INDEX(PhanCong!$B$3:$I$18,MATCH(TKB_Nhap!E8,PhanCong!$A$3:$A$18,0),MATCH($A8,PhanCong!$B$2:$I$2,0))))</f>
        <v/>
      </c>
      <c r="F8" s="26">
        <f>IF(TKB_Nhap!F8="","",TKB_Nhap!F8&amp;CHAR(10)&amp;IF(T(INDEX(PhanCong!$B$3:$I$18,MATCH(TKB_Nhap!F8,PhanCong!$A$3:$A$18,0),MATCH($A8,PhanCong!$B$2:$I$2,0)))="","(chưa PC GV)","GV: "&amp;INDEX(PhanCong!$B$3:$I$18,MATCH(TKB_Nhap!F8,PhanCong!$A$3:$A$18,0),MATCH($A8,PhanCong!$B$2:$I$2,0))))</f>
        <v/>
      </c>
      <c r="G8" s="26">
        <f>IF(TKB_Nhap!G8="","",TKB_Nhap!G8&amp;CHAR(10)&amp;IF(T(INDEX(PhanCong!$B$3:$I$18,MATCH(TKB_Nhap!G8,PhanCong!$A$3:$A$18,0),MATCH($A8,PhanCong!$B$2:$I$2,0)))="","(chưa PC GV)","GV: "&amp;INDEX(PhanCong!$B$3:$I$18,MATCH(TKB_Nhap!G8,PhanCong!$A$3:$A$18,0),MATCH($A8,PhanCong!$B$2:$I$2,0))))</f>
        <v/>
      </c>
      <c r="H8" s="26">
        <f>IF(TKB_Nhap!H8="","",TKB_Nhap!H8&amp;CHAR(10)&amp;IF(T(INDEX(PhanCong!$B$3:$I$18,MATCH(TKB_Nhap!H8,PhanCong!$A$3:$A$18,0),MATCH($A8,PhanCong!$B$2:$I$2,0)))="","(chưa PC GV)","GV: "&amp;INDEX(PhanCong!$B$3:$I$18,MATCH(TKB_Nhap!H8,PhanCong!$A$3:$A$18,0),MATCH($A8,PhanCong!$B$2:$I$2,0))))</f>
        <v/>
      </c>
      <c r="I8" s="26">
        <f>IF(TKB_Nhap!I8="","",TKB_Nhap!I8&amp;CHAR(10)&amp;IF(T(INDEX(PhanCong!$B$3:$I$18,MATCH(TKB_Nhap!I8,PhanCong!$A$3:$A$18,0),MATCH($A8,PhanCong!$B$2:$I$2,0)))="","(chưa PC GV)","GV: "&amp;INDEX(PhanCong!$B$3:$I$18,MATCH(TKB_Nhap!I8,PhanCong!$A$3:$A$18,0),MATCH($A8,PhanCong!$B$2:$I$2,0))))</f>
        <v/>
      </c>
      <c r="J8" s="26" t="n"/>
    </row>
    <row r="9" ht="27.75" customHeight="1">
      <c r="A9" s="30">
        <f>TKB_Nhap!A9</f>
        <v/>
      </c>
      <c r="B9" s="30">
        <f>TKB_Nhap!B9</f>
        <v/>
      </c>
      <c r="C9" s="30">
        <f>TKB_Nhap!C9</f>
        <v/>
      </c>
      <c r="D9" s="26">
        <f>IF(TKB_Nhap!D9="","",TKB_Nhap!D9&amp;CHAR(10)&amp;IF(T(INDEX(PhanCong!$B$3:$I$18,MATCH(TKB_Nhap!D9,PhanCong!$A$3:$A$18,0),MATCH($A9,PhanCong!$B$2:$I$2,0)))="","(chưa PC GV)","GV: "&amp;INDEX(PhanCong!$B$3:$I$18,MATCH(TKB_Nhap!D9,PhanCong!$A$3:$A$18,0),MATCH($A9,PhanCong!$B$2:$I$2,0))))</f>
        <v/>
      </c>
      <c r="E9" s="26">
        <f>IF(TKB_Nhap!E9="","",TKB_Nhap!E9&amp;CHAR(10)&amp;IF(T(INDEX(PhanCong!$B$3:$I$18,MATCH(TKB_Nhap!E9,PhanCong!$A$3:$A$18,0),MATCH($A9,PhanCong!$B$2:$I$2,0)))="","(chưa PC GV)","GV: "&amp;INDEX(PhanCong!$B$3:$I$18,MATCH(TKB_Nhap!E9,PhanCong!$A$3:$A$18,0),MATCH($A9,PhanCong!$B$2:$I$2,0))))</f>
        <v/>
      </c>
      <c r="F9" s="26">
        <f>IF(TKB_Nhap!F9="","",TKB_Nhap!F9&amp;CHAR(10)&amp;IF(T(INDEX(PhanCong!$B$3:$I$18,MATCH(TKB_Nhap!F9,PhanCong!$A$3:$A$18,0),MATCH($A9,PhanCong!$B$2:$I$2,0)))="","(chưa PC GV)","GV: "&amp;INDEX(PhanCong!$B$3:$I$18,MATCH(TKB_Nhap!F9,PhanCong!$A$3:$A$18,0),MATCH($A9,PhanCong!$B$2:$I$2,0))))</f>
        <v/>
      </c>
      <c r="G9" s="26">
        <f>IF(TKB_Nhap!G9="","",TKB_Nhap!G9&amp;CHAR(10)&amp;IF(T(INDEX(PhanCong!$B$3:$I$18,MATCH(TKB_Nhap!G9,PhanCong!$A$3:$A$18,0),MATCH($A9,PhanCong!$B$2:$I$2,0)))="","(chưa PC GV)","GV: "&amp;INDEX(PhanCong!$B$3:$I$18,MATCH(TKB_Nhap!G9,PhanCong!$A$3:$A$18,0),MATCH($A9,PhanCong!$B$2:$I$2,0))))</f>
        <v/>
      </c>
      <c r="H9" s="26">
        <f>IF(TKB_Nhap!H9="","",TKB_Nhap!H9&amp;CHAR(10)&amp;IF(T(INDEX(PhanCong!$B$3:$I$18,MATCH(TKB_Nhap!H9,PhanCong!$A$3:$A$18,0),MATCH($A9,PhanCong!$B$2:$I$2,0)))="","(chưa PC GV)","GV: "&amp;INDEX(PhanCong!$B$3:$I$18,MATCH(TKB_Nhap!H9,PhanCong!$A$3:$A$18,0),MATCH($A9,PhanCong!$B$2:$I$2,0))))</f>
        <v/>
      </c>
      <c r="I9" s="26">
        <f>IF(TKB_Nhap!I9="","",TKB_Nhap!I9&amp;CHAR(10)&amp;IF(T(INDEX(PhanCong!$B$3:$I$18,MATCH(TKB_Nhap!I9,PhanCong!$A$3:$A$18,0),MATCH($A9,PhanCong!$B$2:$I$2,0)))="","(chưa PC GV)","GV: "&amp;INDEX(PhanCong!$B$3:$I$18,MATCH(TKB_Nhap!I9,PhanCong!$A$3:$A$18,0),MATCH($A9,PhanCong!$B$2:$I$2,0))))</f>
        <v/>
      </c>
      <c r="J9" s="26" t="n"/>
    </row>
    <row r="10" ht="27.75" customHeight="1">
      <c r="A10" s="36">
        <f>TKB_Nhap!A10</f>
        <v/>
      </c>
      <c r="B10" s="36">
        <f>TKB_Nhap!B10</f>
        <v/>
      </c>
      <c r="C10" s="36">
        <f>TKB_Nhap!C10</f>
        <v/>
      </c>
      <c r="D10" s="38">
        <f>IF(TKB_Nhap!D10="","",TKB_Nhap!D10&amp;CHAR(10)&amp;IF(T(INDEX(PhanCong!$B$3:$I$18,MATCH(TKB_Nhap!D10,PhanCong!$A$3:$A$18,0),MATCH($A10,PhanCong!$B$2:$I$2,0)))="","(chưa PC GV)","GV: "&amp;INDEX(PhanCong!$B$3:$I$18,MATCH(TKB_Nhap!D10,PhanCong!$A$3:$A$18,0),MATCH($A10,PhanCong!$B$2:$I$2,0))))</f>
        <v/>
      </c>
      <c r="E10" s="38">
        <f>IF(TKB_Nhap!E10="","",TKB_Nhap!E10&amp;CHAR(10)&amp;IF(T(INDEX(PhanCong!$B$3:$I$18,MATCH(TKB_Nhap!E10,PhanCong!$A$3:$A$18,0),MATCH($A10,PhanCong!$B$2:$I$2,0)))="","(chưa PC GV)","GV: "&amp;INDEX(PhanCong!$B$3:$I$18,MATCH(TKB_Nhap!E10,PhanCong!$A$3:$A$18,0),MATCH($A10,PhanCong!$B$2:$I$2,0))))</f>
        <v/>
      </c>
      <c r="F10" s="38">
        <f>IF(TKB_Nhap!F10="","",TKB_Nhap!F10&amp;CHAR(10)&amp;IF(T(INDEX(PhanCong!$B$3:$I$18,MATCH(TKB_Nhap!F10,PhanCong!$A$3:$A$18,0),MATCH($A10,PhanCong!$B$2:$I$2,0)))="","(chưa PC GV)","GV: "&amp;INDEX(PhanCong!$B$3:$I$18,MATCH(TKB_Nhap!F10,PhanCong!$A$3:$A$18,0),MATCH($A10,PhanCong!$B$2:$I$2,0))))</f>
        <v/>
      </c>
      <c r="G10" s="38">
        <f>IF(TKB_Nhap!G10="","",TKB_Nhap!G10&amp;CHAR(10)&amp;IF(T(INDEX(PhanCong!$B$3:$I$18,MATCH(TKB_Nhap!G10,PhanCong!$A$3:$A$18,0),MATCH($A10,PhanCong!$B$2:$I$2,0)))="","(chưa PC GV)","GV: "&amp;INDEX(PhanCong!$B$3:$I$18,MATCH(TKB_Nhap!G10,PhanCong!$A$3:$A$18,0),MATCH($A10,PhanCong!$B$2:$I$2,0))))</f>
        <v/>
      </c>
      <c r="H10" s="38">
        <f>IF(TKB_Nhap!H10="","",TKB_Nhap!H10&amp;CHAR(10)&amp;IF(T(INDEX(PhanCong!$B$3:$I$18,MATCH(TKB_Nhap!H10,PhanCong!$A$3:$A$18,0),MATCH($A10,PhanCong!$B$2:$I$2,0)))="","(chưa PC GV)","GV: "&amp;INDEX(PhanCong!$B$3:$I$18,MATCH(TKB_Nhap!H10,PhanCong!$A$3:$A$18,0),MATCH($A10,PhanCong!$B$2:$I$2,0))))</f>
        <v/>
      </c>
      <c r="I10" s="38">
        <f>IF(TKB_Nhap!I10="","",TKB_Nhap!I10&amp;CHAR(10)&amp;IF(T(INDEX(PhanCong!$B$3:$I$18,MATCH(TKB_Nhap!I10,PhanCong!$A$3:$A$18,0),MATCH($A10,PhanCong!$B$2:$I$2,0)))="","(chưa PC GV)","GV: "&amp;INDEX(PhanCong!$B$3:$I$18,MATCH(TKB_Nhap!I10,PhanCong!$A$3:$A$18,0),MATCH($A10,PhanCong!$B$2:$I$2,0))))</f>
        <v/>
      </c>
      <c r="J10" s="38" t="n"/>
    </row>
    <row r="11" ht="27.75" customHeight="1">
      <c r="A11" s="36">
        <f>TKB_Nhap!A11</f>
        <v/>
      </c>
      <c r="B11" s="36">
        <f>TKB_Nhap!B11</f>
        <v/>
      </c>
      <c r="C11" s="36">
        <f>TKB_Nhap!C11</f>
        <v/>
      </c>
      <c r="D11" s="38">
        <f>IF(TKB_Nhap!D11="","",TKB_Nhap!D11&amp;CHAR(10)&amp;IF(T(INDEX(PhanCong!$B$3:$I$18,MATCH(TKB_Nhap!D11,PhanCong!$A$3:$A$18,0),MATCH($A11,PhanCong!$B$2:$I$2,0)))="","(chưa PC GV)","GV: "&amp;INDEX(PhanCong!$B$3:$I$18,MATCH(TKB_Nhap!D11,PhanCong!$A$3:$A$18,0),MATCH($A11,PhanCong!$B$2:$I$2,0))))</f>
        <v/>
      </c>
      <c r="E11" s="38">
        <f>IF(TKB_Nhap!E11="","",TKB_Nhap!E11&amp;CHAR(10)&amp;IF(T(INDEX(PhanCong!$B$3:$I$18,MATCH(TKB_Nhap!E11,PhanCong!$A$3:$A$18,0),MATCH($A11,PhanCong!$B$2:$I$2,0)))="","(chưa PC GV)","GV: "&amp;INDEX(PhanCong!$B$3:$I$18,MATCH(TKB_Nhap!E11,PhanCong!$A$3:$A$18,0),MATCH($A11,PhanCong!$B$2:$I$2,0))))</f>
        <v/>
      </c>
      <c r="F11" s="38">
        <f>IF(TKB_Nhap!F11="","",TKB_Nhap!F11&amp;CHAR(10)&amp;IF(T(INDEX(PhanCong!$B$3:$I$18,MATCH(TKB_Nhap!F11,PhanCong!$A$3:$A$18,0),MATCH($A11,PhanCong!$B$2:$I$2,0)))="","(chưa PC GV)","GV: "&amp;INDEX(PhanCong!$B$3:$I$18,MATCH(TKB_Nhap!F11,PhanCong!$A$3:$A$18,0),MATCH($A11,PhanCong!$B$2:$I$2,0))))</f>
        <v/>
      </c>
      <c r="G11" s="38">
        <f>IF(TKB_Nhap!G11="","",TKB_Nhap!G11&amp;CHAR(10)&amp;IF(T(INDEX(PhanCong!$B$3:$I$18,MATCH(TKB_Nhap!G11,PhanCong!$A$3:$A$18,0),MATCH($A11,PhanCong!$B$2:$I$2,0)))="","(chưa PC GV)","GV: "&amp;INDEX(PhanCong!$B$3:$I$18,MATCH(TKB_Nhap!G11,PhanCong!$A$3:$A$18,0),MATCH($A11,PhanCong!$B$2:$I$2,0))))</f>
        <v/>
      </c>
      <c r="H11" s="38">
        <f>IF(TKB_Nhap!H11="","",TKB_Nhap!H11&amp;CHAR(10)&amp;IF(T(INDEX(PhanCong!$B$3:$I$18,MATCH(TKB_Nhap!H11,PhanCong!$A$3:$A$18,0),MATCH($A11,PhanCong!$B$2:$I$2,0)))="","(chưa PC GV)","GV: "&amp;INDEX(PhanCong!$B$3:$I$18,MATCH(TKB_Nhap!H11,PhanCong!$A$3:$A$18,0),MATCH($A11,PhanCong!$B$2:$I$2,0))))</f>
        <v/>
      </c>
      <c r="I11" s="38">
        <f>IF(TKB_Nhap!I11="","",TKB_Nhap!I11&amp;CHAR(10)&amp;IF(T(INDEX(PhanCong!$B$3:$I$18,MATCH(TKB_Nhap!I11,PhanCong!$A$3:$A$18,0),MATCH($A11,PhanCong!$B$2:$I$2,0)))="","(chưa PC GV)","GV: "&amp;INDEX(PhanCong!$B$3:$I$18,MATCH(TKB_Nhap!I11,PhanCong!$A$3:$A$18,0),MATCH($A11,PhanCong!$B$2:$I$2,0))))</f>
        <v/>
      </c>
      <c r="J11" s="38" t="n"/>
    </row>
    <row r="12" ht="27.75" customHeight="1">
      <c r="A12" s="36">
        <f>TKB_Nhap!A12</f>
        <v/>
      </c>
      <c r="B12" s="36">
        <f>TKB_Nhap!B12</f>
        <v/>
      </c>
      <c r="C12" s="36">
        <f>TKB_Nhap!C12</f>
        <v/>
      </c>
      <c r="D12" s="38">
        <f>IF(TKB_Nhap!D12="","",TKB_Nhap!D12&amp;CHAR(10)&amp;IF(T(INDEX(PhanCong!$B$3:$I$18,MATCH(TKB_Nhap!D12,PhanCong!$A$3:$A$18,0),MATCH($A12,PhanCong!$B$2:$I$2,0)))="","(chưa PC GV)","GV: "&amp;INDEX(PhanCong!$B$3:$I$18,MATCH(TKB_Nhap!D12,PhanCong!$A$3:$A$18,0),MATCH($A12,PhanCong!$B$2:$I$2,0))))</f>
        <v/>
      </c>
      <c r="E12" s="38">
        <f>IF(TKB_Nhap!E12="","",TKB_Nhap!E12&amp;CHAR(10)&amp;IF(T(INDEX(PhanCong!$B$3:$I$18,MATCH(TKB_Nhap!E12,PhanCong!$A$3:$A$18,0),MATCH($A12,PhanCong!$B$2:$I$2,0)))="","(chưa PC GV)","GV: "&amp;INDEX(PhanCong!$B$3:$I$18,MATCH(TKB_Nhap!E12,PhanCong!$A$3:$A$18,0),MATCH($A12,PhanCong!$B$2:$I$2,0))))</f>
        <v/>
      </c>
      <c r="F12" s="38">
        <f>IF(TKB_Nhap!F12="","",TKB_Nhap!F12&amp;CHAR(10)&amp;IF(T(INDEX(PhanCong!$B$3:$I$18,MATCH(TKB_Nhap!F12,PhanCong!$A$3:$A$18,0),MATCH($A12,PhanCong!$B$2:$I$2,0)))="","(chưa PC GV)","GV: "&amp;INDEX(PhanCong!$B$3:$I$18,MATCH(TKB_Nhap!F12,PhanCong!$A$3:$A$18,0),MATCH($A12,PhanCong!$B$2:$I$2,0))))</f>
        <v/>
      </c>
      <c r="G12" s="38">
        <f>IF(TKB_Nhap!G12="","",TKB_Nhap!G12&amp;CHAR(10)&amp;IF(T(INDEX(PhanCong!$B$3:$I$18,MATCH(TKB_Nhap!G12,PhanCong!$A$3:$A$18,0),MATCH($A12,PhanCong!$B$2:$I$2,0)))="","(chưa PC GV)","GV: "&amp;INDEX(PhanCong!$B$3:$I$18,MATCH(TKB_Nhap!G12,PhanCong!$A$3:$A$18,0),MATCH($A12,PhanCong!$B$2:$I$2,0))))</f>
        <v/>
      </c>
      <c r="H12" s="38">
        <f>IF(TKB_Nhap!H12="","",TKB_Nhap!H12&amp;CHAR(10)&amp;IF(T(INDEX(PhanCong!$B$3:$I$18,MATCH(TKB_Nhap!H12,PhanCong!$A$3:$A$18,0),MATCH($A12,PhanCong!$B$2:$I$2,0)))="","(chưa PC GV)","GV: "&amp;INDEX(PhanCong!$B$3:$I$18,MATCH(TKB_Nhap!H12,PhanCong!$A$3:$A$18,0),MATCH($A12,PhanCong!$B$2:$I$2,0))))</f>
        <v/>
      </c>
      <c r="I12" s="38">
        <f>IF(TKB_Nhap!I12="","",TKB_Nhap!I12&amp;CHAR(10)&amp;IF(T(INDEX(PhanCong!$B$3:$I$18,MATCH(TKB_Nhap!I12,PhanCong!$A$3:$A$18,0),MATCH($A12,PhanCong!$B$2:$I$2,0)))="","(chưa PC GV)","GV: "&amp;INDEX(PhanCong!$B$3:$I$18,MATCH(TKB_Nhap!I12,PhanCong!$A$3:$A$18,0),MATCH($A12,PhanCong!$B$2:$I$2,0))))</f>
        <v/>
      </c>
      <c r="J12" s="38" t="n"/>
    </row>
    <row r="13" ht="27.75" customHeight="1">
      <c r="A13" s="36">
        <f>TKB_Nhap!A13</f>
        <v/>
      </c>
      <c r="B13" s="36">
        <f>TKB_Nhap!B13</f>
        <v/>
      </c>
      <c r="C13" s="36">
        <f>TKB_Nhap!C13</f>
        <v/>
      </c>
      <c r="D13" s="38">
        <f>IF(TKB_Nhap!D13="","",TKB_Nhap!D13&amp;CHAR(10)&amp;IF(T(INDEX(PhanCong!$B$3:$I$18,MATCH(TKB_Nhap!D13,PhanCong!$A$3:$A$18,0),MATCH($A13,PhanCong!$B$2:$I$2,0)))="","(chưa PC GV)","GV: "&amp;INDEX(PhanCong!$B$3:$I$18,MATCH(TKB_Nhap!D13,PhanCong!$A$3:$A$18,0),MATCH($A13,PhanCong!$B$2:$I$2,0))))</f>
        <v/>
      </c>
      <c r="E13" s="38">
        <f>IF(TKB_Nhap!E13="","",TKB_Nhap!E13&amp;CHAR(10)&amp;IF(T(INDEX(PhanCong!$B$3:$I$18,MATCH(TKB_Nhap!E13,PhanCong!$A$3:$A$18,0),MATCH($A13,PhanCong!$B$2:$I$2,0)))="","(chưa PC GV)","GV: "&amp;INDEX(PhanCong!$B$3:$I$18,MATCH(TKB_Nhap!E13,PhanCong!$A$3:$A$18,0),MATCH($A13,PhanCong!$B$2:$I$2,0))))</f>
        <v/>
      </c>
      <c r="F13" s="38">
        <f>IF(TKB_Nhap!F13="","",TKB_Nhap!F13&amp;CHAR(10)&amp;IF(T(INDEX(PhanCong!$B$3:$I$18,MATCH(TKB_Nhap!F13,PhanCong!$A$3:$A$18,0),MATCH($A13,PhanCong!$B$2:$I$2,0)))="","(chưa PC GV)","GV: "&amp;INDEX(PhanCong!$B$3:$I$18,MATCH(TKB_Nhap!F13,PhanCong!$A$3:$A$18,0),MATCH($A13,PhanCong!$B$2:$I$2,0))))</f>
        <v/>
      </c>
      <c r="G13" s="38">
        <f>IF(TKB_Nhap!G13="","",TKB_Nhap!G13&amp;CHAR(10)&amp;IF(T(INDEX(PhanCong!$B$3:$I$18,MATCH(TKB_Nhap!G13,PhanCong!$A$3:$A$18,0),MATCH($A13,PhanCong!$B$2:$I$2,0)))="","(chưa PC GV)","GV: "&amp;INDEX(PhanCong!$B$3:$I$18,MATCH(TKB_Nhap!G13,PhanCong!$A$3:$A$18,0),MATCH($A13,PhanCong!$B$2:$I$2,0))))</f>
        <v/>
      </c>
      <c r="H13" s="38">
        <f>IF(TKB_Nhap!H13="","",TKB_Nhap!H13&amp;CHAR(10)&amp;IF(T(INDEX(PhanCong!$B$3:$I$18,MATCH(TKB_Nhap!H13,PhanCong!$A$3:$A$18,0),MATCH($A13,PhanCong!$B$2:$I$2,0)))="","(chưa PC GV)","GV: "&amp;INDEX(PhanCong!$B$3:$I$18,MATCH(TKB_Nhap!H13,PhanCong!$A$3:$A$18,0),MATCH($A13,PhanCong!$B$2:$I$2,0))))</f>
        <v/>
      </c>
      <c r="I13" s="38">
        <f>IF(TKB_Nhap!I13="","",TKB_Nhap!I13&amp;CHAR(10)&amp;IF(T(INDEX(PhanCong!$B$3:$I$18,MATCH(TKB_Nhap!I13,PhanCong!$A$3:$A$18,0),MATCH($A13,PhanCong!$B$2:$I$2,0)))="","(chưa PC GV)","GV: "&amp;INDEX(PhanCong!$B$3:$I$18,MATCH(TKB_Nhap!I13,PhanCong!$A$3:$A$18,0),MATCH($A13,PhanCong!$B$2:$I$2,0))))</f>
        <v/>
      </c>
      <c r="J13" s="38" t="n"/>
    </row>
    <row r="14" ht="27.75" customHeight="1">
      <c r="A14" s="36">
        <f>TKB_Nhap!A14</f>
        <v/>
      </c>
      <c r="B14" s="36">
        <f>TKB_Nhap!B14</f>
        <v/>
      </c>
      <c r="C14" s="36">
        <f>TKB_Nhap!C14</f>
        <v/>
      </c>
      <c r="D14" s="38">
        <f>IF(TKB_Nhap!D14="","",TKB_Nhap!D14&amp;CHAR(10)&amp;IF(T(INDEX(PhanCong!$B$3:$I$18,MATCH(TKB_Nhap!D14,PhanCong!$A$3:$A$18,0),MATCH($A14,PhanCong!$B$2:$I$2,0)))="","(chưa PC GV)","GV: "&amp;INDEX(PhanCong!$B$3:$I$18,MATCH(TKB_Nhap!D14,PhanCong!$A$3:$A$18,0),MATCH($A14,PhanCong!$B$2:$I$2,0))))</f>
        <v/>
      </c>
      <c r="E14" s="38">
        <f>IF(TKB_Nhap!E14="","",TKB_Nhap!E14&amp;CHAR(10)&amp;IF(T(INDEX(PhanCong!$B$3:$I$18,MATCH(TKB_Nhap!E14,PhanCong!$A$3:$A$18,0),MATCH($A14,PhanCong!$B$2:$I$2,0)))="","(chưa PC GV)","GV: "&amp;INDEX(PhanCong!$B$3:$I$18,MATCH(TKB_Nhap!E14,PhanCong!$A$3:$A$18,0),MATCH($A14,PhanCong!$B$2:$I$2,0))))</f>
        <v/>
      </c>
      <c r="F14" s="38">
        <f>IF(TKB_Nhap!F14="","",TKB_Nhap!F14&amp;CHAR(10)&amp;IF(T(INDEX(PhanCong!$B$3:$I$18,MATCH(TKB_Nhap!F14,PhanCong!$A$3:$A$18,0),MATCH($A14,PhanCong!$B$2:$I$2,0)))="","(chưa PC GV)","GV: "&amp;INDEX(PhanCong!$B$3:$I$18,MATCH(TKB_Nhap!F14,PhanCong!$A$3:$A$18,0),MATCH($A14,PhanCong!$B$2:$I$2,0))))</f>
        <v/>
      </c>
      <c r="G14" s="38">
        <f>IF(TKB_Nhap!G14="","",TKB_Nhap!G14&amp;CHAR(10)&amp;IF(T(INDEX(PhanCong!$B$3:$I$18,MATCH(TKB_Nhap!G14,PhanCong!$A$3:$A$18,0),MATCH($A14,PhanCong!$B$2:$I$2,0)))="","(chưa PC GV)","GV: "&amp;INDEX(PhanCong!$B$3:$I$18,MATCH(TKB_Nhap!G14,PhanCong!$A$3:$A$18,0),MATCH($A14,PhanCong!$B$2:$I$2,0))))</f>
        <v/>
      </c>
      <c r="H14" s="38">
        <f>IF(TKB_Nhap!H14="","",TKB_Nhap!H14&amp;CHAR(10)&amp;IF(T(INDEX(PhanCong!$B$3:$I$18,MATCH(TKB_Nhap!H14,PhanCong!$A$3:$A$18,0),MATCH($A14,PhanCong!$B$2:$I$2,0)))="","(chưa PC GV)","GV: "&amp;INDEX(PhanCong!$B$3:$I$18,MATCH(TKB_Nhap!H14,PhanCong!$A$3:$A$18,0),MATCH($A14,PhanCong!$B$2:$I$2,0))))</f>
        <v/>
      </c>
      <c r="I14" s="38">
        <f>IF(TKB_Nhap!I14="","",TKB_Nhap!I14&amp;CHAR(10)&amp;IF(T(INDEX(PhanCong!$B$3:$I$18,MATCH(TKB_Nhap!I14,PhanCong!$A$3:$A$18,0),MATCH($A14,PhanCong!$B$2:$I$2,0)))="","(chưa PC GV)","GV: "&amp;INDEX(PhanCong!$B$3:$I$18,MATCH(TKB_Nhap!I14,PhanCong!$A$3:$A$18,0),MATCH($A14,PhanCong!$B$2:$I$2,0))))</f>
        <v/>
      </c>
      <c r="J14" s="38" t="n"/>
    </row>
    <row r="15" ht="27.75" customHeight="1">
      <c r="A15" s="36">
        <f>TKB_Nhap!A15</f>
        <v/>
      </c>
      <c r="B15" s="36">
        <f>TKB_Nhap!B15</f>
        <v/>
      </c>
      <c r="C15" s="36">
        <f>TKB_Nhap!C15</f>
        <v/>
      </c>
      <c r="D15" s="38">
        <f>IF(TKB_Nhap!D15="","",TKB_Nhap!D15&amp;CHAR(10)&amp;IF(T(INDEX(PhanCong!$B$3:$I$18,MATCH(TKB_Nhap!D15,PhanCong!$A$3:$A$18,0),MATCH($A15,PhanCong!$B$2:$I$2,0)))="","(chưa PC GV)","GV: "&amp;INDEX(PhanCong!$B$3:$I$18,MATCH(TKB_Nhap!D15,PhanCong!$A$3:$A$18,0),MATCH($A15,PhanCong!$B$2:$I$2,0))))</f>
        <v/>
      </c>
      <c r="E15" s="38">
        <f>IF(TKB_Nhap!E15="","",TKB_Nhap!E15&amp;CHAR(10)&amp;IF(T(INDEX(PhanCong!$B$3:$I$18,MATCH(TKB_Nhap!E15,PhanCong!$A$3:$A$18,0),MATCH($A15,PhanCong!$B$2:$I$2,0)))="","(chưa PC GV)","GV: "&amp;INDEX(PhanCong!$B$3:$I$18,MATCH(TKB_Nhap!E15,PhanCong!$A$3:$A$18,0),MATCH($A15,PhanCong!$B$2:$I$2,0))))</f>
        <v/>
      </c>
      <c r="F15" s="38">
        <f>IF(TKB_Nhap!F15="","",TKB_Nhap!F15&amp;CHAR(10)&amp;IF(T(INDEX(PhanCong!$B$3:$I$18,MATCH(TKB_Nhap!F15,PhanCong!$A$3:$A$18,0),MATCH($A15,PhanCong!$B$2:$I$2,0)))="","(chưa PC GV)","GV: "&amp;INDEX(PhanCong!$B$3:$I$18,MATCH(TKB_Nhap!F15,PhanCong!$A$3:$A$18,0),MATCH($A15,PhanCong!$B$2:$I$2,0))))</f>
        <v/>
      </c>
      <c r="G15" s="38">
        <f>IF(TKB_Nhap!G15="","",TKB_Nhap!G15&amp;CHAR(10)&amp;IF(T(INDEX(PhanCong!$B$3:$I$18,MATCH(TKB_Nhap!G15,PhanCong!$A$3:$A$18,0),MATCH($A15,PhanCong!$B$2:$I$2,0)))="","(chưa PC GV)","GV: "&amp;INDEX(PhanCong!$B$3:$I$18,MATCH(TKB_Nhap!G15,PhanCong!$A$3:$A$18,0),MATCH($A15,PhanCong!$B$2:$I$2,0))))</f>
        <v/>
      </c>
      <c r="H15" s="38">
        <f>IF(TKB_Nhap!H15="","",TKB_Nhap!H15&amp;CHAR(10)&amp;IF(T(INDEX(PhanCong!$B$3:$I$18,MATCH(TKB_Nhap!H15,PhanCong!$A$3:$A$18,0),MATCH($A15,PhanCong!$B$2:$I$2,0)))="","(chưa PC GV)","GV: "&amp;INDEX(PhanCong!$B$3:$I$18,MATCH(TKB_Nhap!H15,PhanCong!$A$3:$A$18,0),MATCH($A15,PhanCong!$B$2:$I$2,0))))</f>
        <v/>
      </c>
      <c r="I15" s="38">
        <f>IF(TKB_Nhap!I15="","",TKB_Nhap!I15&amp;CHAR(10)&amp;IF(T(INDEX(PhanCong!$B$3:$I$18,MATCH(TKB_Nhap!I15,PhanCong!$A$3:$A$18,0),MATCH($A15,PhanCong!$B$2:$I$2,0)))="","(chưa PC GV)","GV: "&amp;INDEX(PhanCong!$B$3:$I$18,MATCH(TKB_Nhap!I15,PhanCong!$A$3:$A$18,0),MATCH($A15,PhanCong!$B$2:$I$2,0))))</f>
        <v/>
      </c>
      <c r="J15" s="38" t="n"/>
    </row>
    <row r="16" ht="27.75" customHeight="1">
      <c r="A16" s="36">
        <f>TKB_Nhap!A16</f>
        <v/>
      </c>
      <c r="B16" s="36">
        <f>TKB_Nhap!B16</f>
        <v/>
      </c>
      <c r="C16" s="36">
        <f>TKB_Nhap!C16</f>
        <v/>
      </c>
      <c r="D16" s="38">
        <f>IF(TKB_Nhap!D16="","",TKB_Nhap!D16&amp;CHAR(10)&amp;IF(T(INDEX(PhanCong!$B$3:$I$18,MATCH(TKB_Nhap!D16,PhanCong!$A$3:$A$18,0),MATCH($A16,PhanCong!$B$2:$I$2,0)))="","(chưa PC GV)","GV: "&amp;INDEX(PhanCong!$B$3:$I$18,MATCH(TKB_Nhap!D16,PhanCong!$A$3:$A$18,0),MATCH($A16,PhanCong!$B$2:$I$2,0))))</f>
        <v/>
      </c>
      <c r="E16" s="38">
        <f>IF(TKB_Nhap!E16="","",TKB_Nhap!E16&amp;CHAR(10)&amp;IF(T(INDEX(PhanCong!$B$3:$I$18,MATCH(TKB_Nhap!E16,PhanCong!$A$3:$A$18,0),MATCH($A16,PhanCong!$B$2:$I$2,0)))="","(chưa PC GV)","GV: "&amp;INDEX(PhanCong!$B$3:$I$18,MATCH(TKB_Nhap!E16,PhanCong!$A$3:$A$18,0),MATCH($A16,PhanCong!$B$2:$I$2,0))))</f>
        <v/>
      </c>
      <c r="F16" s="38">
        <f>IF(TKB_Nhap!F16="","",TKB_Nhap!F16&amp;CHAR(10)&amp;IF(T(INDEX(PhanCong!$B$3:$I$18,MATCH(TKB_Nhap!F16,PhanCong!$A$3:$A$18,0),MATCH($A16,PhanCong!$B$2:$I$2,0)))="","(chưa PC GV)","GV: "&amp;INDEX(PhanCong!$B$3:$I$18,MATCH(TKB_Nhap!F16,PhanCong!$A$3:$A$18,0),MATCH($A16,PhanCong!$B$2:$I$2,0))))</f>
        <v/>
      </c>
      <c r="G16" s="38">
        <f>IF(TKB_Nhap!G16="","",TKB_Nhap!G16&amp;CHAR(10)&amp;IF(T(INDEX(PhanCong!$B$3:$I$18,MATCH(TKB_Nhap!G16,PhanCong!$A$3:$A$18,0),MATCH($A16,PhanCong!$B$2:$I$2,0)))="","(chưa PC GV)","GV: "&amp;INDEX(PhanCong!$B$3:$I$18,MATCH(TKB_Nhap!G16,PhanCong!$A$3:$A$18,0),MATCH($A16,PhanCong!$B$2:$I$2,0))))</f>
        <v/>
      </c>
      <c r="H16" s="38">
        <f>IF(TKB_Nhap!H16="","",TKB_Nhap!H16&amp;CHAR(10)&amp;IF(T(INDEX(PhanCong!$B$3:$I$18,MATCH(TKB_Nhap!H16,PhanCong!$A$3:$A$18,0),MATCH($A16,PhanCong!$B$2:$I$2,0)))="","(chưa PC GV)","GV: "&amp;INDEX(PhanCong!$B$3:$I$18,MATCH(TKB_Nhap!H16,PhanCong!$A$3:$A$18,0),MATCH($A16,PhanCong!$B$2:$I$2,0))))</f>
        <v/>
      </c>
      <c r="I16" s="38">
        <f>IF(TKB_Nhap!I16="","",TKB_Nhap!I16&amp;CHAR(10)&amp;IF(T(INDEX(PhanCong!$B$3:$I$18,MATCH(TKB_Nhap!I16,PhanCong!$A$3:$A$18,0),MATCH($A16,PhanCong!$B$2:$I$2,0)))="","(chưa PC GV)","GV: "&amp;INDEX(PhanCong!$B$3:$I$18,MATCH(TKB_Nhap!I16,PhanCong!$A$3:$A$18,0),MATCH($A16,PhanCong!$B$2:$I$2,0))))</f>
        <v/>
      </c>
      <c r="J16" s="38" t="n"/>
    </row>
    <row r="17" ht="27.75" customHeight="1">
      <c r="A17" s="36">
        <f>TKB_Nhap!A17</f>
        <v/>
      </c>
      <c r="B17" s="36">
        <f>TKB_Nhap!B17</f>
        <v/>
      </c>
      <c r="C17" s="36">
        <f>TKB_Nhap!C17</f>
        <v/>
      </c>
      <c r="D17" s="38">
        <f>IF(TKB_Nhap!D17="","",TKB_Nhap!D17&amp;CHAR(10)&amp;IF(T(INDEX(PhanCong!$B$3:$I$18,MATCH(TKB_Nhap!D17,PhanCong!$A$3:$A$18,0),MATCH($A17,PhanCong!$B$2:$I$2,0)))="","(chưa PC GV)","GV: "&amp;INDEX(PhanCong!$B$3:$I$18,MATCH(TKB_Nhap!D17,PhanCong!$A$3:$A$18,0),MATCH($A17,PhanCong!$B$2:$I$2,0))))</f>
        <v/>
      </c>
      <c r="E17" s="38">
        <f>IF(TKB_Nhap!E17="","",TKB_Nhap!E17&amp;CHAR(10)&amp;IF(T(INDEX(PhanCong!$B$3:$I$18,MATCH(TKB_Nhap!E17,PhanCong!$A$3:$A$18,0),MATCH($A17,PhanCong!$B$2:$I$2,0)))="","(chưa PC GV)","GV: "&amp;INDEX(PhanCong!$B$3:$I$18,MATCH(TKB_Nhap!E17,PhanCong!$A$3:$A$18,0),MATCH($A17,PhanCong!$B$2:$I$2,0))))</f>
        <v/>
      </c>
      <c r="F17" s="38">
        <f>IF(TKB_Nhap!F17="","",TKB_Nhap!F17&amp;CHAR(10)&amp;IF(T(INDEX(PhanCong!$B$3:$I$18,MATCH(TKB_Nhap!F17,PhanCong!$A$3:$A$18,0),MATCH($A17,PhanCong!$B$2:$I$2,0)))="","(chưa PC GV)","GV: "&amp;INDEX(PhanCong!$B$3:$I$18,MATCH(TKB_Nhap!F17,PhanCong!$A$3:$A$18,0),MATCH($A17,PhanCong!$B$2:$I$2,0))))</f>
        <v/>
      </c>
      <c r="G17" s="38">
        <f>IF(TKB_Nhap!G17="","",TKB_Nhap!G17&amp;CHAR(10)&amp;IF(T(INDEX(PhanCong!$B$3:$I$18,MATCH(TKB_Nhap!G17,PhanCong!$A$3:$A$18,0),MATCH($A17,PhanCong!$B$2:$I$2,0)))="","(chưa PC GV)","GV: "&amp;INDEX(PhanCong!$B$3:$I$18,MATCH(TKB_Nhap!G17,PhanCong!$A$3:$A$18,0),MATCH($A17,PhanCong!$B$2:$I$2,0))))</f>
        <v/>
      </c>
      <c r="H17" s="38">
        <f>IF(TKB_Nhap!H17="","",TKB_Nhap!H17&amp;CHAR(10)&amp;IF(T(INDEX(PhanCong!$B$3:$I$18,MATCH(TKB_Nhap!H17,PhanCong!$A$3:$A$18,0),MATCH($A17,PhanCong!$B$2:$I$2,0)))="","(chưa PC GV)","GV: "&amp;INDEX(PhanCong!$B$3:$I$18,MATCH(TKB_Nhap!H17,PhanCong!$A$3:$A$18,0),MATCH($A17,PhanCong!$B$2:$I$2,0))))</f>
        <v/>
      </c>
      <c r="I17" s="38">
        <f>IF(TKB_Nhap!I17="","",TKB_Nhap!I17&amp;CHAR(10)&amp;IF(T(INDEX(PhanCong!$B$3:$I$18,MATCH(TKB_Nhap!I17,PhanCong!$A$3:$A$18,0),MATCH($A17,PhanCong!$B$2:$I$2,0)))="","(chưa PC GV)","GV: "&amp;INDEX(PhanCong!$B$3:$I$18,MATCH(TKB_Nhap!I17,PhanCong!$A$3:$A$18,0),MATCH($A17,PhanCong!$B$2:$I$2,0))))</f>
        <v/>
      </c>
      <c r="J17" s="38" t="n"/>
    </row>
    <row r="18" ht="27.75" customHeight="1">
      <c r="A18" s="30">
        <f>TKB_Nhap!A18</f>
        <v/>
      </c>
      <c r="B18" s="30">
        <f>TKB_Nhap!B18</f>
        <v/>
      </c>
      <c r="C18" s="30">
        <f>TKB_Nhap!C18</f>
        <v/>
      </c>
      <c r="D18" s="26">
        <f>IF(TKB_Nhap!D18="","",TKB_Nhap!D18&amp;CHAR(10)&amp;IF(T(INDEX(PhanCong!$B$3:$I$18,MATCH(TKB_Nhap!D18,PhanCong!$A$3:$A$18,0),MATCH($A18,PhanCong!$B$2:$I$2,0)))="","(chưa PC GV)","GV: "&amp;INDEX(PhanCong!$B$3:$I$18,MATCH(TKB_Nhap!D18,PhanCong!$A$3:$A$18,0),MATCH($A18,PhanCong!$B$2:$I$2,0))))</f>
        <v/>
      </c>
      <c r="E18" s="26">
        <f>IF(TKB_Nhap!E18="","",TKB_Nhap!E18&amp;CHAR(10)&amp;IF(T(INDEX(PhanCong!$B$3:$I$18,MATCH(TKB_Nhap!E18,PhanCong!$A$3:$A$18,0),MATCH($A18,PhanCong!$B$2:$I$2,0)))="","(chưa PC GV)","GV: "&amp;INDEX(PhanCong!$B$3:$I$18,MATCH(TKB_Nhap!E18,PhanCong!$A$3:$A$18,0),MATCH($A18,PhanCong!$B$2:$I$2,0))))</f>
        <v/>
      </c>
      <c r="F18" s="26">
        <f>IF(TKB_Nhap!F18="","",TKB_Nhap!F18&amp;CHAR(10)&amp;IF(T(INDEX(PhanCong!$B$3:$I$18,MATCH(TKB_Nhap!F18,PhanCong!$A$3:$A$18,0),MATCH($A18,PhanCong!$B$2:$I$2,0)))="","(chưa PC GV)","GV: "&amp;INDEX(PhanCong!$B$3:$I$18,MATCH(TKB_Nhap!F18,PhanCong!$A$3:$A$18,0),MATCH($A18,PhanCong!$B$2:$I$2,0))))</f>
        <v/>
      </c>
      <c r="G18" s="26">
        <f>IF(TKB_Nhap!G18="","",TKB_Nhap!G18&amp;CHAR(10)&amp;IF(T(INDEX(PhanCong!$B$3:$I$18,MATCH(TKB_Nhap!G18,PhanCong!$A$3:$A$18,0),MATCH($A18,PhanCong!$B$2:$I$2,0)))="","(chưa PC GV)","GV: "&amp;INDEX(PhanCong!$B$3:$I$18,MATCH(TKB_Nhap!G18,PhanCong!$A$3:$A$18,0),MATCH($A18,PhanCong!$B$2:$I$2,0))))</f>
        <v/>
      </c>
      <c r="H18" s="26">
        <f>IF(TKB_Nhap!H18="","",TKB_Nhap!H18&amp;CHAR(10)&amp;IF(T(INDEX(PhanCong!$B$3:$I$18,MATCH(TKB_Nhap!H18,PhanCong!$A$3:$A$18,0),MATCH($A18,PhanCong!$B$2:$I$2,0)))="","(chưa PC GV)","GV: "&amp;INDEX(PhanCong!$B$3:$I$18,MATCH(TKB_Nhap!H18,PhanCong!$A$3:$A$18,0),MATCH($A18,PhanCong!$B$2:$I$2,0))))</f>
        <v/>
      </c>
      <c r="I18" s="26">
        <f>IF(TKB_Nhap!I18="","",TKB_Nhap!I18&amp;CHAR(10)&amp;IF(T(INDEX(PhanCong!$B$3:$I$18,MATCH(TKB_Nhap!I18,PhanCong!$A$3:$A$18,0),MATCH($A18,PhanCong!$B$2:$I$2,0)))="","(chưa PC GV)","GV: "&amp;INDEX(PhanCong!$B$3:$I$18,MATCH(TKB_Nhap!I18,PhanCong!$A$3:$A$18,0),MATCH($A18,PhanCong!$B$2:$I$2,0))))</f>
        <v/>
      </c>
      <c r="J18" s="26" t="n"/>
    </row>
    <row r="19" ht="27.75" customHeight="1">
      <c r="A19" s="30">
        <f>TKB_Nhap!A19</f>
        <v/>
      </c>
      <c r="B19" s="30">
        <f>TKB_Nhap!B19</f>
        <v/>
      </c>
      <c r="C19" s="30">
        <f>TKB_Nhap!C19</f>
        <v/>
      </c>
      <c r="D19" s="26">
        <f>IF(TKB_Nhap!D19="","",TKB_Nhap!D19&amp;CHAR(10)&amp;IF(T(INDEX(PhanCong!$B$3:$I$18,MATCH(TKB_Nhap!D19,PhanCong!$A$3:$A$18,0),MATCH($A19,PhanCong!$B$2:$I$2,0)))="","(chưa PC GV)","GV: "&amp;INDEX(PhanCong!$B$3:$I$18,MATCH(TKB_Nhap!D19,PhanCong!$A$3:$A$18,0),MATCH($A19,PhanCong!$B$2:$I$2,0))))</f>
        <v/>
      </c>
      <c r="E19" s="26">
        <f>IF(TKB_Nhap!E19="","",TKB_Nhap!E19&amp;CHAR(10)&amp;IF(T(INDEX(PhanCong!$B$3:$I$18,MATCH(TKB_Nhap!E19,PhanCong!$A$3:$A$18,0),MATCH($A19,PhanCong!$B$2:$I$2,0)))="","(chưa PC GV)","GV: "&amp;INDEX(PhanCong!$B$3:$I$18,MATCH(TKB_Nhap!E19,PhanCong!$A$3:$A$18,0),MATCH($A19,PhanCong!$B$2:$I$2,0))))</f>
        <v/>
      </c>
      <c r="F19" s="26">
        <f>IF(TKB_Nhap!F19="","",TKB_Nhap!F19&amp;CHAR(10)&amp;IF(T(INDEX(PhanCong!$B$3:$I$18,MATCH(TKB_Nhap!F19,PhanCong!$A$3:$A$18,0),MATCH($A19,PhanCong!$B$2:$I$2,0)))="","(chưa PC GV)","GV: "&amp;INDEX(PhanCong!$B$3:$I$18,MATCH(TKB_Nhap!F19,PhanCong!$A$3:$A$18,0),MATCH($A19,PhanCong!$B$2:$I$2,0))))</f>
        <v/>
      </c>
      <c r="G19" s="26">
        <f>IF(TKB_Nhap!G19="","",TKB_Nhap!G19&amp;CHAR(10)&amp;IF(T(INDEX(PhanCong!$B$3:$I$18,MATCH(TKB_Nhap!G19,PhanCong!$A$3:$A$18,0),MATCH($A19,PhanCong!$B$2:$I$2,0)))="","(chưa PC GV)","GV: "&amp;INDEX(PhanCong!$B$3:$I$18,MATCH(TKB_Nhap!G19,PhanCong!$A$3:$A$18,0),MATCH($A19,PhanCong!$B$2:$I$2,0))))</f>
        <v/>
      </c>
      <c r="H19" s="26">
        <f>IF(TKB_Nhap!H19="","",TKB_Nhap!H19&amp;CHAR(10)&amp;IF(T(INDEX(PhanCong!$B$3:$I$18,MATCH(TKB_Nhap!H19,PhanCong!$A$3:$A$18,0),MATCH($A19,PhanCong!$B$2:$I$2,0)))="","(chưa PC GV)","GV: "&amp;INDEX(PhanCong!$B$3:$I$18,MATCH(TKB_Nhap!H19,PhanCong!$A$3:$A$18,0),MATCH($A19,PhanCong!$B$2:$I$2,0))))</f>
        <v/>
      </c>
      <c r="I19" s="26">
        <f>IF(TKB_Nhap!I19="","",TKB_Nhap!I19&amp;CHAR(10)&amp;IF(T(INDEX(PhanCong!$B$3:$I$18,MATCH(TKB_Nhap!I19,PhanCong!$A$3:$A$18,0),MATCH($A19,PhanCong!$B$2:$I$2,0)))="","(chưa PC GV)","GV: "&amp;INDEX(PhanCong!$B$3:$I$18,MATCH(TKB_Nhap!I19,PhanCong!$A$3:$A$18,0),MATCH($A19,PhanCong!$B$2:$I$2,0))))</f>
        <v/>
      </c>
      <c r="J19" s="26" t="n"/>
    </row>
    <row r="20" ht="27.75" customHeight="1">
      <c r="A20" s="30">
        <f>TKB_Nhap!A20</f>
        <v/>
      </c>
      <c r="B20" s="30">
        <f>TKB_Nhap!B20</f>
        <v/>
      </c>
      <c r="C20" s="30">
        <f>TKB_Nhap!C20</f>
        <v/>
      </c>
      <c r="D20" s="26">
        <f>IF(TKB_Nhap!D20="","",TKB_Nhap!D20&amp;CHAR(10)&amp;IF(T(INDEX(PhanCong!$B$3:$I$18,MATCH(TKB_Nhap!D20,PhanCong!$A$3:$A$18,0),MATCH($A20,PhanCong!$B$2:$I$2,0)))="","(chưa PC GV)","GV: "&amp;INDEX(PhanCong!$B$3:$I$18,MATCH(TKB_Nhap!D20,PhanCong!$A$3:$A$18,0),MATCH($A20,PhanCong!$B$2:$I$2,0))))</f>
        <v/>
      </c>
      <c r="E20" s="26">
        <f>IF(TKB_Nhap!E20="","",TKB_Nhap!E20&amp;CHAR(10)&amp;IF(T(INDEX(PhanCong!$B$3:$I$18,MATCH(TKB_Nhap!E20,PhanCong!$A$3:$A$18,0),MATCH($A20,PhanCong!$B$2:$I$2,0)))="","(chưa PC GV)","GV: "&amp;INDEX(PhanCong!$B$3:$I$18,MATCH(TKB_Nhap!E20,PhanCong!$A$3:$A$18,0),MATCH($A20,PhanCong!$B$2:$I$2,0))))</f>
        <v/>
      </c>
      <c r="F20" s="26">
        <f>IF(TKB_Nhap!F20="","",TKB_Nhap!F20&amp;CHAR(10)&amp;IF(T(INDEX(PhanCong!$B$3:$I$18,MATCH(TKB_Nhap!F20,PhanCong!$A$3:$A$18,0),MATCH($A20,PhanCong!$B$2:$I$2,0)))="","(chưa PC GV)","GV: "&amp;INDEX(PhanCong!$B$3:$I$18,MATCH(TKB_Nhap!F20,PhanCong!$A$3:$A$18,0),MATCH($A20,PhanCong!$B$2:$I$2,0))))</f>
        <v/>
      </c>
      <c r="G20" s="26">
        <f>IF(TKB_Nhap!G20="","",TKB_Nhap!G20&amp;CHAR(10)&amp;IF(T(INDEX(PhanCong!$B$3:$I$18,MATCH(TKB_Nhap!G20,PhanCong!$A$3:$A$18,0),MATCH($A20,PhanCong!$B$2:$I$2,0)))="","(chưa PC GV)","GV: "&amp;INDEX(PhanCong!$B$3:$I$18,MATCH(TKB_Nhap!G20,PhanCong!$A$3:$A$18,0),MATCH($A20,PhanCong!$B$2:$I$2,0))))</f>
        <v/>
      </c>
      <c r="H20" s="26">
        <f>IF(TKB_Nhap!H20="","",TKB_Nhap!H20&amp;CHAR(10)&amp;IF(T(INDEX(PhanCong!$B$3:$I$18,MATCH(TKB_Nhap!H20,PhanCong!$A$3:$A$18,0),MATCH($A20,PhanCong!$B$2:$I$2,0)))="","(chưa PC GV)","GV: "&amp;INDEX(PhanCong!$B$3:$I$18,MATCH(TKB_Nhap!H20,PhanCong!$A$3:$A$18,0),MATCH($A20,PhanCong!$B$2:$I$2,0))))</f>
        <v/>
      </c>
      <c r="I20" s="26">
        <f>IF(TKB_Nhap!I20="","",TKB_Nhap!I20&amp;CHAR(10)&amp;IF(T(INDEX(PhanCong!$B$3:$I$18,MATCH(TKB_Nhap!I20,PhanCong!$A$3:$A$18,0),MATCH($A20,PhanCong!$B$2:$I$2,0)))="","(chưa PC GV)","GV: "&amp;INDEX(PhanCong!$B$3:$I$18,MATCH(TKB_Nhap!I20,PhanCong!$A$3:$A$18,0),MATCH($A20,PhanCong!$B$2:$I$2,0))))</f>
        <v/>
      </c>
      <c r="J20" s="26" t="n"/>
    </row>
    <row r="21" ht="27.75" customHeight="1">
      <c r="A21" s="30">
        <f>TKB_Nhap!A21</f>
        <v/>
      </c>
      <c r="B21" s="30">
        <f>TKB_Nhap!B21</f>
        <v/>
      </c>
      <c r="C21" s="30">
        <f>TKB_Nhap!C21</f>
        <v/>
      </c>
      <c r="D21" s="26">
        <f>IF(TKB_Nhap!D21="","",TKB_Nhap!D21&amp;CHAR(10)&amp;IF(T(INDEX(PhanCong!$B$3:$I$18,MATCH(TKB_Nhap!D21,PhanCong!$A$3:$A$18,0),MATCH($A21,PhanCong!$B$2:$I$2,0)))="","(chưa PC GV)","GV: "&amp;INDEX(PhanCong!$B$3:$I$18,MATCH(TKB_Nhap!D21,PhanCong!$A$3:$A$18,0),MATCH($A21,PhanCong!$B$2:$I$2,0))))</f>
        <v/>
      </c>
      <c r="E21" s="26">
        <f>IF(TKB_Nhap!E21="","",TKB_Nhap!E21&amp;CHAR(10)&amp;IF(T(INDEX(PhanCong!$B$3:$I$18,MATCH(TKB_Nhap!E21,PhanCong!$A$3:$A$18,0),MATCH($A21,PhanCong!$B$2:$I$2,0)))="","(chưa PC GV)","GV: "&amp;INDEX(PhanCong!$B$3:$I$18,MATCH(TKB_Nhap!E21,PhanCong!$A$3:$A$18,0),MATCH($A21,PhanCong!$B$2:$I$2,0))))</f>
        <v/>
      </c>
      <c r="F21" s="26">
        <f>IF(TKB_Nhap!F21="","",TKB_Nhap!F21&amp;CHAR(10)&amp;IF(T(INDEX(PhanCong!$B$3:$I$18,MATCH(TKB_Nhap!F21,PhanCong!$A$3:$A$18,0),MATCH($A21,PhanCong!$B$2:$I$2,0)))="","(chưa PC GV)","GV: "&amp;INDEX(PhanCong!$B$3:$I$18,MATCH(TKB_Nhap!F21,PhanCong!$A$3:$A$18,0),MATCH($A21,PhanCong!$B$2:$I$2,0))))</f>
        <v/>
      </c>
      <c r="G21" s="26">
        <f>IF(TKB_Nhap!G21="","",TKB_Nhap!G21&amp;CHAR(10)&amp;IF(T(INDEX(PhanCong!$B$3:$I$18,MATCH(TKB_Nhap!G21,PhanCong!$A$3:$A$18,0),MATCH($A21,PhanCong!$B$2:$I$2,0)))="","(chưa PC GV)","GV: "&amp;INDEX(PhanCong!$B$3:$I$18,MATCH(TKB_Nhap!G21,PhanCong!$A$3:$A$18,0),MATCH($A21,PhanCong!$B$2:$I$2,0))))</f>
        <v/>
      </c>
      <c r="H21" s="26">
        <f>IF(TKB_Nhap!H21="","",TKB_Nhap!H21&amp;CHAR(10)&amp;IF(T(INDEX(PhanCong!$B$3:$I$18,MATCH(TKB_Nhap!H21,PhanCong!$A$3:$A$18,0),MATCH($A21,PhanCong!$B$2:$I$2,0)))="","(chưa PC GV)","GV: "&amp;INDEX(PhanCong!$B$3:$I$18,MATCH(TKB_Nhap!H21,PhanCong!$A$3:$A$18,0),MATCH($A21,PhanCong!$B$2:$I$2,0))))</f>
        <v/>
      </c>
      <c r="I21" s="26">
        <f>IF(TKB_Nhap!I21="","",TKB_Nhap!I21&amp;CHAR(10)&amp;IF(T(INDEX(PhanCong!$B$3:$I$18,MATCH(TKB_Nhap!I21,PhanCong!$A$3:$A$18,0),MATCH($A21,PhanCong!$B$2:$I$2,0)))="","(chưa PC GV)","GV: "&amp;INDEX(PhanCong!$B$3:$I$18,MATCH(TKB_Nhap!I21,PhanCong!$A$3:$A$18,0),MATCH($A21,PhanCong!$B$2:$I$2,0))))</f>
        <v/>
      </c>
      <c r="J21" s="26" t="n"/>
    </row>
    <row r="22" ht="27.75" customHeight="1">
      <c r="A22" s="30">
        <f>TKB_Nhap!A22</f>
        <v/>
      </c>
      <c r="B22" s="30">
        <f>TKB_Nhap!B22</f>
        <v/>
      </c>
      <c r="C22" s="30">
        <f>TKB_Nhap!C22</f>
        <v/>
      </c>
      <c r="D22" s="26">
        <f>IF(TKB_Nhap!D22="","",TKB_Nhap!D22&amp;CHAR(10)&amp;IF(T(INDEX(PhanCong!$B$3:$I$18,MATCH(TKB_Nhap!D22,PhanCong!$A$3:$A$18,0),MATCH($A22,PhanCong!$B$2:$I$2,0)))="","(chưa PC GV)","GV: "&amp;INDEX(PhanCong!$B$3:$I$18,MATCH(TKB_Nhap!D22,PhanCong!$A$3:$A$18,0),MATCH($A22,PhanCong!$B$2:$I$2,0))))</f>
        <v/>
      </c>
      <c r="E22" s="26">
        <f>IF(TKB_Nhap!E22="","",TKB_Nhap!E22&amp;CHAR(10)&amp;IF(T(INDEX(PhanCong!$B$3:$I$18,MATCH(TKB_Nhap!E22,PhanCong!$A$3:$A$18,0),MATCH($A22,PhanCong!$B$2:$I$2,0)))="","(chưa PC GV)","GV: "&amp;INDEX(PhanCong!$B$3:$I$18,MATCH(TKB_Nhap!E22,PhanCong!$A$3:$A$18,0),MATCH($A22,PhanCong!$B$2:$I$2,0))))</f>
        <v/>
      </c>
      <c r="F22" s="26">
        <f>IF(TKB_Nhap!F22="","",TKB_Nhap!F22&amp;CHAR(10)&amp;IF(T(INDEX(PhanCong!$B$3:$I$18,MATCH(TKB_Nhap!F22,PhanCong!$A$3:$A$18,0),MATCH($A22,PhanCong!$B$2:$I$2,0)))="","(chưa PC GV)","GV: "&amp;INDEX(PhanCong!$B$3:$I$18,MATCH(TKB_Nhap!F22,PhanCong!$A$3:$A$18,0),MATCH($A22,PhanCong!$B$2:$I$2,0))))</f>
        <v/>
      </c>
      <c r="G22" s="26">
        <f>IF(TKB_Nhap!G22="","",TKB_Nhap!G22&amp;CHAR(10)&amp;IF(T(INDEX(PhanCong!$B$3:$I$18,MATCH(TKB_Nhap!G22,PhanCong!$A$3:$A$18,0),MATCH($A22,PhanCong!$B$2:$I$2,0)))="","(chưa PC GV)","GV: "&amp;INDEX(PhanCong!$B$3:$I$18,MATCH(TKB_Nhap!G22,PhanCong!$A$3:$A$18,0),MATCH($A22,PhanCong!$B$2:$I$2,0))))</f>
        <v/>
      </c>
      <c r="H22" s="26">
        <f>IF(TKB_Nhap!H22="","",TKB_Nhap!H22&amp;CHAR(10)&amp;IF(T(INDEX(PhanCong!$B$3:$I$18,MATCH(TKB_Nhap!H22,PhanCong!$A$3:$A$18,0),MATCH($A22,PhanCong!$B$2:$I$2,0)))="","(chưa PC GV)","GV: "&amp;INDEX(PhanCong!$B$3:$I$18,MATCH(TKB_Nhap!H22,PhanCong!$A$3:$A$18,0),MATCH($A22,PhanCong!$B$2:$I$2,0))))</f>
        <v/>
      </c>
      <c r="I22" s="26">
        <f>IF(TKB_Nhap!I22="","",TKB_Nhap!I22&amp;CHAR(10)&amp;IF(T(INDEX(PhanCong!$B$3:$I$18,MATCH(TKB_Nhap!I22,PhanCong!$A$3:$A$18,0),MATCH($A22,PhanCong!$B$2:$I$2,0)))="","(chưa PC GV)","GV: "&amp;INDEX(PhanCong!$B$3:$I$18,MATCH(TKB_Nhap!I22,PhanCong!$A$3:$A$18,0),MATCH($A22,PhanCong!$B$2:$I$2,0))))</f>
        <v/>
      </c>
      <c r="J22" s="26" t="n"/>
    </row>
    <row r="23" ht="27.75" customHeight="1">
      <c r="A23" s="30">
        <f>TKB_Nhap!A23</f>
        <v/>
      </c>
      <c r="B23" s="30">
        <f>TKB_Nhap!B23</f>
        <v/>
      </c>
      <c r="C23" s="30">
        <f>TKB_Nhap!C23</f>
        <v/>
      </c>
      <c r="D23" s="26">
        <f>IF(TKB_Nhap!D23="","",TKB_Nhap!D23&amp;CHAR(10)&amp;IF(T(INDEX(PhanCong!$B$3:$I$18,MATCH(TKB_Nhap!D23,PhanCong!$A$3:$A$18,0),MATCH($A23,PhanCong!$B$2:$I$2,0)))="","(chưa PC GV)","GV: "&amp;INDEX(PhanCong!$B$3:$I$18,MATCH(TKB_Nhap!D23,PhanCong!$A$3:$A$18,0),MATCH($A23,PhanCong!$B$2:$I$2,0))))</f>
        <v/>
      </c>
      <c r="E23" s="26">
        <f>IF(TKB_Nhap!E23="","",TKB_Nhap!E23&amp;CHAR(10)&amp;IF(T(INDEX(PhanCong!$B$3:$I$18,MATCH(TKB_Nhap!E23,PhanCong!$A$3:$A$18,0),MATCH($A23,PhanCong!$B$2:$I$2,0)))="","(chưa PC GV)","GV: "&amp;INDEX(PhanCong!$B$3:$I$18,MATCH(TKB_Nhap!E23,PhanCong!$A$3:$A$18,0),MATCH($A23,PhanCong!$B$2:$I$2,0))))</f>
        <v/>
      </c>
      <c r="F23" s="26">
        <f>IF(TKB_Nhap!F23="","",TKB_Nhap!F23&amp;CHAR(10)&amp;IF(T(INDEX(PhanCong!$B$3:$I$18,MATCH(TKB_Nhap!F23,PhanCong!$A$3:$A$18,0),MATCH($A23,PhanCong!$B$2:$I$2,0)))="","(chưa PC GV)","GV: "&amp;INDEX(PhanCong!$B$3:$I$18,MATCH(TKB_Nhap!F23,PhanCong!$A$3:$A$18,0),MATCH($A23,PhanCong!$B$2:$I$2,0))))</f>
        <v/>
      </c>
      <c r="G23" s="26">
        <f>IF(TKB_Nhap!G23="","",TKB_Nhap!G23&amp;CHAR(10)&amp;IF(T(INDEX(PhanCong!$B$3:$I$18,MATCH(TKB_Nhap!G23,PhanCong!$A$3:$A$18,0),MATCH($A23,PhanCong!$B$2:$I$2,0)))="","(chưa PC GV)","GV: "&amp;INDEX(PhanCong!$B$3:$I$18,MATCH(TKB_Nhap!G23,PhanCong!$A$3:$A$18,0),MATCH($A23,PhanCong!$B$2:$I$2,0))))</f>
        <v/>
      </c>
      <c r="H23" s="26">
        <f>IF(TKB_Nhap!H23="","",TKB_Nhap!H23&amp;CHAR(10)&amp;IF(T(INDEX(PhanCong!$B$3:$I$18,MATCH(TKB_Nhap!H23,PhanCong!$A$3:$A$18,0),MATCH($A23,PhanCong!$B$2:$I$2,0)))="","(chưa PC GV)","GV: "&amp;INDEX(PhanCong!$B$3:$I$18,MATCH(TKB_Nhap!H23,PhanCong!$A$3:$A$18,0),MATCH($A23,PhanCong!$B$2:$I$2,0))))</f>
        <v/>
      </c>
      <c r="I23" s="26">
        <f>IF(TKB_Nhap!I23="","",TKB_Nhap!I23&amp;CHAR(10)&amp;IF(T(INDEX(PhanCong!$B$3:$I$18,MATCH(TKB_Nhap!I23,PhanCong!$A$3:$A$18,0),MATCH($A23,PhanCong!$B$2:$I$2,0)))="","(chưa PC GV)","GV: "&amp;INDEX(PhanCong!$B$3:$I$18,MATCH(TKB_Nhap!I23,PhanCong!$A$3:$A$18,0),MATCH($A23,PhanCong!$B$2:$I$2,0))))</f>
        <v/>
      </c>
      <c r="J23" s="26" t="n"/>
    </row>
    <row r="24" ht="27.75" customHeight="1">
      <c r="A24" s="30">
        <f>TKB_Nhap!A24</f>
        <v/>
      </c>
      <c r="B24" s="30">
        <f>TKB_Nhap!B24</f>
        <v/>
      </c>
      <c r="C24" s="30">
        <f>TKB_Nhap!C24</f>
        <v/>
      </c>
      <c r="D24" s="26">
        <f>IF(TKB_Nhap!D24="","",TKB_Nhap!D24&amp;CHAR(10)&amp;IF(T(INDEX(PhanCong!$B$3:$I$18,MATCH(TKB_Nhap!D24,PhanCong!$A$3:$A$18,0),MATCH($A24,PhanCong!$B$2:$I$2,0)))="","(chưa PC GV)","GV: "&amp;INDEX(PhanCong!$B$3:$I$18,MATCH(TKB_Nhap!D24,PhanCong!$A$3:$A$18,0),MATCH($A24,PhanCong!$B$2:$I$2,0))))</f>
        <v/>
      </c>
      <c r="E24" s="26">
        <f>IF(TKB_Nhap!E24="","",TKB_Nhap!E24&amp;CHAR(10)&amp;IF(T(INDEX(PhanCong!$B$3:$I$18,MATCH(TKB_Nhap!E24,PhanCong!$A$3:$A$18,0),MATCH($A24,PhanCong!$B$2:$I$2,0)))="","(chưa PC GV)","GV: "&amp;INDEX(PhanCong!$B$3:$I$18,MATCH(TKB_Nhap!E24,PhanCong!$A$3:$A$18,0),MATCH($A24,PhanCong!$B$2:$I$2,0))))</f>
        <v/>
      </c>
      <c r="F24" s="26">
        <f>IF(TKB_Nhap!F24="","",TKB_Nhap!F24&amp;CHAR(10)&amp;IF(T(INDEX(PhanCong!$B$3:$I$18,MATCH(TKB_Nhap!F24,PhanCong!$A$3:$A$18,0),MATCH($A24,PhanCong!$B$2:$I$2,0)))="","(chưa PC GV)","GV: "&amp;INDEX(PhanCong!$B$3:$I$18,MATCH(TKB_Nhap!F24,PhanCong!$A$3:$A$18,0),MATCH($A24,PhanCong!$B$2:$I$2,0))))</f>
        <v/>
      </c>
      <c r="G24" s="26">
        <f>IF(TKB_Nhap!G24="","",TKB_Nhap!G24&amp;CHAR(10)&amp;IF(T(INDEX(PhanCong!$B$3:$I$18,MATCH(TKB_Nhap!G24,PhanCong!$A$3:$A$18,0),MATCH($A24,PhanCong!$B$2:$I$2,0)))="","(chưa PC GV)","GV: "&amp;INDEX(PhanCong!$B$3:$I$18,MATCH(TKB_Nhap!G24,PhanCong!$A$3:$A$18,0),MATCH($A24,PhanCong!$B$2:$I$2,0))))</f>
        <v/>
      </c>
      <c r="H24" s="26">
        <f>IF(TKB_Nhap!H24="","",TKB_Nhap!H24&amp;CHAR(10)&amp;IF(T(INDEX(PhanCong!$B$3:$I$18,MATCH(TKB_Nhap!H24,PhanCong!$A$3:$A$18,0),MATCH($A24,PhanCong!$B$2:$I$2,0)))="","(chưa PC GV)","GV: "&amp;INDEX(PhanCong!$B$3:$I$18,MATCH(TKB_Nhap!H24,PhanCong!$A$3:$A$18,0),MATCH($A24,PhanCong!$B$2:$I$2,0))))</f>
        <v/>
      </c>
      <c r="I24" s="26">
        <f>IF(TKB_Nhap!I24="","",TKB_Nhap!I24&amp;CHAR(10)&amp;IF(T(INDEX(PhanCong!$B$3:$I$18,MATCH(TKB_Nhap!I24,PhanCong!$A$3:$A$18,0),MATCH($A24,PhanCong!$B$2:$I$2,0)))="","(chưa PC GV)","GV: "&amp;INDEX(PhanCong!$B$3:$I$18,MATCH(TKB_Nhap!I24,PhanCong!$A$3:$A$18,0),MATCH($A24,PhanCong!$B$2:$I$2,0))))</f>
        <v/>
      </c>
      <c r="J24" s="26" t="n"/>
    </row>
    <row r="25" ht="27.75" customHeight="1">
      <c r="A25" s="30">
        <f>TKB_Nhap!A25</f>
        <v/>
      </c>
      <c r="B25" s="30">
        <f>TKB_Nhap!B25</f>
        <v/>
      </c>
      <c r="C25" s="30">
        <f>TKB_Nhap!C25</f>
        <v/>
      </c>
      <c r="D25" s="26">
        <f>IF(TKB_Nhap!D25="","",TKB_Nhap!D25&amp;CHAR(10)&amp;IF(T(INDEX(PhanCong!$B$3:$I$18,MATCH(TKB_Nhap!D25,PhanCong!$A$3:$A$18,0),MATCH($A25,PhanCong!$B$2:$I$2,0)))="","(chưa PC GV)","GV: "&amp;INDEX(PhanCong!$B$3:$I$18,MATCH(TKB_Nhap!D25,PhanCong!$A$3:$A$18,0),MATCH($A25,PhanCong!$B$2:$I$2,0))))</f>
        <v/>
      </c>
      <c r="E25" s="26">
        <f>IF(TKB_Nhap!E25="","",TKB_Nhap!E25&amp;CHAR(10)&amp;IF(T(INDEX(PhanCong!$B$3:$I$18,MATCH(TKB_Nhap!E25,PhanCong!$A$3:$A$18,0),MATCH($A25,PhanCong!$B$2:$I$2,0)))="","(chưa PC GV)","GV: "&amp;INDEX(PhanCong!$B$3:$I$18,MATCH(TKB_Nhap!E25,PhanCong!$A$3:$A$18,0),MATCH($A25,PhanCong!$B$2:$I$2,0))))</f>
        <v/>
      </c>
      <c r="F25" s="26">
        <f>IF(TKB_Nhap!F25="","",TKB_Nhap!F25&amp;CHAR(10)&amp;IF(T(INDEX(PhanCong!$B$3:$I$18,MATCH(TKB_Nhap!F25,PhanCong!$A$3:$A$18,0),MATCH($A25,PhanCong!$B$2:$I$2,0)))="","(chưa PC GV)","GV: "&amp;INDEX(PhanCong!$B$3:$I$18,MATCH(TKB_Nhap!F25,PhanCong!$A$3:$A$18,0),MATCH($A25,PhanCong!$B$2:$I$2,0))))</f>
        <v/>
      </c>
      <c r="G25" s="26">
        <f>IF(TKB_Nhap!G25="","",TKB_Nhap!G25&amp;CHAR(10)&amp;IF(T(INDEX(PhanCong!$B$3:$I$18,MATCH(TKB_Nhap!G25,PhanCong!$A$3:$A$18,0),MATCH($A25,PhanCong!$B$2:$I$2,0)))="","(chưa PC GV)","GV: "&amp;INDEX(PhanCong!$B$3:$I$18,MATCH(TKB_Nhap!G25,PhanCong!$A$3:$A$18,0),MATCH($A25,PhanCong!$B$2:$I$2,0))))</f>
        <v/>
      </c>
      <c r="H25" s="26">
        <f>IF(TKB_Nhap!H25="","",TKB_Nhap!H25&amp;CHAR(10)&amp;IF(T(INDEX(PhanCong!$B$3:$I$18,MATCH(TKB_Nhap!H25,PhanCong!$A$3:$A$18,0),MATCH($A25,PhanCong!$B$2:$I$2,0)))="","(chưa PC GV)","GV: "&amp;INDEX(PhanCong!$B$3:$I$18,MATCH(TKB_Nhap!H25,PhanCong!$A$3:$A$18,0),MATCH($A25,PhanCong!$B$2:$I$2,0))))</f>
        <v/>
      </c>
      <c r="I25" s="26">
        <f>IF(TKB_Nhap!I25="","",TKB_Nhap!I25&amp;CHAR(10)&amp;IF(T(INDEX(PhanCong!$B$3:$I$18,MATCH(TKB_Nhap!I25,PhanCong!$A$3:$A$18,0),MATCH($A25,PhanCong!$B$2:$I$2,0)))="","(chưa PC GV)","GV: "&amp;INDEX(PhanCong!$B$3:$I$18,MATCH(TKB_Nhap!I25,PhanCong!$A$3:$A$18,0),MATCH($A25,PhanCong!$B$2:$I$2,0))))</f>
        <v/>
      </c>
      <c r="J25" s="26" t="n"/>
    </row>
    <row r="26" ht="27.75" customHeight="1">
      <c r="A26" s="36">
        <f>TKB_Nhap!A26</f>
        <v/>
      </c>
      <c r="B26" s="36">
        <f>TKB_Nhap!B26</f>
        <v/>
      </c>
      <c r="C26" s="36">
        <f>TKB_Nhap!C26</f>
        <v/>
      </c>
      <c r="D26" s="38">
        <f>IF(TKB_Nhap!D26="","",TKB_Nhap!D26&amp;CHAR(10)&amp;IF(T(INDEX(PhanCong!$B$3:$I$18,MATCH(TKB_Nhap!D26,PhanCong!$A$3:$A$18,0),MATCH($A26,PhanCong!$B$2:$I$2,0)))="","(chưa PC GV)","GV: "&amp;INDEX(PhanCong!$B$3:$I$18,MATCH(TKB_Nhap!D26,PhanCong!$A$3:$A$18,0),MATCH($A26,PhanCong!$B$2:$I$2,0))))</f>
        <v/>
      </c>
      <c r="E26" s="38">
        <f>IF(TKB_Nhap!E26="","",TKB_Nhap!E26&amp;CHAR(10)&amp;IF(T(INDEX(PhanCong!$B$3:$I$18,MATCH(TKB_Nhap!E26,PhanCong!$A$3:$A$18,0),MATCH($A26,PhanCong!$B$2:$I$2,0)))="","(chưa PC GV)","GV: "&amp;INDEX(PhanCong!$B$3:$I$18,MATCH(TKB_Nhap!E26,PhanCong!$A$3:$A$18,0),MATCH($A26,PhanCong!$B$2:$I$2,0))))</f>
        <v/>
      </c>
      <c r="F26" s="38">
        <f>IF(TKB_Nhap!F26="","",TKB_Nhap!F26&amp;CHAR(10)&amp;IF(T(INDEX(PhanCong!$B$3:$I$18,MATCH(TKB_Nhap!F26,PhanCong!$A$3:$A$18,0),MATCH($A26,PhanCong!$B$2:$I$2,0)))="","(chưa PC GV)","GV: "&amp;INDEX(PhanCong!$B$3:$I$18,MATCH(TKB_Nhap!F26,PhanCong!$A$3:$A$18,0),MATCH($A26,PhanCong!$B$2:$I$2,0))))</f>
        <v/>
      </c>
      <c r="G26" s="38">
        <f>IF(TKB_Nhap!G26="","",TKB_Nhap!G26&amp;CHAR(10)&amp;IF(T(INDEX(PhanCong!$B$3:$I$18,MATCH(TKB_Nhap!G26,PhanCong!$A$3:$A$18,0),MATCH($A26,PhanCong!$B$2:$I$2,0)))="","(chưa PC GV)","GV: "&amp;INDEX(PhanCong!$B$3:$I$18,MATCH(TKB_Nhap!G26,PhanCong!$A$3:$A$18,0),MATCH($A26,PhanCong!$B$2:$I$2,0))))</f>
        <v/>
      </c>
      <c r="H26" s="38">
        <f>IF(TKB_Nhap!H26="","",TKB_Nhap!H26&amp;CHAR(10)&amp;IF(T(INDEX(PhanCong!$B$3:$I$18,MATCH(TKB_Nhap!H26,PhanCong!$A$3:$A$18,0),MATCH($A26,PhanCong!$B$2:$I$2,0)))="","(chưa PC GV)","GV: "&amp;INDEX(PhanCong!$B$3:$I$18,MATCH(TKB_Nhap!H26,PhanCong!$A$3:$A$18,0),MATCH($A26,PhanCong!$B$2:$I$2,0))))</f>
        <v/>
      </c>
      <c r="I26" s="38">
        <f>IF(TKB_Nhap!I26="","",TKB_Nhap!I26&amp;CHAR(10)&amp;IF(T(INDEX(PhanCong!$B$3:$I$18,MATCH(TKB_Nhap!I26,PhanCong!$A$3:$A$18,0),MATCH($A26,PhanCong!$B$2:$I$2,0)))="","(chưa PC GV)","GV: "&amp;INDEX(PhanCong!$B$3:$I$18,MATCH(TKB_Nhap!I26,PhanCong!$A$3:$A$18,0),MATCH($A26,PhanCong!$B$2:$I$2,0))))</f>
        <v/>
      </c>
      <c r="J26" s="38" t="n"/>
    </row>
    <row r="27" ht="27.75" customHeight="1">
      <c r="A27" s="36">
        <f>TKB_Nhap!A27</f>
        <v/>
      </c>
      <c r="B27" s="36">
        <f>TKB_Nhap!B27</f>
        <v/>
      </c>
      <c r="C27" s="36">
        <f>TKB_Nhap!C27</f>
        <v/>
      </c>
      <c r="D27" s="38">
        <f>IF(TKB_Nhap!D27="","",TKB_Nhap!D27&amp;CHAR(10)&amp;IF(T(INDEX(PhanCong!$B$3:$I$18,MATCH(TKB_Nhap!D27,PhanCong!$A$3:$A$18,0),MATCH($A27,PhanCong!$B$2:$I$2,0)))="","(chưa PC GV)","GV: "&amp;INDEX(PhanCong!$B$3:$I$18,MATCH(TKB_Nhap!D27,PhanCong!$A$3:$A$18,0),MATCH($A27,PhanCong!$B$2:$I$2,0))))</f>
        <v/>
      </c>
      <c r="E27" s="38">
        <f>IF(TKB_Nhap!E27="","",TKB_Nhap!E27&amp;CHAR(10)&amp;IF(T(INDEX(PhanCong!$B$3:$I$18,MATCH(TKB_Nhap!E27,PhanCong!$A$3:$A$18,0),MATCH($A27,PhanCong!$B$2:$I$2,0)))="","(chưa PC GV)","GV: "&amp;INDEX(PhanCong!$B$3:$I$18,MATCH(TKB_Nhap!E27,PhanCong!$A$3:$A$18,0),MATCH($A27,PhanCong!$B$2:$I$2,0))))</f>
        <v/>
      </c>
      <c r="F27" s="38">
        <f>IF(TKB_Nhap!F27="","",TKB_Nhap!F27&amp;CHAR(10)&amp;IF(T(INDEX(PhanCong!$B$3:$I$18,MATCH(TKB_Nhap!F27,PhanCong!$A$3:$A$18,0),MATCH($A27,PhanCong!$B$2:$I$2,0)))="","(chưa PC GV)","GV: "&amp;INDEX(PhanCong!$B$3:$I$18,MATCH(TKB_Nhap!F27,PhanCong!$A$3:$A$18,0),MATCH($A27,PhanCong!$B$2:$I$2,0))))</f>
        <v/>
      </c>
      <c r="G27" s="38">
        <f>IF(TKB_Nhap!G27="","",TKB_Nhap!G27&amp;CHAR(10)&amp;IF(T(INDEX(PhanCong!$B$3:$I$18,MATCH(TKB_Nhap!G27,PhanCong!$A$3:$A$18,0),MATCH($A27,PhanCong!$B$2:$I$2,0)))="","(chưa PC GV)","GV: "&amp;INDEX(PhanCong!$B$3:$I$18,MATCH(TKB_Nhap!G27,PhanCong!$A$3:$A$18,0),MATCH($A27,PhanCong!$B$2:$I$2,0))))</f>
        <v/>
      </c>
      <c r="H27" s="38">
        <f>IF(TKB_Nhap!H27="","",TKB_Nhap!H27&amp;CHAR(10)&amp;IF(T(INDEX(PhanCong!$B$3:$I$18,MATCH(TKB_Nhap!H27,PhanCong!$A$3:$A$18,0),MATCH($A27,PhanCong!$B$2:$I$2,0)))="","(chưa PC GV)","GV: "&amp;INDEX(PhanCong!$B$3:$I$18,MATCH(TKB_Nhap!H27,PhanCong!$A$3:$A$18,0),MATCH($A27,PhanCong!$B$2:$I$2,0))))</f>
        <v/>
      </c>
      <c r="I27" s="38">
        <f>IF(TKB_Nhap!I27="","",TKB_Nhap!I27&amp;CHAR(10)&amp;IF(T(INDEX(PhanCong!$B$3:$I$18,MATCH(TKB_Nhap!I27,PhanCong!$A$3:$A$18,0),MATCH($A27,PhanCong!$B$2:$I$2,0)))="","(chưa PC GV)","GV: "&amp;INDEX(PhanCong!$B$3:$I$18,MATCH(TKB_Nhap!I27,PhanCong!$A$3:$A$18,0),MATCH($A27,PhanCong!$B$2:$I$2,0))))</f>
        <v/>
      </c>
      <c r="J27" s="38" t="n"/>
    </row>
    <row r="28" ht="27.75" customHeight="1">
      <c r="A28" s="36">
        <f>TKB_Nhap!A28</f>
        <v/>
      </c>
      <c r="B28" s="36">
        <f>TKB_Nhap!B28</f>
        <v/>
      </c>
      <c r="C28" s="36">
        <f>TKB_Nhap!C28</f>
        <v/>
      </c>
      <c r="D28" s="38">
        <f>IF(TKB_Nhap!D28="","",TKB_Nhap!D28&amp;CHAR(10)&amp;IF(T(INDEX(PhanCong!$B$3:$I$18,MATCH(TKB_Nhap!D28,PhanCong!$A$3:$A$18,0),MATCH($A28,PhanCong!$B$2:$I$2,0)))="","(chưa PC GV)","GV: "&amp;INDEX(PhanCong!$B$3:$I$18,MATCH(TKB_Nhap!D28,PhanCong!$A$3:$A$18,0),MATCH($A28,PhanCong!$B$2:$I$2,0))))</f>
        <v/>
      </c>
      <c r="E28" s="38">
        <f>IF(TKB_Nhap!E28="","",TKB_Nhap!E28&amp;CHAR(10)&amp;IF(T(INDEX(PhanCong!$B$3:$I$18,MATCH(TKB_Nhap!E28,PhanCong!$A$3:$A$18,0),MATCH($A28,PhanCong!$B$2:$I$2,0)))="","(chưa PC GV)","GV: "&amp;INDEX(PhanCong!$B$3:$I$18,MATCH(TKB_Nhap!E28,PhanCong!$A$3:$A$18,0),MATCH($A28,PhanCong!$B$2:$I$2,0))))</f>
        <v/>
      </c>
      <c r="F28" s="38">
        <f>IF(TKB_Nhap!F28="","",TKB_Nhap!F28&amp;CHAR(10)&amp;IF(T(INDEX(PhanCong!$B$3:$I$18,MATCH(TKB_Nhap!F28,PhanCong!$A$3:$A$18,0),MATCH($A28,PhanCong!$B$2:$I$2,0)))="","(chưa PC GV)","GV: "&amp;INDEX(PhanCong!$B$3:$I$18,MATCH(TKB_Nhap!F28,PhanCong!$A$3:$A$18,0),MATCH($A28,PhanCong!$B$2:$I$2,0))))</f>
        <v/>
      </c>
      <c r="G28" s="38">
        <f>IF(TKB_Nhap!G28="","",TKB_Nhap!G28&amp;CHAR(10)&amp;IF(T(INDEX(PhanCong!$B$3:$I$18,MATCH(TKB_Nhap!G28,PhanCong!$A$3:$A$18,0),MATCH($A28,PhanCong!$B$2:$I$2,0)))="","(chưa PC GV)","GV: "&amp;INDEX(PhanCong!$B$3:$I$18,MATCH(TKB_Nhap!G28,PhanCong!$A$3:$A$18,0),MATCH($A28,PhanCong!$B$2:$I$2,0))))</f>
        <v/>
      </c>
      <c r="H28" s="38">
        <f>IF(TKB_Nhap!H28="","",TKB_Nhap!H28&amp;CHAR(10)&amp;IF(T(INDEX(PhanCong!$B$3:$I$18,MATCH(TKB_Nhap!H28,PhanCong!$A$3:$A$18,0),MATCH($A28,PhanCong!$B$2:$I$2,0)))="","(chưa PC GV)","GV: "&amp;INDEX(PhanCong!$B$3:$I$18,MATCH(TKB_Nhap!H28,PhanCong!$A$3:$A$18,0),MATCH($A28,PhanCong!$B$2:$I$2,0))))</f>
        <v/>
      </c>
      <c r="I28" s="38">
        <f>IF(TKB_Nhap!I28="","",TKB_Nhap!I28&amp;CHAR(10)&amp;IF(T(INDEX(PhanCong!$B$3:$I$18,MATCH(TKB_Nhap!I28,PhanCong!$A$3:$A$18,0),MATCH($A28,PhanCong!$B$2:$I$2,0)))="","(chưa PC GV)","GV: "&amp;INDEX(PhanCong!$B$3:$I$18,MATCH(TKB_Nhap!I28,PhanCong!$A$3:$A$18,0),MATCH($A28,PhanCong!$B$2:$I$2,0))))</f>
        <v/>
      </c>
      <c r="J28" s="38" t="n"/>
    </row>
    <row r="29" ht="27.75" customHeight="1">
      <c r="A29" s="36">
        <f>TKB_Nhap!A29</f>
        <v/>
      </c>
      <c r="B29" s="36">
        <f>TKB_Nhap!B29</f>
        <v/>
      </c>
      <c r="C29" s="36">
        <f>TKB_Nhap!C29</f>
        <v/>
      </c>
      <c r="D29" s="38">
        <f>IF(TKB_Nhap!D29="","",TKB_Nhap!D29&amp;CHAR(10)&amp;IF(T(INDEX(PhanCong!$B$3:$I$18,MATCH(TKB_Nhap!D29,PhanCong!$A$3:$A$18,0),MATCH($A29,PhanCong!$B$2:$I$2,0)))="","(chưa PC GV)","GV: "&amp;INDEX(PhanCong!$B$3:$I$18,MATCH(TKB_Nhap!D29,PhanCong!$A$3:$A$18,0),MATCH($A29,PhanCong!$B$2:$I$2,0))))</f>
        <v/>
      </c>
      <c r="E29" s="38">
        <f>IF(TKB_Nhap!E29="","",TKB_Nhap!E29&amp;CHAR(10)&amp;IF(T(INDEX(PhanCong!$B$3:$I$18,MATCH(TKB_Nhap!E29,PhanCong!$A$3:$A$18,0),MATCH($A29,PhanCong!$B$2:$I$2,0)))="","(chưa PC GV)","GV: "&amp;INDEX(PhanCong!$B$3:$I$18,MATCH(TKB_Nhap!E29,PhanCong!$A$3:$A$18,0),MATCH($A29,PhanCong!$B$2:$I$2,0))))</f>
        <v/>
      </c>
      <c r="F29" s="38">
        <f>IF(TKB_Nhap!F29="","",TKB_Nhap!F29&amp;CHAR(10)&amp;IF(T(INDEX(PhanCong!$B$3:$I$18,MATCH(TKB_Nhap!F29,PhanCong!$A$3:$A$18,0),MATCH($A29,PhanCong!$B$2:$I$2,0)))="","(chưa PC GV)","GV: "&amp;INDEX(PhanCong!$B$3:$I$18,MATCH(TKB_Nhap!F29,PhanCong!$A$3:$A$18,0),MATCH($A29,PhanCong!$B$2:$I$2,0))))</f>
        <v/>
      </c>
      <c r="G29" s="38">
        <f>IF(TKB_Nhap!G29="","",TKB_Nhap!G29&amp;CHAR(10)&amp;IF(T(INDEX(PhanCong!$B$3:$I$18,MATCH(TKB_Nhap!G29,PhanCong!$A$3:$A$18,0),MATCH($A29,PhanCong!$B$2:$I$2,0)))="","(chưa PC GV)","GV: "&amp;INDEX(PhanCong!$B$3:$I$18,MATCH(TKB_Nhap!G29,PhanCong!$A$3:$A$18,0),MATCH($A29,PhanCong!$B$2:$I$2,0))))</f>
        <v/>
      </c>
      <c r="H29" s="38">
        <f>IF(TKB_Nhap!H29="","",TKB_Nhap!H29&amp;CHAR(10)&amp;IF(T(INDEX(PhanCong!$B$3:$I$18,MATCH(TKB_Nhap!H29,PhanCong!$A$3:$A$18,0),MATCH($A29,PhanCong!$B$2:$I$2,0)))="","(chưa PC GV)","GV: "&amp;INDEX(PhanCong!$B$3:$I$18,MATCH(TKB_Nhap!H29,PhanCong!$A$3:$A$18,0),MATCH($A29,PhanCong!$B$2:$I$2,0))))</f>
        <v/>
      </c>
      <c r="I29" s="38">
        <f>IF(TKB_Nhap!I29="","",TKB_Nhap!I29&amp;CHAR(10)&amp;IF(T(INDEX(PhanCong!$B$3:$I$18,MATCH(TKB_Nhap!I29,PhanCong!$A$3:$A$18,0),MATCH($A29,PhanCong!$B$2:$I$2,0)))="","(chưa PC GV)","GV: "&amp;INDEX(PhanCong!$B$3:$I$18,MATCH(TKB_Nhap!I29,PhanCong!$A$3:$A$18,0),MATCH($A29,PhanCong!$B$2:$I$2,0))))</f>
        <v/>
      </c>
      <c r="J29" s="38" t="n"/>
    </row>
    <row r="30" ht="27.75" customHeight="1">
      <c r="A30" s="36">
        <f>TKB_Nhap!A30</f>
        <v/>
      </c>
      <c r="B30" s="36">
        <f>TKB_Nhap!B30</f>
        <v/>
      </c>
      <c r="C30" s="36">
        <f>TKB_Nhap!C30</f>
        <v/>
      </c>
      <c r="D30" s="38">
        <f>IF(TKB_Nhap!D30="","",TKB_Nhap!D30&amp;CHAR(10)&amp;IF(T(INDEX(PhanCong!$B$3:$I$18,MATCH(TKB_Nhap!D30,PhanCong!$A$3:$A$18,0),MATCH($A30,PhanCong!$B$2:$I$2,0)))="","(chưa PC GV)","GV: "&amp;INDEX(PhanCong!$B$3:$I$18,MATCH(TKB_Nhap!D30,PhanCong!$A$3:$A$18,0),MATCH($A30,PhanCong!$B$2:$I$2,0))))</f>
        <v/>
      </c>
      <c r="E30" s="38">
        <f>IF(TKB_Nhap!E30="","",TKB_Nhap!E30&amp;CHAR(10)&amp;IF(T(INDEX(PhanCong!$B$3:$I$18,MATCH(TKB_Nhap!E30,PhanCong!$A$3:$A$18,0),MATCH($A30,PhanCong!$B$2:$I$2,0)))="","(chưa PC GV)","GV: "&amp;INDEX(PhanCong!$B$3:$I$18,MATCH(TKB_Nhap!E30,PhanCong!$A$3:$A$18,0),MATCH($A30,PhanCong!$B$2:$I$2,0))))</f>
        <v/>
      </c>
      <c r="F30" s="38">
        <f>IF(TKB_Nhap!F30="","",TKB_Nhap!F30&amp;CHAR(10)&amp;IF(T(INDEX(PhanCong!$B$3:$I$18,MATCH(TKB_Nhap!F30,PhanCong!$A$3:$A$18,0),MATCH($A30,PhanCong!$B$2:$I$2,0)))="","(chưa PC GV)","GV: "&amp;INDEX(PhanCong!$B$3:$I$18,MATCH(TKB_Nhap!F30,PhanCong!$A$3:$A$18,0),MATCH($A30,PhanCong!$B$2:$I$2,0))))</f>
        <v/>
      </c>
      <c r="G30" s="38">
        <f>IF(TKB_Nhap!G30="","",TKB_Nhap!G30&amp;CHAR(10)&amp;IF(T(INDEX(PhanCong!$B$3:$I$18,MATCH(TKB_Nhap!G30,PhanCong!$A$3:$A$18,0),MATCH($A30,PhanCong!$B$2:$I$2,0)))="","(chưa PC GV)","GV: "&amp;INDEX(PhanCong!$B$3:$I$18,MATCH(TKB_Nhap!G30,PhanCong!$A$3:$A$18,0),MATCH($A30,PhanCong!$B$2:$I$2,0))))</f>
        <v/>
      </c>
      <c r="H30" s="38">
        <f>IF(TKB_Nhap!H30="","",TKB_Nhap!H30&amp;CHAR(10)&amp;IF(T(INDEX(PhanCong!$B$3:$I$18,MATCH(TKB_Nhap!H30,PhanCong!$A$3:$A$18,0),MATCH($A30,PhanCong!$B$2:$I$2,0)))="","(chưa PC GV)","GV: "&amp;INDEX(PhanCong!$B$3:$I$18,MATCH(TKB_Nhap!H30,PhanCong!$A$3:$A$18,0),MATCH($A30,PhanCong!$B$2:$I$2,0))))</f>
        <v/>
      </c>
      <c r="I30" s="38">
        <f>IF(TKB_Nhap!I30="","",TKB_Nhap!I30&amp;CHAR(10)&amp;IF(T(INDEX(PhanCong!$B$3:$I$18,MATCH(TKB_Nhap!I30,PhanCong!$A$3:$A$18,0),MATCH($A30,PhanCong!$B$2:$I$2,0)))="","(chưa PC GV)","GV: "&amp;INDEX(PhanCong!$B$3:$I$18,MATCH(TKB_Nhap!I30,PhanCong!$A$3:$A$18,0),MATCH($A30,PhanCong!$B$2:$I$2,0))))</f>
        <v/>
      </c>
      <c r="J30" s="38" t="n"/>
    </row>
    <row r="31" ht="27.75" customHeight="1">
      <c r="A31" s="36">
        <f>TKB_Nhap!A31</f>
        <v/>
      </c>
      <c r="B31" s="36">
        <f>TKB_Nhap!B31</f>
        <v/>
      </c>
      <c r="C31" s="36">
        <f>TKB_Nhap!C31</f>
        <v/>
      </c>
      <c r="D31" s="38">
        <f>IF(TKB_Nhap!D31="","",TKB_Nhap!D31&amp;CHAR(10)&amp;IF(T(INDEX(PhanCong!$B$3:$I$18,MATCH(TKB_Nhap!D31,PhanCong!$A$3:$A$18,0),MATCH($A31,PhanCong!$B$2:$I$2,0)))="","(chưa PC GV)","GV: "&amp;INDEX(PhanCong!$B$3:$I$18,MATCH(TKB_Nhap!D31,PhanCong!$A$3:$A$18,0),MATCH($A31,PhanCong!$B$2:$I$2,0))))</f>
        <v/>
      </c>
      <c r="E31" s="38">
        <f>IF(TKB_Nhap!E31="","",TKB_Nhap!E31&amp;CHAR(10)&amp;IF(T(INDEX(PhanCong!$B$3:$I$18,MATCH(TKB_Nhap!E31,PhanCong!$A$3:$A$18,0),MATCH($A31,PhanCong!$B$2:$I$2,0)))="","(chưa PC GV)","GV: "&amp;INDEX(PhanCong!$B$3:$I$18,MATCH(TKB_Nhap!E31,PhanCong!$A$3:$A$18,0),MATCH($A31,PhanCong!$B$2:$I$2,0))))</f>
        <v/>
      </c>
      <c r="F31" s="38">
        <f>IF(TKB_Nhap!F31="","",TKB_Nhap!F31&amp;CHAR(10)&amp;IF(T(INDEX(PhanCong!$B$3:$I$18,MATCH(TKB_Nhap!F31,PhanCong!$A$3:$A$18,0),MATCH($A31,PhanCong!$B$2:$I$2,0)))="","(chưa PC GV)","GV: "&amp;INDEX(PhanCong!$B$3:$I$18,MATCH(TKB_Nhap!F31,PhanCong!$A$3:$A$18,0),MATCH($A31,PhanCong!$B$2:$I$2,0))))</f>
        <v/>
      </c>
      <c r="G31" s="38">
        <f>IF(TKB_Nhap!G31="","",TKB_Nhap!G31&amp;CHAR(10)&amp;IF(T(INDEX(PhanCong!$B$3:$I$18,MATCH(TKB_Nhap!G31,PhanCong!$A$3:$A$18,0),MATCH($A31,PhanCong!$B$2:$I$2,0)))="","(chưa PC GV)","GV: "&amp;INDEX(PhanCong!$B$3:$I$18,MATCH(TKB_Nhap!G31,PhanCong!$A$3:$A$18,0),MATCH($A31,PhanCong!$B$2:$I$2,0))))</f>
        <v/>
      </c>
      <c r="H31" s="38">
        <f>IF(TKB_Nhap!H31="","",TKB_Nhap!H31&amp;CHAR(10)&amp;IF(T(INDEX(PhanCong!$B$3:$I$18,MATCH(TKB_Nhap!H31,PhanCong!$A$3:$A$18,0),MATCH($A31,PhanCong!$B$2:$I$2,0)))="","(chưa PC GV)","GV: "&amp;INDEX(PhanCong!$B$3:$I$18,MATCH(TKB_Nhap!H31,PhanCong!$A$3:$A$18,0),MATCH($A31,PhanCong!$B$2:$I$2,0))))</f>
        <v/>
      </c>
      <c r="I31" s="38">
        <f>IF(TKB_Nhap!I31="","",TKB_Nhap!I31&amp;CHAR(10)&amp;IF(T(INDEX(PhanCong!$B$3:$I$18,MATCH(TKB_Nhap!I31,PhanCong!$A$3:$A$18,0),MATCH($A31,PhanCong!$B$2:$I$2,0)))="","(chưa PC GV)","GV: "&amp;INDEX(PhanCong!$B$3:$I$18,MATCH(TKB_Nhap!I31,PhanCong!$A$3:$A$18,0),MATCH($A31,PhanCong!$B$2:$I$2,0))))</f>
        <v/>
      </c>
      <c r="J31" s="38" t="n"/>
    </row>
    <row r="32" ht="27.75" customHeight="1">
      <c r="A32" s="36">
        <f>TKB_Nhap!A32</f>
        <v/>
      </c>
      <c r="B32" s="36">
        <f>TKB_Nhap!B32</f>
        <v/>
      </c>
      <c r="C32" s="36">
        <f>TKB_Nhap!C32</f>
        <v/>
      </c>
      <c r="D32" s="38">
        <f>IF(TKB_Nhap!D32="","",TKB_Nhap!D32&amp;CHAR(10)&amp;IF(T(INDEX(PhanCong!$B$3:$I$18,MATCH(TKB_Nhap!D32,PhanCong!$A$3:$A$18,0),MATCH($A32,PhanCong!$B$2:$I$2,0)))="","(chưa PC GV)","GV: "&amp;INDEX(PhanCong!$B$3:$I$18,MATCH(TKB_Nhap!D32,PhanCong!$A$3:$A$18,0),MATCH($A32,PhanCong!$B$2:$I$2,0))))</f>
        <v/>
      </c>
      <c r="E32" s="38">
        <f>IF(TKB_Nhap!E32="","",TKB_Nhap!E32&amp;CHAR(10)&amp;IF(T(INDEX(PhanCong!$B$3:$I$18,MATCH(TKB_Nhap!E32,PhanCong!$A$3:$A$18,0),MATCH($A32,PhanCong!$B$2:$I$2,0)))="","(chưa PC GV)","GV: "&amp;INDEX(PhanCong!$B$3:$I$18,MATCH(TKB_Nhap!E32,PhanCong!$A$3:$A$18,0),MATCH($A32,PhanCong!$B$2:$I$2,0))))</f>
        <v/>
      </c>
      <c r="F32" s="38">
        <f>IF(TKB_Nhap!F32="","",TKB_Nhap!F32&amp;CHAR(10)&amp;IF(T(INDEX(PhanCong!$B$3:$I$18,MATCH(TKB_Nhap!F32,PhanCong!$A$3:$A$18,0),MATCH($A32,PhanCong!$B$2:$I$2,0)))="","(chưa PC GV)","GV: "&amp;INDEX(PhanCong!$B$3:$I$18,MATCH(TKB_Nhap!F32,PhanCong!$A$3:$A$18,0),MATCH($A32,PhanCong!$B$2:$I$2,0))))</f>
        <v/>
      </c>
      <c r="G32" s="38">
        <f>IF(TKB_Nhap!G32="","",TKB_Nhap!G32&amp;CHAR(10)&amp;IF(T(INDEX(PhanCong!$B$3:$I$18,MATCH(TKB_Nhap!G32,PhanCong!$A$3:$A$18,0),MATCH($A32,PhanCong!$B$2:$I$2,0)))="","(chưa PC GV)","GV: "&amp;INDEX(PhanCong!$B$3:$I$18,MATCH(TKB_Nhap!G32,PhanCong!$A$3:$A$18,0),MATCH($A32,PhanCong!$B$2:$I$2,0))))</f>
        <v/>
      </c>
      <c r="H32" s="38">
        <f>IF(TKB_Nhap!H32="","",TKB_Nhap!H32&amp;CHAR(10)&amp;IF(T(INDEX(PhanCong!$B$3:$I$18,MATCH(TKB_Nhap!H32,PhanCong!$A$3:$A$18,0),MATCH($A32,PhanCong!$B$2:$I$2,0)))="","(chưa PC GV)","GV: "&amp;INDEX(PhanCong!$B$3:$I$18,MATCH(TKB_Nhap!H32,PhanCong!$A$3:$A$18,0),MATCH($A32,PhanCong!$B$2:$I$2,0))))</f>
        <v/>
      </c>
      <c r="I32" s="38">
        <f>IF(TKB_Nhap!I32="","",TKB_Nhap!I32&amp;CHAR(10)&amp;IF(T(INDEX(PhanCong!$B$3:$I$18,MATCH(TKB_Nhap!I32,PhanCong!$A$3:$A$18,0),MATCH($A32,PhanCong!$B$2:$I$2,0)))="","(chưa PC GV)","GV: "&amp;INDEX(PhanCong!$B$3:$I$18,MATCH(TKB_Nhap!I32,PhanCong!$A$3:$A$18,0),MATCH($A32,PhanCong!$B$2:$I$2,0))))</f>
        <v/>
      </c>
      <c r="J32" s="38" t="n"/>
    </row>
    <row r="33" ht="27.75" customHeight="1">
      <c r="A33" s="36">
        <f>TKB_Nhap!A33</f>
        <v/>
      </c>
      <c r="B33" s="36">
        <f>TKB_Nhap!B33</f>
        <v/>
      </c>
      <c r="C33" s="36">
        <f>TKB_Nhap!C33</f>
        <v/>
      </c>
      <c r="D33" s="38">
        <f>IF(TKB_Nhap!D33="","",TKB_Nhap!D33&amp;CHAR(10)&amp;IF(T(INDEX(PhanCong!$B$3:$I$18,MATCH(TKB_Nhap!D33,PhanCong!$A$3:$A$18,0),MATCH($A33,PhanCong!$B$2:$I$2,0)))="","(chưa PC GV)","GV: "&amp;INDEX(PhanCong!$B$3:$I$18,MATCH(TKB_Nhap!D33,PhanCong!$A$3:$A$18,0),MATCH($A33,PhanCong!$B$2:$I$2,0))))</f>
        <v/>
      </c>
      <c r="E33" s="38">
        <f>IF(TKB_Nhap!E33="","",TKB_Nhap!E33&amp;CHAR(10)&amp;IF(T(INDEX(PhanCong!$B$3:$I$18,MATCH(TKB_Nhap!E33,PhanCong!$A$3:$A$18,0),MATCH($A33,PhanCong!$B$2:$I$2,0)))="","(chưa PC GV)","GV: "&amp;INDEX(PhanCong!$B$3:$I$18,MATCH(TKB_Nhap!E33,PhanCong!$A$3:$A$18,0),MATCH($A33,PhanCong!$B$2:$I$2,0))))</f>
        <v/>
      </c>
      <c r="F33" s="38">
        <f>IF(TKB_Nhap!F33="","",TKB_Nhap!F33&amp;CHAR(10)&amp;IF(T(INDEX(PhanCong!$B$3:$I$18,MATCH(TKB_Nhap!F33,PhanCong!$A$3:$A$18,0),MATCH($A33,PhanCong!$B$2:$I$2,0)))="","(chưa PC GV)","GV: "&amp;INDEX(PhanCong!$B$3:$I$18,MATCH(TKB_Nhap!F33,PhanCong!$A$3:$A$18,0),MATCH($A33,PhanCong!$B$2:$I$2,0))))</f>
        <v/>
      </c>
      <c r="G33" s="38">
        <f>IF(TKB_Nhap!G33="","",TKB_Nhap!G33&amp;CHAR(10)&amp;IF(T(INDEX(PhanCong!$B$3:$I$18,MATCH(TKB_Nhap!G33,PhanCong!$A$3:$A$18,0),MATCH($A33,PhanCong!$B$2:$I$2,0)))="","(chưa PC GV)","GV: "&amp;INDEX(PhanCong!$B$3:$I$18,MATCH(TKB_Nhap!G33,PhanCong!$A$3:$A$18,0),MATCH($A33,PhanCong!$B$2:$I$2,0))))</f>
        <v/>
      </c>
      <c r="H33" s="38">
        <f>IF(TKB_Nhap!H33="","",TKB_Nhap!H33&amp;CHAR(10)&amp;IF(T(INDEX(PhanCong!$B$3:$I$18,MATCH(TKB_Nhap!H33,PhanCong!$A$3:$A$18,0),MATCH($A33,PhanCong!$B$2:$I$2,0)))="","(chưa PC GV)","GV: "&amp;INDEX(PhanCong!$B$3:$I$18,MATCH(TKB_Nhap!H33,PhanCong!$A$3:$A$18,0),MATCH($A33,PhanCong!$B$2:$I$2,0))))</f>
        <v/>
      </c>
      <c r="I33" s="38">
        <f>IF(TKB_Nhap!I33="","",TKB_Nhap!I33&amp;CHAR(10)&amp;IF(T(INDEX(PhanCong!$B$3:$I$18,MATCH(TKB_Nhap!I33,PhanCong!$A$3:$A$18,0),MATCH($A33,PhanCong!$B$2:$I$2,0)))="","(chưa PC GV)","GV: "&amp;INDEX(PhanCong!$B$3:$I$18,MATCH(TKB_Nhap!I33,PhanCong!$A$3:$A$18,0),MATCH($A33,PhanCong!$B$2:$I$2,0))))</f>
        <v/>
      </c>
      <c r="J33" s="38" t="n"/>
    </row>
    <row r="34" ht="27.75" customHeight="1">
      <c r="A34" s="30">
        <f>TKB_Nhap!A34</f>
        <v/>
      </c>
      <c r="B34" s="30">
        <f>TKB_Nhap!B34</f>
        <v/>
      </c>
      <c r="C34" s="30">
        <f>TKB_Nhap!C34</f>
        <v/>
      </c>
      <c r="D34" s="26">
        <f>IF(TKB_Nhap!D34="","",TKB_Nhap!D34&amp;CHAR(10)&amp;IF(T(INDEX(PhanCong!$B$3:$I$18,MATCH(TKB_Nhap!D34,PhanCong!$A$3:$A$18,0),MATCH($A34,PhanCong!$B$2:$I$2,0)))="","(chưa PC GV)","GV: "&amp;INDEX(PhanCong!$B$3:$I$18,MATCH(TKB_Nhap!D34,PhanCong!$A$3:$A$18,0),MATCH($A34,PhanCong!$B$2:$I$2,0))))</f>
        <v/>
      </c>
      <c r="E34" s="26">
        <f>IF(TKB_Nhap!E34="","",TKB_Nhap!E34&amp;CHAR(10)&amp;IF(T(INDEX(PhanCong!$B$3:$I$18,MATCH(TKB_Nhap!E34,PhanCong!$A$3:$A$18,0),MATCH($A34,PhanCong!$B$2:$I$2,0)))="","(chưa PC GV)","GV: "&amp;INDEX(PhanCong!$B$3:$I$18,MATCH(TKB_Nhap!E34,PhanCong!$A$3:$A$18,0),MATCH($A34,PhanCong!$B$2:$I$2,0))))</f>
        <v/>
      </c>
      <c r="F34" s="26">
        <f>IF(TKB_Nhap!F34="","",TKB_Nhap!F34&amp;CHAR(10)&amp;IF(T(INDEX(PhanCong!$B$3:$I$18,MATCH(TKB_Nhap!F34,PhanCong!$A$3:$A$18,0),MATCH($A34,PhanCong!$B$2:$I$2,0)))="","(chưa PC GV)","GV: "&amp;INDEX(PhanCong!$B$3:$I$18,MATCH(TKB_Nhap!F34,PhanCong!$A$3:$A$18,0),MATCH($A34,PhanCong!$B$2:$I$2,0))))</f>
        <v/>
      </c>
      <c r="G34" s="26">
        <f>IF(TKB_Nhap!G34="","",TKB_Nhap!G34&amp;CHAR(10)&amp;IF(T(INDEX(PhanCong!$B$3:$I$18,MATCH(TKB_Nhap!G34,PhanCong!$A$3:$A$18,0),MATCH($A34,PhanCong!$B$2:$I$2,0)))="","(chưa PC GV)","GV: "&amp;INDEX(PhanCong!$B$3:$I$18,MATCH(TKB_Nhap!G34,PhanCong!$A$3:$A$18,0),MATCH($A34,PhanCong!$B$2:$I$2,0))))</f>
        <v/>
      </c>
      <c r="H34" s="26">
        <f>IF(TKB_Nhap!H34="","",TKB_Nhap!H34&amp;CHAR(10)&amp;IF(T(INDEX(PhanCong!$B$3:$I$18,MATCH(TKB_Nhap!H34,PhanCong!$A$3:$A$18,0),MATCH($A34,PhanCong!$B$2:$I$2,0)))="","(chưa PC GV)","GV: "&amp;INDEX(PhanCong!$B$3:$I$18,MATCH(TKB_Nhap!H34,PhanCong!$A$3:$A$18,0),MATCH($A34,PhanCong!$B$2:$I$2,0))))</f>
        <v/>
      </c>
      <c r="I34" s="26">
        <f>IF(TKB_Nhap!I34="","",TKB_Nhap!I34&amp;CHAR(10)&amp;IF(T(INDEX(PhanCong!$B$3:$I$18,MATCH(TKB_Nhap!I34,PhanCong!$A$3:$A$18,0),MATCH($A34,PhanCong!$B$2:$I$2,0)))="","(chưa PC GV)","GV: "&amp;INDEX(PhanCong!$B$3:$I$18,MATCH(TKB_Nhap!I34,PhanCong!$A$3:$A$18,0),MATCH($A34,PhanCong!$B$2:$I$2,0))))</f>
        <v/>
      </c>
      <c r="J34" s="26" t="n"/>
    </row>
    <row r="35" ht="27.75" customHeight="1">
      <c r="A35" s="30">
        <f>TKB_Nhap!A35</f>
        <v/>
      </c>
      <c r="B35" s="30">
        <f>TKB_Nhap!B35</f>
        <v/>
      </c>
      <c r="C35" s="30">
        <f>TKB_Nhap!C35</f>
        <v/>
      </c>
      <c r="D35" s="26">
        <f>IF(TKB_Nhap!D35="","",TKB_Nhap!D35&amp;CHAR(10)&amp;IF(T(INDEX(PhanCong!$B$3:$I$18,MATCH(TKB_Nhap!D35,PhanCong!$A$3:$A$18,0),MATCH($A35,PhanCong!$B$2:$I$2,0)))="","(chưa PC GV)","GV: "&amp;INDEX(PhanCong!$B$3:$I$18,MATCH(TKB_Nhap!D35,PhanCong!$A$3:$A$18,0),MATCH($A35,PhanCong!$B$2:$I$2,0))))</f>
        <v/>
      </c>
      <c r="E35" s="26">
        <f>IF(TKB_Nhap!E35="","",TKB_Nhap!E35&amp;CHAR(10)&amp;IF(T(INDEX(PhanCong!$B$3:$I$18,MATCH(TKB_Nhap!E35,PhanCong!$A$3:$A$18,0),MATCH($A35,PhanCong!$B$2:$I$2,0)))="","(chưa PC GV)","GV: "&amp;INDEX(PhanCong!$B$3:$I$18,MATCH(TKB_Nhap!E35,PhanCong!$A$3:$A$18,0),MATCH($A35,PhanCong!$B$2:$I$2,0))))</f>
        <v/>
      </c>
      <c r="F35" s="26">
        <f>IF(TKB_Nhap!F35="","",TKB_Nhap!F35&amp;CHAR(10)&amp;IF(T(INDEX(PhanCong!$B$3:$I$18,MATCH(TKB_Nhap!F35,PhanCong!$A$3:$A$18,0),MATCH($A35,PhanCong!$B$2:$I$2,0)))="","(chưa PC GV)","GV: "&amp;INDEX(PhanCong!$B$3:$I$18,MATCH(TKB_Nhap!F35,PhanCong!$A$3:$A$18,0),MATCH($A35,PhanCong!$B$2:$I$2,0))))</f>
        <v/>
      </c>
      <c r="G35" s="26">
        <f>IF(TKB_Nhap!G35="","",TKB_Nhap!G35&amp;CHAR(10)&amp;IF(T(INDEX(PhanCong!$B$3:$I$18,MATCH(TKB_Nhap!G35,PhanCong!$A$3:$A$18,0),MATCH($A35,PhanCong!$B$2:$I$2,0)))="","(chưa PC GV)","GV: "&amp;INDEX(PhanCong!$B$3:$I$18,MATCH(TKB_Nhap!G35,PhanCong!$A$3:$A$18,0),MATCH($A35,PhanCong!$B$2:$I$2,0))))</f>
        <v/>
      </c>
      <c r="H35" s="26">
        <f>IF(TKB_Nhap!H35="","",TKB_Nhap!H35&amp;CHAR(10)&amp;IF(T(INDEX(PhanCong!$B$3:$I$18,MATCH(TKB_Nhap!H35,PhanCong!$A$3:$A$18,0),MATCH($A35,PhanCong!$B$2:$I$2,0)))="","(chưa PC GV)","GV: "&amp;INDEX(PhanCong!$B$3:$I$18,MATCH(TKB_Nhap!H35,PhanCong!$A$3:$A$18,0),MATCH($A35,PhanCong!$B$2:$I$2,0))))</f>
        <v/>
      </c>
      <c r="I35" s="26">
        <f>IF(TKB_Nhap!I35="","",TKB_Nhap!I35&amp;CHAR(10)&amp;IF(T(INDEX(PhanCong!$B$3:$I$18,MATCH(TKB_Nhap!I35,PhanCong!$A$3:$A$18,0),MATCH($A35,PhanCong!$B$2:$I$2,0)))="","(chưa PC GV)","GV: "&amp;INDEX(PhanCong!$B$3:$I$18,MATCH(TKB_Nhap!I35,PhanCong!$A$3:$A$18,0),MATCH($A35,PhanCong!$B$2:$I$2,0))))</f>
        <v/>
      </c>
      <c r="J35" s="26" t="n"/>
    </row>
    <row r="36" ht="27.75" customHeight="1">
      <c r="A36" s="30">
        <f>TKB_Nhap!A36</f>
        <v/>
      </c>
      <c r="B36" s="30">
        <f>TKB_Nhap!B36</f>
        <v/>
      </c>
      <c r="C36" s="30">
        <f>TKB_Nhap!C36</f>
        <v/>
      </c>
      <c r="D36" s="26">
        <f>IF(TKB_Nhap!D36="","",TKB_Nhap!D36&amp;CHAR(10)&amp;IF(T(INDEX(PhanCong!$B$3:$I$18,MATCH(TKB_Nhap!D36,PhanCong!$A$3:$A$18,0),MATCH($A36,PhanCong!$B$2:$I$2,0)))="","(chưa PC GV)","GV: "&amp;INDEX(PhanCong!$B$3:$I$18,MATCH(TKB_Nhap!D36,PhanCong!$A$3:$A$18,0),MATCH($A36,PhanCong!$B$2:$I$2,0))))</f>
        <v/>
      </c>
      <c r="E36" s="26">
        <f>IF(TKB_Nhap!E36="","",TKB_Nhap!E36&amp;CHAR(10)&amp;IF(T(INDEX(PhanCong!$B$3:$I$18,MATCH(TKB_Nhap!E36,PhanCong!$A$3:$A$18,0),MATCH($A36,PhanCong!$B$2:$I$2,0)))="","(chưa PC GV)","GV: "&amp;INDEX(PhanCong!$B$3:$I$18,MATCH(TKB_Nhap!E36,PhanCong!$A$3:$A$18,0),MATCH($A36,PhanCong!$B$2:$I$2,0))))</f>
        <v/>
      </c>
      <c r="F36" s="26">
        <f>IF(TKB_Nhap!F36="","",TKB_Nhap!F36&amp;CHAR(10)&amp;IF(T(INDEX(PhanCong!$B$3:$I$18,MATCH(TKB_Nhap!F36,PhanCong!$A$3:$A$18,0),MATCH($A36,PhanCong!$B$2:$I$2,0)))="","(chưa PC GV)","GV: "&amp;INDEX(PhanCong!$B$3:$I$18,MATCH(TKB_Nhap!F36,PhanCong!$A$3:$A$18,0),MATCH($A36,PhanCong!$B$2:$I$2,0))))</f>
        <v/>
      </c>
      <c r="G36" s="26">
        <f>IF(TKB_Nhap!G36="","",TKB_Nhap!G36&amp;CHAR(10)&amp;IF(T(INDEX(PhanCong!$B$3:$I$18,MATCH(TKB_Nhap!G36,PhanCong!$A$3:$A$18,0),MATCH($A36,PhanCong!$B$2:$I$2,0)))="","(chưa PC GV)","GV: "&amp;INDEX(PhanCong!$B$3:$I$18,MATCH(TKB_Nhap!G36,PhanCong!$A$3:$A$18,0),MATCH($A36,PhanCong!$B$2:$I$2,0))))</f>
        <v/>
      </c>
      <c r="H36" s="26">
        <f>IF(TKB_Nhap!H36="","",TKB_Nhap!H36&amp;CHAR(10)&amp;IF(T(INDEX(PhanCong!$B$3:$I$18,MATCH(TKB_Nhap!H36,PhanCong!$A$3:$A$18,0),MATCH($A36,PhanCong!$B$2:$I$2,0)))="","(chưa PC GV)","GV: "&amp;INDEX(PhanCong!$B$3:$I$18,MATCH(TKB_Nhap!H36,PhanCong!$A$3:$A$18,0),MATCH($A36,PhanCong!$B$2:$I$2,0))))</f>
        <v/>
      </c>
      <c r="I36" s="26">
        <f>IF(TKB_Nhap!I36="","",TKB_Nhap!I36&amp;CHAR(10)&amp;IF(T(INDEX(PhanCong!$B$3:$I$18,MATCH(TKB_Nhap!I36,PhanCong!$A$3:$A$18,0),MATCH($A36,PhanCong!$B$2:$I$2,0)))="","(chưa PC GV)","GV: "&amp;INDEX(PhanCong!$B$3:$I$18,MATCH(TKB_Nhap!I36,PhanCong!$A$3:$A$18,0),MATCH($A36,PhanCong!$B$2:$I$2,0))))</f>
        <v/>
      </c>
      <c r="J36" s="26" t="n"/>
    </row>
    <row r="37" ht="27.75" customHeight="1">
      <c r="A37" s="30">
        <f>TKB_Nhap!A37</f>
        <v/>
      </c>
      <c r="B37" s="30">
        <f>TKB_Nhap!B37</f>
        <v/>
      </c>
      <c r="C37" s="30">
        <f>TKB_Nhap!C37</f>
        <v/>
      </c>
      <c r="D37" s="26">
        <f>IF(TKB_Nhap!D37="","",TKB_Nhap!D37&amp;CHAR(10)&amp;IF(T(INDEX(PhanCong!$B$3:$I$18,MATCH(TKB_Nhap!D37,PhanCong!$A$3:$A$18,0),MATCH($A37,PhanCong!$B$2:$I$2,0)))="","(chưa PC GV)","GV: "&amp;INDEX(PhanCong!$B$3:$I$18,MATCH(TKB_Nhap!D37,PhanCong!$A$3:$A$18,0),MATCH($A37,PhanCong!$B$2:$I$2,0))))</f>
        <v/>
      </c>
      <c r="E37" s="26">
        <f>IF(TKB_Nhap!E37="","",TKB_Nhap!E37&amp;CHAR(10)&amp;IF(T(INDEX(PhanCong!$B$3:$I$18,MATCH(TKB_Nhap!E37,PhanCong!$A$3:$A$18,0),MATCH($A37,PhanCong!$B$2:$I$2,0)))="","(chưa PC GV)","GV: "&amp;INDEX(PhanCong!$B$3:$I$18,MATCH(TKB_Nhap!E37,PhanCong!$A$3:$A$18,0),MATCH($A37,PhanCong!$B$2:$I$2,0))))</f>
        <v/>
      </c>
      <c r="F37" s="26">
        <f>IF(TKB_Nhap!F37="","",TKB_Nhap!F37&amp;CHAR(10)&amp;IF(T(INDEX(PhanCong!$B$3:$I$18,MATCH(TKB_Nhap!F37,PhanCong!$A$3:$A$18,0),MATCH($A37,PhanCong!$B$2:$I$2,0)))="","(chưa PC GV)","GV: "&amp;INDEX(PhanCong!$B$3:$I$18,MATCH(TKB_Nhap!F37,PhanCong!$A$3:$A$18,0),MATCH($A37,PhanCong!$B$2:$I$2,0))))</f>
        <v/>
      </c>
      <c r="G37" s="26">
        <f>IF(TKB_Nhap!G37="","",TKB_Nhap!G37&amp;CHAR(10)&amp;IF(T(INDEX(PhanCong!$B$3:$I$18,MATCH(TKB_Nhap!G37,PhanCong!$A$3:$A$18,0),MATCH($A37,PhanCong!$B$2:$I$2,0)))="","(chưa PC GV)","GV: "&amp;INDEX(PhanCong!$B$3:$I$18,MATCH(TKB_Nhap!G37,PhanCong!$A$3:$A$18,0),MATCH($A37,PhanCong!$B$2:$I$2,0))))</f>
        <v/>
      </c>
      <c r="H37" s="26">
        <f>IF(TKB_Nhap!H37="","",TKB_Nhap!H37&amp;CHAR(10)&amp;IF(T(INDEX(PhanCong!$B$3:$I$18,MATCH(TKB_Nhap!H37,PhanCong!$A$3:$A$18,0),MATCH($A37,PhanCong!$B$2:$I$2,0)))="","(chưa PC GV)","GV: "&amp;INDEX(PhanCong!$B$3:$I$18,MATCH(TKB_Nhap!H37,PhanCong!$A$3:$A$18,0),MATCH($A37,PhanCong!$B$2:$I$2,0))))</f>
        <v/>
      </c>
      <c r="I37" s="26">
        <f>IF(TKB_Nhap!I37="","",TKB_Nhap!I37&amp;CHAR(10)&amp;IF(T(INDEX(PhanCong!$B$3:$I$18,MATCH(TKB_Nhap!I37,PhanCong!$A$3:$A$18,0),MATCH($A37,PhanCong!$B$2:$I$2,0)))="","(chưa PC GV)","GV: "&amp;INDEX(PhanCong!$B$3:$I$18,MATCH(TKB_Nhap!I37,PhanCong!$A$3:$A$18,0),MATCH($A37,PhanCong!$B$2:$I$2,0))))</f>
        <v/>
      </c>
      <c r="J37" s="26" t="n"/>
    </row>
    <row r="38" ht="27.75" customHeight="1">
      <c r="A38" s="30">
        <f>TKB_Nhap!A38</f>
        <v/>
      </c>
      <c r="B38" s="30">
        <f>TKB_Nhap!B38</f>
        <v/>
      </c>
      <c r="C38" s="30">
        <f>TKB_Nhap!C38</f>
        <v/>
      </c>
      <c r="D38" s="26">
        <f>IF(TKB_Nhap!D38="","",TKB_Nhap!D38&amp;CHAR(10)&amp;IF(T(INDEX(PhanCong!$B$3:$I$18,MATCH(TKB_Nhap!D38,PhanCong!$A$3:$A$18,0),MATCH($A38,PhanCong!$B$2:$I$2,0)))="","(chưa PC GV)","GV: "&amp;INDEX(PhanCong!$B$3:$I$18,MATCH(TKB_Nhap!D38,PhanCong!$A$3:$A$18,0),MATCH($A38,PhanCong!$B$2:$I$2,0))))</f>
        <v/>
      </c>
      <c r="E38" s="26">
        <f>IF(TKB_Nhap!E38="","",TKB_Nhap!E38&amp;CHAR(10)&amp;IF(T(INDEX(PhanCong!$B$3:$I$18,MATCH(TKB_Nhap!E38,PhanCong!$A$3:$A$18,0),MATCH($A38,PhanCong!$B$2:$I$2,0)))="","(chưa PC GV)","GV: "&amp;INDEX(PhanCong!$B$3:$I$18,MATCH(TKB_Nhap!E38,PhanCong!$A$3:$A$18,0),MATCH($A38,PhanCong!$B$2:$I$2,0))))</f>
        <v/>
      </c>
      <c r="F38" s="26">
        <f>IF(TKB_Nhap!F38="","",TKB_Nhap!F38&amp;CHAR(10)&amp;IF(T(INDEX(PhanCong!$B$3:$I$18,MATCH(TKB_Nhap!F38,PhanCong!$A$3:$A$18,0),MATCH($A38,PhanCong!$B$2:$I$2,0)))="","(chưa PC GV)","GV: "&amp;INDEX(PhanCong!$B$3:$I$18,MATCH(TKB_Nhap!F38,PhanCong!$A$3:$A$18,0),MATCH($A38,PhanCong!$B$2:$I$2,0))))</f>
        <v/>
      </c>
      <c r="G38" s="26">
        <f>IF(TKB_Nhap!G38="","",TKB_Nhap!G38&amp;CHAR(10)&amp;IF(T(INDEX(PhanCong!$B$3:$I$18,MATCH(TKB_Nhap!G38,PhanCong!$A$3:$A$18,0),MATCH($A38,PhanCong!$B$2:$I$2,0)))="","(chưa PC GV)","GV: "&amp;INDEX(PhanCong!$B$3:$I$18,MATCH(TKB_Nhap!G38,PhanCong!$A$3:$A$18,0),MATCH($A38,PhanCong!$B$2:$I$2,0))))</f>
        <v/>
      </c>
      <c r="H38" s="26">
        <f>IF(TKB_Nhap!H38="","",TKB_Nhap!H38&amp;CHAR(10)&amp;IF(T(INDEX(PhanCong!$B$3:$I$18,MATCH(TKB_Nhap!H38,PhanCong!$A$3:$A$18,0),MATCH($A38,PhanCong!$B$2:$I$2,0)))="","(chưa PC GV)","GV: "&amp;INDEX(PhanCong!$B$3:$I$18,MATCH(TKB_Nhap!H38,PhanCong!$A$3:$A$18,0),MATCH($A38,PhanCong!$B$2:$I$2,0))))</f>
        <v/>
      </c>
      <c r="I38" s="26">
        <f>IF(TKB_Nhap!I38="","",TKB_Nhap!I38&amp;CHAR(10)&amp;IF(T(INDEX(PhanCong!$B$3:$I$18,MATCH(TKB_Nhap!I38,PhanCong!$A$3:$A$18,0),MATCH($A38,PhanCong!$B$2:$I$2,0)))="","(chưa PC GV)","GV: "&amp;INDEX(PhanCong!$B$3:$I$18,MATCH(TKB_Nhap!I38,PhanCong!$A$3:$A$18,0),MATCH($A38,PhanCong!$B$2:$I$2,0))))</f>
        <v/>
      </c>
      <c r="J38" s="26" t="n"/>
    </row>
    <row r="39" ht="27.75" customHeight="1">
      <c r="A39" s="30">
        <f>TKB_Nhap!A39</f>
        <v/>
      </c>
      <c r="B39" s="30">
        <f>TKB_Nhap!B39</f>
        <v/>
      </c>
      <c r="C39" s="30">
        <f>TKB_Nhap!C39</f>
        <v/>
      </c>
      <c r="D39" s="26">
        <f>IF(TKB_Nhap!D39="","",TKB_Nhap!D39&amp;CHAR(10)&amp;IF(T(INDEX(PhanCong!$B$3:$I$18,MATCH(TKB_Nhap!D39,PhanCong!$A$3:$A$18,0),MATCH($A39,PhanCong!$B$2:$I$2,0)))="","(chưa PC GV)","GV: "&amp;INDEX(PhanCong!$B$3:$I$18,MATCH(TKB_Nhap!D39,PhanCong!$A$3:$A$18,0),MATCH($A39,PhanCong!$B$2:$I$2,0))))</f>
        <v/>
      </c>
      <c r="E39" s="26">
        <f>IF(TKB_Nhap!E39="","",TKB_Nhap!E39&amp;CHAR(10)&amp;IF(T(INDEX(PhanCong!$B$3:$I$18,MATCH(TKB_Nhap!E39,PhanCong!$A$3:$A$18,0),MATCH($A39,PhanCong!$B$2:$I$2,0)))="","(chưa PC GV)","GV: "&amp;INDEX(PhanCong!$B$3:$I$18,MATCH(TKB_Nhap!E39,PhanCong!$A$3:$A$18,0),MATCH($A39,PhanCong!$B$2:$I$2,0))))</f>
        <v/>
      </c>
      <c r="F39" s="26">
        <f>IF(TKB_Nhap!F39="","",TKB_Nhap!F39&amp;CHAR(10)&amp;IF(T(INDEX(PhanCong!$B$3:$I$18,MATCH(TKB_Nhap!F39,PhanCong!$A$3:$A$18,0),MATCH($A39,PhanCong!$B$2:$I$2,0)))="","(chưa PC GV)","GV: "&amp;INDEX(PhanCong!$B$3:$I$18,MATCH(TKB_Nhap!F39,PhanCong!$A$3:$A$18,0),MATCH($A39,PhanCong!$B$2:$I$2,0))))</f>
        <v/>
      </c>
      <c r="G39" s="26">
        <f>IF(TKB_Nhap!G39="","",TKB_Nhap!G39&amp;CHAR(10)&amp;IF(T(INDEX(PhanCong!$B$3:$I$18,MATCH(TKB_Nhap!G39,PhanCong!$A$3:$A$18,0),MATCH($A39,PhanCong!$B$2:$I$2,0)))="","(chưa PC GV)","GV: "&amp;INDEX(PhanCong!$B$3:$I$18,MATCH(TKB_Nhap!G39,PhanCong!$A$3:$A$18,0),MATCH($A39,PhanCong!$B$2:$I$2,0))))</f>
        <v/>
      </c>
      <c r="H39" s="26">
        <f>IF(TKB_Nhap!H39="","",TKB_Nhap!H39&amp;CHAR(10)&amp;IF(T(INDEX(PhanCong!$B$3:$I$18,MATCH(TKB_Nhap!H39,PhanCong!$A$3:$A$18,0),MATCH($A39,PhanCong!$B$2:$I$2,0)))="","(chưa PC GV)","GV: "&amp;INDEX(PhanCong!$B$3:$I$18,MATCH(TKB_Nhap!H39,PhanCong!$A$3:$A$18,0),MATCH($A39,PhanCong!$B$2:$I$2,0))))</f>
        <v/>
      </c>
      <c r="I39" s="26">
        <f>IF(TKB_Nhap!I39="","",TKB_Nhap!I39&amp;CHAR(10)&amp;IF(T(INDEX(PhanCong!$B$3:$I$18,MATCH(TKB_Nhap!I39,PhanCong!$A$3:$A$18,0),MATCH($A39,PhanCong!$B$2:$I$2,0)))="","(chưa PC GV)","GV: "&amp;INDEX(PhanCong!$B$3:$I$18,MATCH(TKB_Nhap!I39,PhanCong!$A$3:$A$18,0),MATCH($A39,PhanCong!$B$2:$I$2,0))))</f>
        <v/>
      </c>
      <c r="J39" s="26" t="n"/>
    </row>
    <row r="40" ht="27.75" customHeight="1">
      <c r="A40" s="30">
        <f>TKB_Nhap!A40</f>
        <v/>
      </c>
      <c r="B40" s="30">
        <f>TKB_Nhap!B40</f>
        <v/>
      </c>
      <c r="C40" s="30">
        <f>TKB_Nhap!C40</f>
        <v/>
      </c>
      <c r="D40" s="26">
        <f>IF(TKB_Nhap!D40="","",TKB_Nhap!D40&amp;CHAR(10)&amp;IF(T(INDEX(PhanCong!$B$3:$I$18,MATCH(TKB_Nhap!D40,PhanCong!$A$3:$A$18,0),MATCH($A40,PhanCong!$B$2:$I$2,0)))="","(chưa PC GV)","GV: "&amp;INDEX(PhanCong!$B$3:$I$18,MATCH(TKB_Nhap!D40,PhanCong!$A$3:$A$18,0),MATCH($A40,PhanCong!$B$2:$I$2,0))))</f>
        <v/>
      </c>
      <c r="E40" s="26">
        <f>IF(TKB_Nhap!E40="","",TKB_Nhap!E40&amp;CHAR(10)&amp;IF(T(INDEX(PhanCong!$B$3:$I$18,MATCH(TKB_Nhap!E40,PhanCong!$A$3:$A$18,0),MATCH($A40,PhanCong!$B$2:$I$2,0)))="","(chưa PC GV)","GV: "&amp;INDEX(PhanCong!$B$3:$I$18,MATCH(TKB_Nhap!E40,PhanCong!$A$3:$A$18,0),MATCH($A40,PhanCong!$B$2:$I$2,0))))</f>
        <v/>
      </c>
      <c r="F40" s="26">
        <f>IF(TKB_Nhap!F40="","",TKB_Nhap!F40&amp;CHAR(10)&amp;IF(T(INDEX(PhanCong!$B$3:$I$18,MATCH(TKB_Nhap!F40,PhanCong!$A$3:$A$18,0),MATCH($A40,PhanCong!$B$2:$I$2,0)))="","(chưa PC GV)","GV: "&amp;INDEX(PhanCong!$B$3:$I$18,MATCH(TKB_Nhap!F40,PhanCong!$A$3:$A$18,0),MATCH($A40,PhanCong!$B$2:$I$2,0))))</f>
        <v/>
      </c>
      <c r="G40" s="26">
        <f>IF(TKB_Nhap!G40="","",TKB_Nhap!G40&amp;CHAR(10)&amp;IF(T(INDEX(PhanCong!$B$3:$I$18,MATCH(TKB_Nhap!G40,PhanCong!$A$3:$A$18,0),MATCH($A40,PhanCong!$B$2:$I$2,0)))="","(chưa PC GV)","GV: "&amp;INDEX(PhanCong!$B$3:$I$18,MATCH(TKB_Nhap!G40,PhanCong!$A$3:$A$18,0),MATCH($A40,PhanCong!$B$2:$I$2,0))))</f>
        <v/>
      </c>
      <c r="H40" s="26">
        <f>IF(TKB_Nhap!H40="","",TKB_Nhap!H40&amp;CHAR(10)&amp;IF(T(INDEX(PhanCong!$B$3:$I$18,MATCH(TKB_Nhap!H40,PhanCong!$A$3:$A$18,0),MATCH($A40,PhanCong!$B$2:$I$2,0)))="","(chưa PC GV)","GV: "&amp;INDEX(PhanCong!$B$3:$I$18,MATCH(TKB_Nhap!H40,PhanCong!$A$3:$A$18,0),MATCH($A40,PhanCong!$B$2:$I$2,0))))</f>
        <v/>
      </c>
      <c r="I40" s="26">
        <f>IF(TKB_Nhap!I40="","",TKB_Nhap!I40&amp;CHAR(10)&amp;IF(T(INDEX(PhanCong!$B$3:$I$18,MATCH(TKB_Nhap!I40,PhanCong!$A$3:$A$18,0),MATCH($A40,PhanCong!$B$2:$I$2,0)))="","(chưa PC GV)","GV: "&amp;INDEX(PhanCong!$B$3:$I$18,MATCH(TKB_Nhap!I40,PhanCong!$A$3:$A$18,0),MATCH($A40,PhanCong!$B$2:$I$2,0))))</f>
        <v/>
      </c>
      <c r="J40" s="26" t="n"/>
    </row>
    <row r="41" ht="27.75" customHeight="1">
      <c r="A41" s="30">
        <f>TKB_Nhap!A41</f>
        <v/>
      </c>
      <c r="B41" s="30">
        <f>TKB_Nhap!B41</f>
        <v/>
      </c>
      <c r="C41" s="30">
        <f>TKB_Nhap!C41</f>
        <v/>
      </c>
      <c r="D41" s="26">
        <f>IF(TKB_Nhap!D41="","",TKB_Nhap!D41&amp;CHAR(10)&amp;IF(T(INDEX(PhanCong!$B$3:$I$18,MATCH(TKB_Nhap!D41,PhanCong!$A$3:$A$18,0),MATCH($A41,PhanCong!$B$2:$I$2,0)))="","(chưa PC GV)","GV: "&amp;INDEX(PhanCong!$B$3:$I$18,MATCH(TKB_Nhap!D41,PhanCong!$A$3:$A$18,0),MATCH($A41,PhanCong!$B$2:$I$2,0))))</f>
        <v/>
      </c>
      <c r="E41" s="26">
        <f>IF(TKB_Nhap!E41="","",TKB_Nhap!E41&amp;CHAR(10)&amp;IF(T(INDEX(PhanCong!$B$3:$I$18,MATCH(TKB_Nhap!E41,PhanCong!$A$3:$A$18,0),MATCH($A41,PhanCong!$B$2:$I$2,0)))="","(chưa PC GV)","GV: "&amp;INDEX(PhanCong!$B$3:$I$18,MATCH(TKB_Nhap!E41,PhanCong!$A$3:$A$18,0),MATCH($A41,PhanCong!$B$2:$I$2,0))))</f>
        <v/>
      </c>
      <c r="F41" s="26">
        <f>IF(TKB_Nhap!F41="","",TKB_Nhap!F41&amp;CHAR(10)&amp;IF(T(INDEX(PhanCong!$B$3:$I$18,MATCH(TKB_Nhap!F41,PhanCong!$A$3:$A$18,0),MATCH($A41,PhanCong!$B$2:$I$2,0)))="","(chưa PC GV)","GV: "&amp;INDEX(PhanCong!$B$3:$I$18,MATCH(TKB_Nhap!F41,PhanCong!$A$3:$A$18,0),MATCH($A41,PhanCong!$B$2:$I$2,0))))</f>
        <v/>
      </c>
      <c r="G41" s="26">
        <f>IF(TKB_Nhap!G41="","",TKB_Nhap!G41&amp;CHAR(10)&amp;IF(T(INDEX(PhanCong!$B$3:$I$18,MATCH(TKB_Nhap!G41,PhanCong!$A$3:$A$18,0),MATCH($A41,PhanCong!$B$2:$I$2,0)))="","(chưa PC GV)","GV: "&amp;INDEX(PhanCong!$B$3:$I$18,MATCH(TKB_Nhap!G41,PhanCong!$A$3:$A$18,0),MATCH($A41,PhanCong!$B$2:$I$2,0))))</f>
        <v/>
      </c>
      <c r="H41" s="26">
        <f>IF(TKB_Nhap!H41="","",TKB_Nhap!H41&amp;CHAR(10)&amp;IF(T(INDEX(PhanCong!$B$3:$I$18,MATCH(TKB_Nhap!H41,PhanCong!$A$3:$A$18,0),MATCH($A41,PhanCong!$B$2:$I$2,0)))="","(chưa PC GV)","GV: "&amp;INDEX(PhanCong!$B$3:$I$18,MATCH(TKB_Nhap!H41,PhanCong!$A$3:$A$18,0),MATCH($A41,PhanCong!$B$2:$I$2,0))))</f>
        <v/>
      </c>
      <c r="I41" s="26">
        <f>IF(TKB_Nhap!I41="","",TKB_Nhap!I41&amp;CHAR(10)&amp;IF(T(INDEX(PhanCong!$B$3:$I$18,MATCH(TKB_Nhap!I41,PhanCong!$A$3:$A$18,0),MATCH($A41,PhanCong!$B$2:$I$2,0)))="","(chưa PC GV)","GV: "&amp;INDEX(PhanCong!$B$3:$I$18,MATCH(TKB_Nhap!I41,PhanCong!$A$3:$A$18,0),MATCH($A41,PhanCong!$B$2:$I$2,0))))</f>
        <v/>
      </c>
      <c r="J41" s="26" t="n"/>
    </row>
    <row r="42" ht="27.75" customHeight="1">
      <c r="A42" s="36">
        <f>TKB_Nhap!A42</f>
        <v/>
      </c>
      <c r="B42" s="36">
        <f>TKB_Nhap!B42</f>
        <v/>
      </c>
      <c r="C42" s="36">
        <f>TKB_Nhap!C42</f>
        <v/>
      </c>
      <c r="D42" s="38">
        <f>IF(TKB_Nhap!D42="","",TKB_Nhap!D42&amp;CHAR(10)&amp;IF(T(INDEX(PhanCong!$B$3:$I$18,MATCH(TKB_Nhap!D42,PhanCong!$A$3:$A$18,0),MATCH($A42,PhanCong!$B$2:$I$2,0)))="","(chưa PC GV)","GV: "&amp;INDEX(PhanCong!$B$3:$I$18,MATCH(TKB_Nhap!D42,PhanCong!$A$3:$A$18,0),MATCH($A42,PhanCong!$B$2:$I$2,0))))</f>
        <v/>
      </c>
      <c r="E42" s="38">
        <f>IF(TKB_Nhap!E42="","",TKB_Nhap!E42&amp;CHAR(10)&amp;IF(T(INDEX(PhanCong!$B$3:$I$18,MATCH(TKB_Nhap!E42,PhanCong!$A$3:$A$18,0),MATCH($A42,PhanCong!$B$2:$I$2,0)))="","(chưa PC GV)","GV: "&amp;INDEX(PhanCong!$B$3:$I$18,MATCH(TKB_Nhap!E42,PhanCong!$A$3:$A$18,0),MATCH($A42,PhanCong!$B$2:$I$2,0))))</f>
        <v/>
      </c>
      <c r="F42" s="38">
        <f>IF(TKB_Nhap!F42="","",TKB_Nhap!F42&amp;CHAR(10)&amp;IF(T(INDEX(PhanCong!$B$3:$I$18,MATCH(TKB_Nhap!F42,PhanCong!$A$3:$A$18,0),MATCH($A42,PhanCong!$B$2:$I$2,0)))="","(chưa PC GV)","GV: "&amp;INDEX(PhanCong!$B$3:$I$18,MATCH(TKB_Nhap!F42,PhanCong!$A$3:$A$18,0),MATCH($A42,PhanCong!$B$2:$I$2,0))))</f>
        <v/>
      </c>
      <c r="G42" s="38">
        <f>IF(TKB_Nhap!G42="","",TKB_Nhap!G42&amp;CHAR(10)&amp;IF(T(INDEX(PhanCong!$B$3:$I$18,MATCH(TKB_Nhap!G42,PhanCong!$A$3:$A$18,0),MATCH($A42,PhanCong!$B$2:$I$2,0)))="","(chưa PC GV)","GV: "&amp;INDEX(PhanCong!$B$3:$I$18,MATCH(TKB_Nhap!G42,PhanCong!$A$3:$A$18,0),MATCH($A42,PhanCong!$B$2:$I$2,0))))</f>
        <v/>
      </c>
      <c r="H42" s="38">
        <f>IF(TKB_Nhap!H42="","",TKB_Nhap!H42&amp;CHAR(10)&amp;IF(T(INDEX(PhanCong!$B$3:$I$18,MATCH(TKB_Nhap!H42,PhanCong!$A$3:$A$18,0),MATCH($A42,PhanCong!$B$2:$I$2,0)))="","(chưa PC GV)","GV: "&amp;INDEX(PhanCong!$B$3:$I$18,MATCH(TKB_Nhap!H42,PhanCong!$A$3:$A$18,0),MATCH($A42,PhanCong!$B$2:$I$2,0))))</f>
        <v/>
      </c>
      <c r="I42" s="38">
        <f>IF(TKB_Nhap!I42="","",TKB_Nhap!I42&amp;CHAR(10)&amp;IF(T(INDEX(PhanCong!$B$3:$I$18,MATCH(TKB_Nhap!I42,PhanCong!$A$3:$A$18,0),MATCH($A42,PhanCong!$B$2:$I$2,0)))="","(chưa PC GV)","GV: "&amp;INDEX(PhanCong!$B$3:$I$18,MATCH(TKB_Nhap!I42,PhanCong!$A$3:$A$18,0),MATCH($A42,PhanCong!$B$2:$I$2,0))))</f>
        <v/>
      </c>
      <c r="J42" s="38" t="n"/>
    </row>
    <row r="43" ht="27.75" customHeight="1">
      <c r="A43" s="36">
        <f>TKB_Nhap!A43</f>
        <v/>
      </c>
      <c r="B43" s="36">
        <f>TKB_Nhap!B43</f>
        <v/>
      </c>
      <c r="C43" s="36">
        <f>TKB_Nhap!C43</f>
        <v/>
      </c>
      <c r="D43" s="38">
        <f>IF(TKB_Nhap!D43="","",TKB_Nhap!D43&amp;CHAR(10)&amp;IF(T(INDEX(PhanCong!$B$3:$I$18,MATCH(TKB_Nhap!D43,PhanCong!$A$3:$A$18,0),MATCH($A43,PhanCong!$B$2:$I$2,0)))="","(chưa PC GV)","GV: "&amp;INDEX(PhanCong!$B$3:$I$18,MATCH(TKB_Nhap!D43,PhanCong!$A$3:$A$18,0),MATCH($A43,PhanCong!$B$2:$I$2,0))))</f>
        <v/>
      </c>
      <c r="E43" s="38">
        <f>IF(TKB_Nhap!E43="","",TKB_Nhap!E43&amp;CHAR(10)&amp;IF(T(INDEX(PhanCong!$B$3:$I$18,MATCH(TKB_Nhap!E43,PhanCong!$A$3:$A$18,0),MATCH($A43,PhanCong!$B$2:$I$2,0)))="","(chưa PC GV)","GV: "&amp;INDEX(PhanCong!$B$3:$I$18,MATCH(TKB_Nhap!E43,PhanCong!$A$3:$A$18,0),MATCH($A43,PhanCong!$B$2:$I$2,0))))</f>
        <v/>
      </c>
      <c r="F43" s="38">
        <f>IF(TKB_Nhap!F43="","",TKB_Nhap!F43&amp;CHAR(10)&amp;IF(T(INDEX(PhanCong!$B$3:$I$18,MATCH(TKB_Nhap!F43,PhanCong!$A$3:$A$18,0),MATCH($A43,PhanCong!$B$2:$I$2,0)))="","(chưa PC GV)","GV: "&amp;INDEX(PhanCong!$B$3:$I$18,MATCH(TKB_Nhap!F43,PhanCong!$A$3:$A$18,0),MATCH($A43,PhanCong!$B$2:$I$2,0))))</f>
        <v/>
      </c>
      <c r="G43" s="38">
        <f>IF(TKB_Nhap!G43="","",TKB_Nhap!G43&amp;CHAR(10)&amp;IF(T(INDEX(PhanCong!$B$3:$I$18,MATCH(TKB_Nhap!G43,PhanCong!$A$3:$A$18,0),MATCH($A43,PhanCong!$B$2:$I$2,0)))="","(chưa PC GV)","GV: "&amp;INDEX(PhanCong!$B$3:$I$18,MATCH(TKB_Nhap!G43,PhanCong!$A$3:$A$18,0),MATCH($A43,PhanCong!$B$2:$I$2,0))))</f>
        <v/>
      </c>
      <c r="H43" s="38">
        <f>IF(TKB_Nhap!H43="","",TKB_Nhap!H43&amp;CHAR(10)&amp;IF(T(INDEX(PhanCong!$B$3:$I$18,MATCH(TKB_Nhap!H43,PhanCong!$A$3:$A$18,0),MATCH($A43,PhanCong!$B$2:$I$2,0)))="","(chưa PC GV)","GV: "&amp;INDEX(PhanCong!$B$3:$I$18,MATCH(TKB_Nhap!H43,PhanCong!$A$3:$A$18,0),MATCH($A43,PhanCong!$B$2:$I$2,0))))</f>
        <v/>
      </c>
      <c r="I43" s="38">
        <f>IF(TKB_Nhap!I43="","",TKB_Nhap!I43&amp;CHAR(10)&amp;IF(T(INDEX(PhanCong!$B$3:$I$18,MATCH(TKB_Nhap!I43,PhanCong!$A$3:$A$18,0),MATCH($A43,PhanCong!$B$2:$I$2,0)))="","(chưa PC GV)","GV: "&amp;INDEX(PhanCong!$B$3:$I$18,MATCH(TKB_Nhap!I43,PhanCong!$A$3:$A$18,0),MATCH($A43,PhanCong!$B$2:$I$2,0))))</f>
        <v/>
      </c>
      <c r="J43" s="38" t="n"/>
    </row>
    <row r="44" ht="27.75" customHeight="1">
      <c r="A44" s="36">
        <f>TKB_Nhap!A44</f>
        <v/>
      </c>
      <c r="B44" s="36">
        <f>TKB_Nhap!B44</f>
        <v/>
      </c>
      <c r="C44" s="36">
        <f>TKB_Nhap!C44</f>
        <v/>
      </c>
      <c r="D44" s="38">
        <f>IF(TKB_Nhap!D44="","",TKB_Nhap!D44&amp;CHAR(10)&amp;IF(T(INDEX(PhanCong!$B$3:$I$18,MATCH(TKB_Nhap!D44,PhanCong!$A$3:$A$18,0),MATCH($A44,PhanCong!$B$2:$I$2,0)))="","(chưa PC GV)","GV: "&amp;INDEX(PhanCong!$B$3:$I$18,MATCH(TKB_Nhap!D44,PhanCong!$A$3:$A$18,0),MATCH($A44,PhanCong!$B$2:$I$2,0))))</f>
        <v/>
      </c>
      <c r="E44" s="38">
        <f>IF(TKB_Nhap!E44="","",TKB_Nhap!E44&amp;CHAR(10)&amp;IF(T(INDEX(PhanCong!$B$3:$I$18,MATCH(TKB_Nhap!E44,PhanCong!$A$3:$A$18,0),MATCH($A44,PhanCong!$B$2:$I$2,0)))="","(chưa PC GV)","GV: "&amp;INDEX(PhanCong!$B$3:$I$18,MATCH(TKB_Nhap!E44,PhanCong!$A$3:$A$18,0),MATCH($A44,PhanCong!$B$2:$I$2,0))))</f>
        <v/>
      </c>
      <c r="F44" s="38">
        <f>IF(TKB_Nhap!F44="","",TKB_Nhap!F44&amp;CHAR(10)&amp;IF(T(INDEX(PhanCong!$B$3:$I$18,MATCH(TKB_Nhap!F44,PhanCong!$A$3:$A$18,0),MATCH($A44,PhanCong!$B$2:$I$2,0)))="","(chưa PC GV)","GV: "&amp;INDEX(PhanCong!$B$3:$I$18,MATCH(TKB_Nhap!F44,PhanCong!$A$3:$A$18,0),MATCH($A44,PhanCong!$B$2:$I$2,0))))</f>
        <v/>
      </c>
      <c r="G44" s="38">
        <f>IF(TKB_Nhap!G44="","",TKB_Nhap!G44&amp;CHAR(10)&amp;IF(T(INDEX(PhanCong!$B$3:$I$18,MATCH(TKB_Nhap!G44,PhanCong!$A$3:$A$18,0),MATCH($A44,PhanCong!$B$2:$I$2,0)))="","(chưa PC GV)","GV: "&amp;INDEX(PhanCong!$B$3:$I$18,MATCH(TKB_Nhap!G44,PhanCong!$A$3:$A$18,0),MATCH($A44,PhanCong!$B$2:$I$2,0))))</f>
        <v/>
      </c>
      <c r="H44" s="38">
        <f>IF(TKB_Nhap!H44="","",TKB_Nhap!H44&amp;CHAR(10)&amp;IF(T(INDEX(PhanCong!$B$3:$I$18,MATCH(TKB_Nhap!H44,PhanCong!$A$3:$A$18,0),MATCH($A44,PhanCong!$B$2:$I$2,0)))="","(chưa PC GV)","GV: "&amp;INDEX(PhanCong!$B$3:$I$18,MATCH(TKB_Nhap!H44,PhanCong!$A$3:$A$18,0),MATCH($A44,PhanCong!$B$2:$I$2,0))))</f>
        <v/>
      </c>
      <c r="I44" s="38">
        <f>IF(TKB_Nhap!I44="","",TKB_Nhap!I44&amp;CHAR(10)&amp;IF(T(INDEX(PhanCong!$B$3:$I$18,MATCH(TKB_Nhap!I44,PhanCong!$A$3:$A$18,0),MATCH($A44,PhanCong!$B$2:$I$2,0)))="","(chưa PC GV)","GV: "&amp;INDEX(PhanCong!$B$3:$I$18,MATCH(TKB_Nhap!I44,PhanCong!$A$3:$A$18,0),MATCH($A44,PhanCong!$B$2:$I$2,0))))</f>
        <v/>
      </c>
      <c r="J44" s="38" t="n"/>
    </row>
    <row r="45" ht="27.75" customHeight="1">
      <c r="A45" s="36">
        <f>TKB_Nhap!A45</f>
        <v/>
      </c>
      <c r="B45" s="36">
        <f>TKB_Nhap!B45</f>
        <v/>
      </c>
      <c r="C45" s="36">
        <f>TKB_Nhap!C45</f>
        <v/>
      </c>
      <c r="D45" s="38">
        <f>IF(TKB_Nhap!D45="","",TKB_Nhap!D45&amp;CHAR(10)&amp;IF(T(INDEX(PhanCong!$B$3:$I$18,MATCH(TKB_Nhap!D45,PhanCong!$A$3:$A$18,0),MATCH($A45,PhanCong!$B$2:$I$2,0)))="","(chưa PC GV)","GV: "&amp;INDEX(PhanCong!$B$3:$I$18,MATCH(TKB_Nhap!D45,PhanCong!$A$3:$A$18,0),MATCH($A45,PhanCong!$B$2:$I$2,0))))</f>
        <v/>
      </c>
      <c r="E45" s="38">
        <f>IF(TKB_Nhap!E45="","",TKB_Nhap!E45&amp;CHAR(10)&amp;IF(T(INDEX(PhanCong!$B$3:$I$18,MATCH(TKB_Nhap!E45,PhanCong!$A$3:$A$18,0),MATCH($A45,PhanCong!$B$2:$I$2,0)))="","(chưa PC GV)","GV: "&amp;INDEX(PhanCong!$B$3:$I$18,MATCH(TKB_Nhap!E45,PhanCong!$A$3:$A$18,0),MATCH($A45,PhanCong!$B$2:$I$2,0))))</f>
        <v/>
      </c>
      <c r="F45" s="38">
        <f>IF(TKB_Nhap!F45="","",TKB_Nhap!F45&amp;CHAR(10)&amp;IF(T(INDEX(PhanCong!$B$3:$I$18,MATCH(TKB_Nhap!F45,PhanCong!$A$3:$A$18,0),MATCH($A45,PhanCong!$B$2:$I$2,0)))="","(chưa PC GV)","GV: "&amp;INDEX(PhanCong!$B$3:$I$18,MATCH(TKB_Nhap!F45,PhanCong!$A$3:$A$18,0),MATCH($A45,PhanCong!$B$2:$I$2,0))))</f>
        <v/>
      </c>
      <c r="G45" s="38">
        <f>IF(TKB_Nhap!G45="","",TKB_Nhap!G45&amp;CHAR(10)&amp;IF(T(INDEX(PhanCong!$B$3:$I$18,MATCH(TKB_Nhap!G45,PhanCong!$A$3:$A$18,0),MATCH($A45,PhanCong!$B$2:$I$2,0)))="","(chưa PC GV)","GV: "&amp;INDEX(PhanCong!$B$3:$I$18,MATCH(TKB_Nhap!G45,PhanCong!$A$3:$A$18,0),MATCH($A45,PhanCong!$B$2:$I$2,0))))</f>
        <v/>
      </c>
      <c r="H45" s="38">
        <f>IF(TKB_Nhap!H45="","",TKB_Nhap!H45&amp;CHAR(10)&amp;IF(T(INDEX(PhanCong!$B$3:$I$18,MATCH(TKB_Nhap!H45,PhanCong!$A$3:$A$18,0),MATCH($A45,PhanCong!$B$2:$I$2,0)))="","(chưa PC GV)","GV: "&amp;INDEX(PhanCong!$B$3:$I$18,MATCH(TKB_Nhap!H45,PhanCong!$A$3:$A$18,0),MATCH($A45,PhanCong!$B$2:$I$2,0))))</f>
        <v/>
      </c>
      <c r="I45" s="38">
        <f>IF(TKB_Nhap!I45="","",TKB_Nhap!I45&amp;CHAR(10)&amp;IF(T(INDEX(PhanCong!$B$3:$I$18,MATCH(TKB_Nhap!I45,PhanCong!$A$3:$A$18,0),MATCH($A45,PhanCong!$B$2:$I$2,0)))="","(chưa PC GV)","GV: "&amp;INDEX(PhanCong!$B$3:$I$18,MATCH(TKB_Nhap!I45,PhanCong!$A$3:$A$18,0),MATCH($A45,PhanCong!$B$2:$I$2,0))))</f>
        <v/>
      </c>
      <c r="J45" s="38" t="n"/>
    </row>
    <row r="46" ht="27.75" customHeight="1">
      <c r="A46" s="36">
        <f>TKB_Nhap!A46</f>
        <v/>
      </c>
      <c r="B46" s="36">
        <f>TKB_Nhap!B46</f>
        <v/>
      </c>
      <c r="C46" s="36">
        <f>TKB_Nhap!C46</f>
        <v/>
      </c>
      <c r="D46" s="38">
        <f>IF(TKB_Nhap!D46="","",TKB_Nhap!D46&amp;CHAR(10)&amp;IF(T(INDEX(PhanCong!$B$3:$I$18,MATCH(TKB_Nhap!D46,PhanCong!$A$3:$A$18,0),MATCH($A46,PhanCong!$B$2:$I$2,0)))="","(chưa PC GV)","GV: "&amp;INDEX(PhanCong!$B$3:$I$18,MATCH(TKB_Nhap!D46,PhanCong!$A$3:$A$18,0),MATCH($A46,PhanCong!$B$2:$I$2,0))))</f>
        <v/>
      </c>
      <c r="E46" s="38">
        <f>IF(TKB_Nhap!E46="","",TKB_Nhap!E46&amp;CHAR(10)&amp;IF(T(INDEX(PhanCong!$B$3:$I$18,MATCH(TKB_Nhap!E46,PhanCong!$A$3:$A$18,0),MATCH($A46,PhanCong!$B$2:$I$2,0)))="","(chưa PC GV)","GV: "&amp;INDEX(PhanCong!$B$3:$I$18,MATCH(TKB_Nhap!E46,PhanCong!$A$3:$A$18,0),MATCH($A46,PhanCong!$B$2:$I$2,0))))</f>
        <v/>
      </c>
      <c r="F46" s="38">
        <f>IF(TKB_Nhap!F46="","",TKB_Nhap!F46&amp;CHAR(10)&amp;IF(T(INDEX(PhanCong!$B$3:$I$18,MATCH(TKB_Nhap!F46,PhanCong!$A$3:$A$18,0),MATCH($A46,PhanCong!$B$2:$I$2,0)))="","(chưa PC GV)","GV: "&amp;INDEX(PhanCong!$B$3:$I$18,MATCH(TKB_Nhap!F46,PhanCong!$A$3:$A$18,0),MATCH($A46,PhanCong!$B$2:$I$2,0))))</f>
        <v/>
      </c>
      <c r="G46" s="38">
        <f>IF(TKB_Nhap!G46="","",TKB_Nhap!G46&amp;CHAR(10)&amp;IF(T(INDEX(PhanCong!$B$3:$I$18,MATCH(TKB_Nhap!G46,PhanCong!$A$3:$A$18,0),MATCH($A46,PhanCong!$B$2:$I$2,0)))="","(chưa PC GV)","GV: "&amp;INDEX(PhanCong!$B$3:$I$18,MATCH(TKB_Nhap!G46,PhanCong!$A$3:$A$18,0),MATCH($A46,PhanCong!$B$2:$I$2,0))))</f>
        <v/>
      </c>
      <c r="H46" s="38">
        <f>IF(TKB_Nhap!H46="","",TKB_Nhap!H46&amp;CHAR(10)&amp;IF(T(INDEX(PhanCong!$B$3:$I$18,MATCH(TKB_Nhap!H46,PhanCong!$A$3:$A$18,0),MATCH($A46,PhanCong!$B$2:$I$2,0)))="","(chưa PC GV)","GV: "&amp;INDEX(PhanCong!$B$3:$I$18,MATCH(TKB_Nhap!H46,PhanCong!$A$3:$A$18,0),MATCH($A46,PhanCong!$B$2:$I$2,0))))</f>
        <v/>
      </c>
      <c r="I46" s="38">
        <f>IF(TKB_Nhap!I46="","",TKB_Nhap!I46&amp;CHAR(10)&amp;IF(T(INDEX(PhanCong!$B$3:$I$18,MATCH(TKB_Nhap!I46,PhanCong!$A$3:$A$18,0),MATCH($A46,PhanCong!$B$2:$I$2,0)))="","(chưa PC GV)","GV: "&amp;INDEX(PhanCong!$B$3:$I$18,MATCH(TKB_Nhap!I46,PhanCong!$A$3:$A$18,0),MATCH($A46,PhanCong!$B$2:$I$2,0))))</f>
        <v/>
      </c>
      <c r="J46" s="38" t="n"/>
    </row>
    <row r="47" ht="27.75" customHeight="1">
      <c r="A47" s="36">
        <f>TKB_Nhap!A47</f>
        <v/>
      </c>
      <c r="B47" s="36">
        <f>TKB_Nhap!B47</f>
        <v/>
      </c>
      <c r="C47" s="36">
        <f>TKB_Nhap!C47</f>
        <v/>
      </c>
      <c r="D47" s="38">
        <f>IF(TKB_Nhap!D47="","",TKB_Nhap!D47&amp;CHAR(10)&amp;IF(T(INDEX(PhanCong!$B$3:$I$18,MATCH(TKB_Nhap!D47,PhanCong!$A$3:$A$18,0),MATCH($A47,PhanCong!$B$2:$I$2,0)))="","(chưa PC GV)","GV: "&amp;INDEX(PhanCong!$B$3:$I$18,MATCH(TKB_Nhap!D47,PhanCong!$A$3:$A$18,0),MATCH($A47,PhanCong!$B$2:$I$2,0))))</f>
        <v/>
      </c>
      <c r="E47" s="38">
        <f>IF(TKB_Nhap!E47="","",TKB_Nhap!E47&amp;CHAR(10)&amp;IF(T(INDEX(PhanCong!$B$3:$I$18,MATCH(TKB_Nhap!E47,PhanCong!$A$3:$A$18,0),MATCH($A47,PhanCong!$B$2:$I$2,0)))="","(chưa PC GV)","GV: "&amp;INDEX(PhanCong!$B$3:$I$18,MATCH(TKB_Nhap!E47,PhanCong!$A$3:$A$18,0),MATCH($A47,PhanCong!$B$2:$I$2,0))))</f>
        <v/>
      </c>
      <c r="F47" s="38">
        <f>IF(TKB_Nhap!F47="","",TKB_Nhap!F47&amp;CHAR(10)&amp;IF(T(INDEX(PhanCong!$B$3:$I$18,MATCH(TKB_Nhap!F47,PhanCong!$A$3:$A$18,0),MATCH($A47,PhanCong!$B$2:$I$2,0)))="","(chưa PC GV)","GV: "&amp;INDEX(PhanCong!$B$3:$I$18,MATCH(TKB_Nhap!F47,PhanCong!$A$3:$A$18,0),MATCH($A47,PhanCong!$B$2:$I$2,0))))</f>
        <v/>
      </c>
      <c r="G47" s="38">
        <f>IF(TKB_Nhap!G47="","",TKB_Nhap!G47&amp;CHAR(10)&amp;IF(T(INDEX(PhanCong!$B$3:$I$18,MATCH(TKB_Nhap!G47,PhanCong!$A$3:$A$18,0),MATCH($A47,PhanCong!$B$2:$I$2,0)))="","(chưa PC GV)","GV: "&amp;INDEX(PhanCong!$B$3:$I$18,MATCH(TKB_Nhap!G47,PhanCong!$A$3:$A$18,0),MATCH($A47,PhanCong!$B$2:$I$2,0))))</f>
        <v/>
      </c>
      <c r="H47" s="38">
        <f>IF(TKB_Nhap!H47="","",TKB_Nhap!H47&amp;CHAR(10)&amp;IF(T(INDEX(PhanCong!$B$3:$I$18,MATCH(TKB_Nhap!H47,PhanCong!$A$3:$A$18,0),MATCH($A47,PhanCong!$B$2:$I$2,0)))="","(chưa PC GV)","GV: "&amp;INDEX(PhanCong!$B$3:$I$18,MATCH(TKB_Nhap!H47,PhanCong!$A$3:$A$18,0),MATCH($A47,PhanCong!$B$2:$I$2,0))))</f>
        <v/>
      </c>
      <c r="I47" s="38">
        <f>IF(TKB_Nhap!I47="","",TKB_Nhap!I47&amp;CHAR(10)&amp;IF(T(INDEX(PhanCong!$B$3:$I$18,MATCH(TKB_Nhap!I47,PhanCong!$A$3:$A$18,0),MATCH($A47,PhanCong!$B$2:$I$2,0)))="","(chưa PC GV)","GV: "&amp;INDEX(PhanCong!$B$3:$I$18,MATCH(TKB_Nhap!I47,PhanCong!$A$3:$A$18,0),MATCH($A47,PhanCong!$B$2:$I$2,0))))</f>
        <v/>
      </c>
      <c r="J47" s="38" t="n"/>
    </row>
    <row r="48" ht="27.75" customHeight="1">
      <c r="A48" s="36">
        <f>TKB_Nhap!A48</f>
        <v/>
      </c>
      <c r="B48" s="36">
        <f>TKB_Nhap!B48</f>
        <v/>
      </c>
      <c r="C48" s="36">
        <f>TKB_Nhap!C48</f>
        <v/>
      </c>
      <c r="D48" s="38">
        <f>IF(TKB_Nhap!D48="","",TKB_Nhap!D48&amp;CHAR(10)&amp;IF(T(INDEX(PhanCong!$B$3:$I$18,MATCH(TKB_Nhap!D48,PhanCong!$A$3:$A$18,0),MATCH($A48,PhanCong!$B$2:$I$2,0)))="","(chưa PC GV)","GV: "&amp;INDEX(PhanCong!$B$3:$I$18,MATCH(TKB_Nhap!D48,PhanCong!$A$3:$A$18,0),MATCH($A48,PhanCong!$B$2:$I$2,0))))</f>
        <v/>
      </c>
      <c r="E48" s="38">
        <f>IF(TKB_Nhap!E48="","",TKB_Nhap!E48&amp;CHAR(10)&amp;IF(T(INDEX(PhanCong!$B$3:$I$18,MATCH(TKB_Nhap!E48,PhanCong!$A$3:$A$18,0),MATCH($A48,PhanCong!$B$2:$I$2,0)))="","(chưa PC GV)","GV: "&amp;INDEX(PhanCong!$B$3:$I$18,MATCH(TKB_Nhap!E48,PhanCong!$A$3:$A$18,0),MATCH($A48,PhanCong!$B$2:$I$2,0))))</f>
        <v/>
      </c>
      <c r="F48" s="38">
        <f>IF(TKB_Nhap!F48="","",TKB_Nhap!F48&amp;CHAR(10)&amp;IF(T(INDEX(PhanCong!$B$3:$I$18,MATCH(TKB_Nhap!F48,PhanCong!$A$3:$A$18,0),MATCH($A48,PhanCong!$B$2:$I$2,0)))="","(chưa PC GV)","GV: "&amp;INDEX(PhanCong!$B$3:$I$18,MATCH(TKB_Nhap!F48,PhanCong!$A$3:$A$18,0),MATCH($A48,PhanCong!$B$2:$I$2,0))))</f>
        <v/>
      </c>
      <c r="G48" s="38">
        <f>IF(TKB_Nhap!G48="","",TKB_Nhap!G48&amp;CHAR(10)&amp;IF(T(INDEX(PhanCong!$B$3:$I$18,MATCH(TKB_Nhap!G48,PhanCong!$A$3:$A$18,0),MATCH($A48,PhanCong!$B$2:$I$2,0)))="","(chưa PC GV)","GV: "&amp;INDEX(PhanCong!$B$3:$I$18,MATCH(TKB_Nhap!G48,PhanCong!$A$3:$A$18,0),MATCH($A48,PhanCong!$B$2:$I$2,0))))</f>
        <v/>
      </c>
      <c r="H48" s="38">
        <f>IF(TKB_Nhap!H48="","",TKB_Nhap!H48&amp;CHAR(10)&amp;IF(T(INDEX(PhanCong!$B$3:$I$18,MATCH(TKB_Nhap!H48,PhanCong!$A$3:$A$18,0),MATCH($A48,PhanCong!$B$2:$I$2,0)))="","(chưa PC GV)","GV: "&amp;INDEX(PhanCong!$B$3:$I$18,MATCH(TKB_Nhap!H48,PhanCong!$A$3:$A$18,0),MATCH($A48,PhanCong!$B$2:$I$2,0))))</f>
        <v/>
      </c>
      <c r="I48" s="38">
        <f>IF(TKB_Nhap!I48="","",TKB_Nhap!I48&amp;CHAR(10)&amp;IF(T(INDEX(PhanCong!$B$3:$I$18,MATCH(TKB_Nhap!I48,PhanCong!$A$3:$A$18,0),MATCH($A48,PhanCong!$B$2:$I$2,0)))="","(chưa PC GV)","GV: "&amp;INDEX(PhanCong!$B$3:$I$18,MATCH(TKB_Nhap!I48,PhanCong!$A$3:$A$18,0),MATCH($A48,PhanCong!$B$2:$I$2,0))))</f>
        <v/>
      </c>
      <c r="J48" s="38" t="n"/>
    </row>
    <row r="49" ht="27.75" customHeight="1">
      <c r="A49" s="36">
        <f>TKB_Nhap!A49</f>
        <v/>
      </c>
      <c r="B49" s="36">
        <f>TKB_Nhap!B49</f>
        <v/>
      </c>
      <c r="C49" s="36">
        <f>TKB_Nhap!C49</f>
        <v/>
      </c>
      <c r="D49" s="38">
        <f>IF(TKB_Nhap!D49="","",TKB_Nhap!D49&amp;CHAR(10)&amp;IF(T(INDEX(PhanCong!$B$3:$I$18,MATCH(TKB_Nhap!D49,PhanCong!$A$3:$A$18,0),MATCH($A49,PhanCong!$B$2:$I$2,0)))="","(chưa PC GV)","GV: "&amp;INDEX(PhanCong!$B$3:$I$18,MATCH(TKB_Nhap!D49,PhanCong!$A$3:$A$18,0),MATCH($A49,PhanCong!$B$2:$I$2,0))))</f>
        <v/>
      </c>
      <c r="E49" s="38">
        <f>IF(TKB_Nhap!E49="","",TKB_Nhap!E49&amp;CHAR(10)&amp;IF(T(INDEX(PhanCong!$B$3:$I$18,MATCH(TKB_Nhap!E49,PhanCong!$A$3:$A$18,0),MATCH($A49,PhanCong!$B$2:$I$2,0)))="","(chưa PC GV)","GV: "&amp;INDEX(PhanCong!$B$3:$I$18,MATCH(TKB_Nhap!E49,PhanCong!$A$3:$A$18,0),MATCH($A49,PhanCong!$B$2:$I$2,0))))</f>
        <v/>
      </c>
      <c r="F49" s="38">
        <f>IF(TKB_Nhap!F49="","",TKB_Nhap!F49&amp;CHAR(10)&amp;IF(T(INDEX(PhanCong!$B$3:$I$18,MATCH(TKB_Nhap!F49,PhanCong!$A$3:$A$18,0),MATCH($A49,PhanCong!$B$2:$I$2,0)))="","(chưa PC GV)","GV: "&amp;INDEX(PhanCong!$B$3:$I$18,MATCH(TKB_Nhap!F49,PhanCong!$A$3:$A$18,0),MATCH($A49,PhanCong!$B$2:$I$2,0))))</f>
        <v/>
      </c>
      <c r="G49" s="38">
        <f>IF(TKB_Nhap!G49="","",TKB_Nhap!G49&amp;CHAR(10)&amp;IF(T(INDEX(PhanCong!$B$3:$I$18,MATCH(TKB_Nhap!G49,PhanCong!$A$3:$A$18,0),MATCH($A49,PhanCong!$B$2:$I$2,0)))="","(chưa PC GV)","GV: "&amp;INDEX(PhanCong!$B$3:$I$18,MATCH(TKB_Nhap!G49,PhanCong!$A$3:$A$18,0),MATCH($A49,PhanCong!$B$2:$I$2,0))))</f>
        <v/>
      </c>
      <c r="H49" s="38">
        <f>IF(TKB_Nhap!H49="","",TKB_Nhap!H49&amp;CHAR(10)&amp;IF(T(INDEX(PhanCong!$B$3:$I$18,MATCH(TKB_Nhap!H49,PhanCong!$A$3:$A$18,0),MATCH($A49,PhanCong!$B$2:$I$2,0)))="","(chưa PC GV)","GV: "&amp;INDEX(PhanCong!$B$3:$I$18,MATCH(TKB_Nhap!H49,PhanCong!$A$3:$A$18,0),MATCH($A49,PhanCong!$B$2:$I$2,0))))</f>
        <v/>
      </c>
      <c r="I49" s="38">
        <f>IF(TKB_Nhap!I49="","",TKB_Nhap!I49&amp;CHAR(10)&amp;IF(T(INDEX(PhanCong!$B$3:$I$18,MATCH(TKB_Nhap!I49,PhanCong!$A$3:$A$18,0),MATCH($A49,PhanCong!$B$2:$I$2,0)))="","(chưa PC GV)","GV: "&amp;INDEX(PhanCong!$B$3:$I$18,MATCH(TKB_Nhap!I49,PhanCong!$A$3:$A$18,0),MATCH($A49,PhanCong!$B$2:$I$2,0))))</f>
        <v/>
      </c>
      <c r="J49" s="38" t="n"/>
    </row>
    <row r="50" ht="27.75" customHeight="1">
      <c r="A50" s="30">
        <f>TKB_Nhap!A50</f>
        <v/>
      </c>
      <c r="B50" s="30">
        <f>TKB_Nhap!B50</f>
        <v/>
      </c>
      <c r="C50" s="30">
        <f>TKB_Nhap!C50</f>
        <v/>
      </c>
      <c r="D50" s="26">
        <f>IF(TKB_Nhap!D50="","",TKB_Nhap!D50&amp;CHAR(10)&amp;IF(T(INDEX(PhanCong!$B$3:$I$18,MATCH(TKB_Nhap!D50,PhanCong!$A$3:$A$18,0),MATCH($A50,PhanCong!$B$2:$I$2,0)))="","(chưa PC GV)","GV: "&amp;INDEX(PhanCong!$B$3:$I$18,MATCH(TKB_Nhap!D50,PhanCong!$A$3:$A$18,0),MATCH($A50,PhanCong!$B$2:$I$2,0))))</f>
        <v/>
      </c>
      <c r="E50" s="26">
        <f>IF(TKB_Nhap!E50="","",TKB_Nhap!E50&amp;CHAR(10)&amp;IF(T(INDEX(PhanCong!$B$3:$I$18,MATCH(TKB_Nhap!E50,PhanCong!$A$3:$A$18,0),MATCH($A50,PhanCong!$B$2:$I$2,0)))="","(chưa PC GV)","GV: "&amp;INDEX(PhanCong!$B$3:$I$18,MATCH(TKB_Nhap!E50,PhanCong!$A$3:$A$18,0),MATCH($A50,PhanCong!$B$2:$I$2,0))))</f>
        <v/>
      </c>
      <c r="F50" s="26">
        <f>IF(TKB_Nhap!F50="","",TKB_Nhap!F50&amp;CHAR(10)&amp;IF(T(INDEX(PhanCong!$B$3:$I$18,MATCH(TKB_Nhap!F50,PhanCong!$A$3:$A$18,0),MATCH($A50,PhanCong!$B$2:$I$2,0)))="","(chưa PC GV)","GV: "&amp;INDEX(PhanCong!$B$3:$I$18,MATCH(TKB_Nhap!F50,PhanCong!$A$3:$A$18,0),MATCH($A50,PhanCong!$B$2:$I$2,0))))</f>
        <v/>
      </c>
      <c r="G50" s="26">
        <f>IF(TKB_Nhap!G50="","",TKB_Nhap!G50&amp;CHAR(10)&amp;IF(T(INDEX(PhanCong!$B$3:$I$18,MATCH(TKB_Nhap!G50,PhanCong!$A$3:$A$18,0),MATCH($A50,PhanCong!$B$2:$I$2,0)))="","(chưa PC GV)","GV: "&amp;INDEX(PhanCong!$B$3:$I$18,MATCH(TKB_Nhap!G50,PhanCong!$A$3:$A$18,0),MATCH($A50,PhanCong!$B$2:$I$2,0))))</f>
        <v/>
      </c>
      <c r="H50" s="26">
        <f>IF(TKB_Nhap!H50="","",TKB_Nhap!H50&amp;CHAR(10)&amp;IF(T(INDEX(PhanCong!$B$3:$I$18,MATCH(TKB_Nhap!H50,PhanCong!$A$3:$A$18,0),MATCH($A50,PhanCong!$B$2:$I$2,0)))="","(chưa PC GV)","GV: "&amp;INDEX(PhanCong!$B$3:$I$18,MATCH(TKB_Nhap!H50,PhanCong!$A$3:$A$18,0),MATCH($A50,PhanCong!$B$2:$I$2,0))))</f>
        <v/>
      </c>
      <c r="I50" s="26">
        <f>IF(TKB_Nhap!I50="","",TKB_Nhap!I50&amp;CHAR(10)&amp;IF(T(INDEX(PhanCong!$B$3:$I$18,MATCH(TKB_Nhap!I50,PhanCong!$A$3:$A$18,0),MATCH($A50,PhanCong!$B$2:$I$2,0)))="","(chưa PC GV)","GV: "&amp;INDEX(PhanCong!$B$3:$I$18,MATCH(TKB_Nhap!I50,PhanCong!$A$3:$A$18,0),MATCH($A50,PhanCong!$B$2:$I$2,0))))</f>
        <v/>
      </c>
      <c r="J50" s="26" t="n"/>
    </row>
    <row r="51" ht="27.75" customHeight="1">
      <c r="A51" s="30">
        <f>TKB_Nhap!A51</f>
        <v/>
      </c>
      <c r="B51" s="30">
        <f>TKB_Nhap!B51</f>
        <v/>
      </c>
      <c r="C51" s="30">
        <f>TKB_Nhap!C51</f>
        <v/>
      </c>
      <c r="D51" s="26">
        <f>IF(TKB_Nhap!D51="","",TKB_Nhap!D51&amp;CHAR(10)&amp;IF(T(INDEX(PhanCong!$B$3:$I$18,MATCH(TKB_Nhap!D51,PhanCong!$A$3:$A$18,0),MATCH($A51,PhanCong!$B$2:$I$2,0)))="","(chưa PC GV)","GV: "&amp;INDEX(PhanCong!$B$3:$I$18,MATCH(TKB_Nhap!D51,PhanCong!$A$3:$A$18,0),MATCH($A51,PhanCong!$B$2:$I$2,0))))</f>
        <v/>
      </c>
      <c r="E51" s="26">
        <f>IF(TKB_Nhap!E51="","",TKB_Nhap!E51&amp;CHAR(10)&amp;IF(T(INDEX(PhanCong!$B$3:$I$18,MATCH(TKB_Nhap!E51,PhanCong!$A$3:$A$18,0),MATCH($A51,PhanCong!$B$2:$I$2,0)))="","(chưa PC GV)","GV: "&amp;INDEX(PhanCong!$B$3:$I$18,MATCH(TKB_Nhap!E51,PhanCong!$A$3:$A$18,0),MATCH($A51,PhanCong!$B$2:$I$2,0))))</f>
        <v/>
      </c>
      <c r="F51" s="26">
        <f>IF(TKB_Nhap!F51="","",TKB_Nhap!F51&amp;CHAR(10)&amp;IF(T(INDEX(PhanCong!$B$3:$I$18,MATCH(TKB_Nhap!F51,PhanCong!$A$3:$A$18,0),MATCH($A51,PhanCong!$B$2:$I$2,0)))="","(chưa PC GV)","GV: "&amp;INDEX(PhanCong!$B$3:$I$18,MATCH(TKB_Nhap!F51,PhanCong!$A$3:$A$18,0),MATCH($A51,PhanCong!$B$2:$I$2,0))))</f>
        <v/>
      </c>
      <c r="G51" s="26">
        <f>IF(TKB_Nhap!G51="","",TKB_Nhap!G51&amp;CHAR(10)&amp;IF(T(INDEX(PhanCong!$B$3:$I$18,MATCH(TKB_Nhap!G51,PhanCong!$A$3:$A$18,0),MATCH($A51,PhanCong!$B$2:$I$2,0)))="","(chưa PC GV)","GV: "&amp;INDEX(PhanCong!$B$3:$I$18,MATCH(TKB_Nhap!G51,PhanCong!$A$3:$A$18,0),MATCH($A51,PhanCong!$B$2:$I$2,0))))</f>
        <v/>
      </c>
      <c r="H51" s="26">
        <f>IF(TKB_Nhap!H51="","",TKB_Nhap!H51&amp;CHAR(10)&amp;IF(T(INDEX(PhanCong!$B$3:$I$18,MATCH(TKB_Nhap!H51,PhanCong!$A$3:$A$18,0),MATCH($A51,PhanCong!$B$2:$I$2,0)))="","(chưa PC GV)","GV: "&amp;INDEX(PhanCong!$B$3:$I$18,MATCH(TKB_Nhap!H51,PhanCong!$A$3:$A$18,0),MATCH($A51,PhanCong!$B$2:$I$2,0))))</f>
        <v/>
      </c>
      <c r="I51" s="26">
        <f>IF(TKB_Nhap!I51="","",TKB_Nhap!I51&amp;CHAR(10)&amp;IF(T(INDEX(PhanCong!$B$3:$I$18,MATCH(TKB_Nhap!I51,PhanCong!$A$3:$A$18,0),MATCH($A51,PhanCong!$B$2:$I$2,0)))="","(chưa PC GV)","GV: "&amp;INDEX(PhanCong!$B$3:$I$18,MATCH(TKB_Nhap!I51,PhanCong!$A$3:$A$18,0),MATCH($A51,PhanCong!$B$2:$I$2,0))))</f>
        <v/>
      </c>
      <c r="J51" s="26" t="n"/>
    </row>
    <row r="52" ht="27.75" customHeight="1">
      <c r="A52" s="30">
        <f>TKB_Nhap!A52</f>
        <v/>
      </c>
      <c r="B52" s="30">
        <f>TKB_Nhap!B52</f>
        <v/>
      </c>
      <c r="C52" s="30">
        <f>TKB_Nhap!C52</f>
        <v/>
      </c>
      <c r="D52" s="26">
        <f>IF(TKB_Nhap!D52="","",TKB_Nhap!D52&amp;CHAR(10)&amp;IF(T(INDEX(PhanCong!$B$3:$I$18,MATCH(TKB_Nhap!D52,PhanCong!$A$3:$A$18,0),MATCH($A52,PhanCong!$B$2:$I$2,0)))="","(chưa PC GV)","GV: "&amp;INDEX(PhanCong!$B$3:$I$18,MATCH(TKB_Nhap!D52,PhanCong!$A$3:$A$18,0),MATCH($A52,PhanCong!$B$2:$I$2,0))))</f>
        <v/>
      </c>
      <c r="E52" s="26">
        <f>IF(TKB_Nhap!E52="","",TKB_Nhap!E52&amp;CHAR(10)&amp;IF(T(INDEX(PhanCong!$B$3:$I$18,MATCH(TKB_Nhap!E52,PhanCong!$A$3:$A$18,0),MATCH($A52,PhanCong!$B$2:$I$2,0)))="","(chưa PC GV)","GV: "&amp;INDEX(PhanCong!$B$3:$I$18,MATCH(TKB_Nhap!E52,PhanCong!$A$3:$A$18,0),MATCH($A52,PhanCong!$B$2:$I$2,0))))</f>
        <v/>
      </c>
      <c r="F52" s="26">
        <f>IF(TKB_Nhap!F52="","",TKB_Nhap!F52&amp;CHAR(10)&amp;IF(T(INDEX(PhanCong!$B$3:$I$18,MATCH(TKB_Nhap!F52,PhanCong!$A$3:$A$18,0),MATCH($A52,PhanCong!$B$2:$I$2,0)))="","(chưa PC GV)","GV: "&amp;INDEX(PhanCong!$B$3:$I$18,MATCH(TKB_Nhap!F52,PhanCong!$A$3:$A$18,0),MATCH($A52,PhanCong!$B$2:$I$2,0))))</f>
        <v/>
      </c>
      <c r="G52" s="26">
        <f>IF(TKB_Nhap!G52="","",TKB_Nhap!G52&amp;CHAR(10)&amp;IF(T(INDEX(PhanCong!$B$3:$I$18,MATCH(TKB_Nhap!G52,PhanCong!$A$3:$A$18,0),MATCH($A52,PhanCong!$B$2:$I$2,0)))="","(chưa PC GV)","GV: "&amp;INDEX(PhanCong!$B$3:$I$18,MATCH(TKB_Nhap!G52,PhanCong!$A$3:$A$18,0),MATCH($A52,PhanCong!$B$2:$I$2,0))))</f>
        <v/>
      </c>
      <c r="H52" s="26">
        <f>IF(TKB_Nhap!H52="","",TKB_Nhap!H52&amp;CHAR(10)&amp;IF(T(INDEX(PhanCong!$B$3:$I$18,MATCH(TKB_Nhap!H52,PhanCong!$A$3:$A$18,0),MATCH($A52,PhanCong!$B$2:$I$2,0)))="","(chưa PC GV)","GV: "&amp;INDEX(PhanCong!$B$3:$I$18,MATCH(TKB_Nhap!H52,PhanCong!$A$3:$A$18,0),MATCH($A52,PhanCong!$B$2:$I$2,0))))</f>
        <v/>
      </c>
      <c r="I52" s="26">
        <f>IF(TKB_Nhap!I52="","",TKB_Nhap!I52&amp;CHAR(10)&amp;IF(T(INDEX(PhanCong!$B$3:$I$18,MATCH(TKB_Nhap!I52,PhanCong!$A$3:$A$18,0),MATCH($A52,PhanCong!$B$2:$I$2,0)))="","(chưa PC GV)","GV: "&amp;INDEX(PhanCong!$B$3:$I$18,MATCH(TKB_Nhap!I52,PhanCong!$A$3:$A$18,0),MATCH($A52,PhanCong!$B$2:$I$2,0))))</f>
        <v/>
      </c>
      <c r="J52" s="26" t="n"/>
    </row>
    <row r="53" ht="27.75" customHeight="1">
      <c r="A53" s="30">
        <f>TKB_Nhap!A53</f>
        <v/>
      </c>
      <c r="B53" s="30">
        <f>TKB_Nhap!B53</f>
        <v/>
      </c>
      <c r="C53" s="30">
        <f>TKB_Nhap!C53</f>
        <v/>
      </c>
      <c r="D53" s="26">
        <f>IF(TKB_Nhap!D53="","",TKB_Nhap!D53&amp;CHAR(10)&amp;IF(T(INDEX(PhanCong!$B$3:$I$18,MATCH(TKB_Nhap!D53,PhanCong!$A$3:$A$18,0),MATCH($A53,PhanCong!$B$2:$I$2,0)))="","(chưa PC GV)","GV: "&amp;INDEX(PhanCong!$B$3:$I$18,MATCH(TKB_Nhap!D53,PhanCong!$A$3:$A$18,0),MATCH($A53,PhanCong!$B$2:$I$2,0))))</f>
        <v/>
      </c>
      <c r="E53" s="26">
        <f>IF(TKB_Nhap!E53="","",TKB_Nhap!E53&amp;CHAR(10)&amp;IF(T(INDEX(PhanCong!$B$3:$I$18,MATCH(TKB_Nhap!E53,PhanCong!$A$3:$A$18,0),MATCH($A53,PhanCong!$B$2:$I$2,0)))="","(chưa PC GV)","GV: "&amp;INDEX(PhanCong!$B$3:$I$18,MATCH(TKB_Nhap!E53,PhanCong!$A$3:$A$18,0),MATCH($A53,PhanCong!$B$2:$I$2,0))))</f>
        <v/>
      </c>
      <c r="F53" s="26">
        <f>IF(TKB_Nhap!F53="","",TKB_Nhap!F53&amp;CHAR(10)&amp;IF(T(INDEX(PhanCong!$B$3:$I$18,MATCH(TKB_Nhap!F53,PhanCong!$A$3:$A$18,0),MATCH($A53,PhanCong!$B$2:$I$2,0)))="","(chưa PC GV)","GV: "&amp;INDEX(PhanCong!$B$3:$I$18,MATCH(TKB_Nhap!F53,PhanCong!$A$3:$A$18,0),MATCH($A53,PhanCong!$B$2:$I$2,0))))</f>
        <v/>
      </c>
      <c r="G53" s="26">
        <f>IF(TKB_Nhap!G53="","",TKB_Nhap!G53&amp;CHAR(10)&amp;IF(T(INDEX(PhanCong!$B$3:$I$18,MATCH(TKB_Nhap!G53,PhanCong!$A$3:$A$18,0),MATCH($A53,PhanCong!$B$2:$I$2,0)))="","(chưa PC GV)","GV: "&amp;INDEX(PhanCong!$B$3:$I$18,MATCH(TKB_Nhap!G53,PhanCong!$A$3:$A$18,0),MATCH($A53,PhanCong!$B$2:$I$2,0))))</f>
        <v/>
      </c>
      <c r="H53" s="26">
        <f>IF(TKB_Nhap!H53="","",TKB_Nhap!H53&amp;CHAR(10)&amp;IF(T(INDEX(PhanCong!$B$3:$I$18,MATCH(TKB_Nhap!H53,PhanCong!$A$3:$A$18,0),MATCH($A53,PhanCong!$B$2:$I$2,0)))="","(chưa PC GV)","GV: "&amp;INDEX(PhanCong!$B$3:$I$18,MATCH(TKB_Nhap!H53,PhanCong!$A$3:$A$18,0),MATCH($A53,PhanCong!$B$2:$I$2,0))))</f>
        <v/>
      </c>
      <c r="I53" s="26">
        <f>IF(TKB_Nhap!I53="","",TKB_Nhap!I53&amp;CHAR(10)&amp;IF(T(INDEX(PhanCong!$B$3:$I$18,MATCH(TKB_Nhap!I53,PhanCong!$A$3:$A$18,0),MATCH($A53,PhanCong!$B$2:$I$2,0)))="","(chưa PC GV)","GV: "&amp;INDEX(PhanCong!$B$3:$I$18,MATCH(TKB_Nhap!I53,PhanCong!$A$3:$A$18,0),MATCH($A53,PhanCong!$B$2:$I$2,0))))</f>
        <v/>
      </c>
      <c r="J53" s="26" t="n"/>
    </row>
    <row r="54" ht="27.75" customHeight="1">
      <c r="A54" s="30">
        <f>TKB_Nhap!A54</f>
        <v/>
      </c>
      <c r="B54" s="30">
        <f>TKB_Nhap!B54</f>
        <v/>
      </c>
      <c r="C54" s="30">
        <f>TKB_Nhap!C54</f>
        <v/>
      </c>
      <c r="D54" s="26">
        <f>IF(TKB_Nhap!D54="","",TKB_Nhap!D54&amp;CHAR(10)&amp;IF(T(INDEX(PhanCong!$B$3:$I$18,MATCH(TKB_Nhap!D54,PhanCong!$A$3:$A$18,0),MATCH($A54,PhanCong!$B$2:$I$2,0)))="","(chưa PC GV)","GV: "&amp;INDEX(PhanCong!$B$3:$I$18,MATCH(TKB_Nhap!D54,PhanCong!$A$3:$A$18,0),MATCH($A54,PhanCong!$B$2:$I$2,0))))</f>
        <v/>
      </c>
      <c r="E54" s="26">
        <f>IF(TKB_Nhap!E54="","",TKB_Nhap!E54&amp;CHAR(10)&amp;IF(T(INDEX(PhanCong!$B$3:$I$18,MATCH(TKB_Nhap!E54,PhanCong!$A$3:$A$18,0),MATCH($A54,PhanCong!$B$2:$I$2,0)))="","(chưa PC GV)","GV: "&amp;INDEX(PhanCong!$B$3:$I$18,MATCH(TKB_Nhap!E54,PhanCong!$A$3:$A$18,0),MATCH($A54,PhanCong!$B$2:$I$2,0))))</f>
        <v/>
      </c>
      <c r="F54" s="26">
        <f>IF(TKB_Nhap!F54="","",TKB_Nhap!F54&amp;CHAR(10)&amp;IF(T(INDEX(PhanCong!$B$3:$I$18,MATCH(TKB_Nhap!F54,PhanCong!$A$3:$A$18,0),MATCH($A54,PhanCong!$B$2:$I$2,0)))="","(chưa PC GV)","GV: "&amp;INDEX(PhanCong!$B$3:$I$18,MATCH(TKB_Nhap!F54,PhanCong!$A$3:$A$18,0),MATCH($A54,PhanCong!$B$2:$I$2,0))))</f>
        <v/>
      </c>
      <c r="G54" s="26">
        <f>IF(TKB_Nhap!G54="","",TKB_Nhap!G54&amp;CHAR(10)&amp;IF(T(INDEX(PhanCong!$B$3:$I$18,MATCH(TKB_Nhap!G54,PhanCong!$A$3:$A$18,0),MATCH($A54,PhanCong!$B$2:$I$2,0)))="","(chưa PC GV)","GV: "&amp;INDEX(PhanCong!$B$3:$I$18,MATCH(TKB_Nhap!G54,PhanCong!$A$3:$A$18,0),MATCH($A54,PhanCong!$B$2:$I$2,0))))</f>
        <v/>
      </c>
      <c r="H54" s="26">
        <f>IF(TKB_Nhap!H54="","",TKB_Nhap!H54&amp;CHAR(10)&amp;IF(T(INDEX(PhanCong!$B$3:$I$18,MATCH(TKB_Nhap!H54,PhanCong!$A$3:$A$18,0),MATCH($A54,PhanCong!$B$2:$I$2,0)))="","(chưa PC GV)","GV: "&amp;INDEX(PhanCong!$B$3:$I$18,MATCH(TKB_Nhap!H54,PhanCong!$A$3:$A$18,0),MATCH($A54,PhanCong!$B$2:$I$2,0))))</f>
        <v/>
      </c>
      <c r="I54" s="26">
        <f>IF(TKB_Nhap!I54="","",TKB_Nhap!I54&amp;CHAR(10)&amp;IF(T(INDEX(PhanCong!$B$3:$I$18,MATCH(TKB_Nhap!I54,PhanCong!$A$3:$A$18,0),MATCH($A54,PhanCong!$B$2:$I$2,0)))="","(chưa PC GV)","GV: "&amp;INDEX(PhanCong!$B$3:$I$18,MATCH(TKB_Nhap!I54,PhanCong!$A$3:$A$18,0),MATCH($A54,PhanCong!$B$2:$I$2,0))))</f>
        <v/>
      </c>
      <c r="J54" s="26" t="n"/>
    </row>
    <row r="55" ht="27.75" customHeight="1">
      <c r="A55" s="30">
        <f>TKB_Nhap!A55</f>
        <v/>
      </c>
      <c r="B55" s="30">
        <f>TKB_Nhap!B55</f>
        <v/>
      </c>
      <c r="C55" s="30">
        <f>TKB_Nhap!C55</f>
        <v/>
      </c>
      <c r="D55" s="26">
        <f>IF(TKB_Nhap!D55="","",TKB_Nhap!D55&amp;CHAR(10)&amp;IF(T(INDEX(PhanCong!$B$3:$I$18,MATCH(TKB_Nhap!D55,PhanCong!$A$3:$A$18,0),MATCH($A55,PhanCong!$B$2:$I$2,0)))="","(chưa PC GV)","GV: "&amp;INDEX(PhanCong!$B$3:$I$18,MATCH(TKB_Nhap!D55,PhanCong!$A$3:$A$18,0),MATCH($A55,PhanCong!$B$2:$I$2,0))))</f>
        <v/>
      </c>
      <c r="E55" s="26">
        <f>IF(TKB_Nhap!E55="","",TKB_Nhap!E55&amp;CHAR(10)&amp;IF(T(INDEX(PhanCong!$B$3:$I$18,MATCH(TKB_Nhap!E55,PhanCong!$A$3:$A$18,0),MATCH($A55,PhanCong!$B$2:$I$2,0)))="","(chưa PC GV)","GV: "&amp;INDEX(PhanCong!$B$3:$I$18,MATCH(TKB_Nhap!E55,PhanCong!$A$3:$A$18,0),MATCH($A55,PhanCong!$B$2:$I$2,0))))</f>
        <v/>
      </c>
      <c r="F55" s="26">
        <f>IF(TKB_Nhap!F55="","",TKB_Nhap!F55&amp;CHAR(10)&amp;IF(T(INDEX(PhanCong!$B$3:$I$18,MATCH(TKB_Nhap!F55,PhanCong!$A$3:$A$18,0),MATCH($A55,PhanCong!$B$2:$I$2,0)))="","(chưa PC GV)","GV: "&amp;INDEX(PhanCong!$B$3:$I$18,MATCH(TKB_Nhap!F55,PhanCong!$A$3:$A$18,0),MATCH($A55,PhanCong!$B$2:$I$2,0))))</f>
        <v/>
      </c>
      <c r="G55" s="26">
        <f>IF(TKB_Nhap!G55="","",TKB_Nhap!G55&amp;CHAR(10)&amp;IF(T(INDEX(PhanCong!$B$3:$I$18,MATCH(TKB_Nhap!G55,PhanCong!$A$3:$A$18,0),MATCH($A55,PhanCong!$B$2:$I$2,0)))="","(chưa PC GV)","GV: "&amp;INDEX(PhanCong!$B$3:$I$18,MATCH(TKB_Nhap!G55,PhanCong!$A$3:$A$18,0),MATCH($A55,PhanCong!$B$2:$I$2,0))))</f>
        <v/>
      </c>
      <c r="H55" s="26">
        <f>IF(TKB_Nhap!H55="","",TKB_Nhap!H55&amp;CHAR(10)&amp;IF(T(INDEX(PhanCong!$B$3:$I$18,MATCH(TKB_Nhap!H55,PhanCong!$A$3:$A$18,0),MATCH($A55,PhanCong!$B$2:$I$2,0)))="","(chưa PC GV)","GV: "&amp;INDEX(PhanCong!$B$3:$I$18,MATCH(TKB_Nhap!H55,PhanCong!$A$3:$A$18,0),MATCH($A55,PhanCong!$B$2:$I$2,0))))</f>
        <v/>
      </c>
      <c r="I55" s="26">
        <f>IF(TKB_Nhap!I55="","",TKB_Nhap!I55&amp;CHAR(10)&amp;IF(T(INDEX(PhanCong!$B$3:$I$18,MATCH(TKB_Nhap!I55,PhanCong!$A$3:$A$18,0),MATCH($A55,PhanCong!$B$2:$I$2,0)))="","(chưa PC GV)","GV: "&amp;INDEX(PhanCong!$B$3:$I$18,MATCH(TKB_Nhap!I55,PhanCong!$A$3:$A$18,0),MATCH($A55,PhanCong!$B$2:$I$2,0))))</f>
        <v/>
      </c>
      <c r="J55" s="26" t="n"/>
    </row>
    <row r="56" ht="27.75" customHeight="1">
      <c r="A56" s="30">
        <f>TKB_Nhap!A56</f>
        <v/>
      </c>
      <c r="B56" s="30">
        <f>TKB_Nhap!B56</f>
        <v/>
      </c>
      <c r="C56" s="30">
        <f>TKB_Nhap!C56</f>
        <v/>
      </c>
      <c r="D56" s="26">
        <f>IF(TKB_Nhap!D56="","",TKB_Nhap!D56&amp;CHAR(10)&amp;IF(T(INDEX(PhanCong!$B$3:$I$18,MATCH(TKB_Nhap!D56,PhanCong!$A$3:$A$18,0),MATCH($A56,PhanCong!$B$2:$I$2,0)))="","(chưa PC GV)","GV: "&amp;INDEX(PhanCong!$B$3:$I$18,MATCH(TKB_Nhap!D56,PhanCong!$A$3:$A$18,0),MATCH($A56,PhanCong!$B$2:$I$2,0))))</f>
        <v/>
      </c>
      <c r="E56" s="26">
        <f>IF(TKB_Nhap!E56="","",TKB_Nhap!E56&amp;CHAR(10)&amp;IF(T(INDEX(PhanCong!$B$3:$I$18,MATCH(TKB_Nhap!E56,PhanCong!$A$3:$A$18,0),MATCH($A56,PhanCong!$B$2:$I$2,0)))="","(chưa PC GV)","GV: "&amp;INDEX(PhanCong!$B$3:$I$18,MATCH(TKB_Nhap!E56,PhanCong!$A$3:$A$18,0),MATCH($A56,PhanCong!$B$2:$I$2,0))))</f>
        <v/>
      </c>
      <c r="F56" s="26">
        <f>IF(TKB_Nhap!F56="","",TKB_Nhap!F56&amp;CHAR(10)&amp;IF(T(INDEX(PhanCong!$B$3:$I$18,MATCH(TKB_Nhap!F56,PhanCong!$A$3:$A$18,0),MATCH($A56,PhanCong!$B$2:$I$2,0)))="","(chưa PC GV)","GV: "&amp;INDEX(PhanCong!$B$3:$I$18,MATCH(TKB_Nhap!F56,PhanCong!$A$3:$A$18,0),MATCH($A56,PhanCong!$B$2:$I$2,0))))</f>
        <v/>
      </c>
      <c r="G56" s="26">
        <f>IF(TKB_Nhap!G56="","",TKB_Nhap!G56&amp;CHAR(10)&amp;IF(T(INDEX(PhanCong!$B$3:$I$18,MATCH(TKB_Nhap!G56,PhanCong!$A$3:$A$18,0),MATCH($A56,PhanCong!$B$2:$I$2,0)))="","(chưa PC GV)","GV: "&amp;INDEX(PhanCong!$B$3:$I$18,MATCH(TKB_Nhap!G56,PhanCong!$A$3:$A$18,0),MATCH($A56,PhanCong!$B$2:$I$2,0))))</f>
        <v/>
      </c>
      <c r="H56" s="26">
        <f>IF(TKB_Nhap!H56="","",TKB_Nhap!H56&amp;CHAR(10)&amp;IF(T(INDEX(PhanCong!$B$3:$I$18,MATCH(TKB_Nhap!H56,PhanCong!$A$3:$A$18,0),MATCH($A56,PhanCong!$B$2:$I$2,0)))="","(chưa PC GV)","GV: "&amp;INDEX(PhanCong!$B$3:$I$18,MATCH(TKB_Nhap!H56,PhanCong!$A$3:$A$18,0),MATCH($A56,PhanCong!$B$2:$I$2,0))))</f>
        <v/>
      </c>
      <c r="I56" s="26">
        <f>IF(TKB_Nhap!I56="","",TKB_Nhap!I56&amp;CHAR(10)&amp;IF(T(INDEX(PhanCong!$B$3:$I$18,MATCH(TKB_Nhap!I56,PhanCong!$A$3:$A$18,0),MATCH($A56,PhanCong!$B$2:$I$2,0)))="","(chưa PC GV)","GV: "&amp;INDEX(PhanCong!$B$3:$I$18,MATCH(TKB_Nhap!I56,PhanCong!$A$3:$A$18,0),MATCH($A56,PhanCong!$B$2:$I$2,0))))</f>
        <v/>
      </c>
      <c r="J56" s="26" t="n"/>
    </row>
    <row r="57" ht="27.75" customHeight="1">
      <c r="A57" s="30">
        <f>TKB_Nhap!A57</f>
        <v/>
      </c>
      <c r="B57" s="30">
        <f>TKB_Nhap!B57</f>
        <v/>
      </c>
      <c r="C57" s="30">
        <f>TKB_Nhap!C57</f>
        <v/>
      </c>
      <c r="D57" s="26">
        <f>IF(TKB_Nhap!D57="","",TKB_Nhap!D57&amp;CHAR(10)&amp;IF(T(INDEX(PhanCong!$B$3:$I$18,MATCH(TKB_Nhap!D57,PhanCong!$A$3:$A$18,0),MATCH($A57,PhanCong!$B$2:$I$2,0)))="","(chưa PC GV)","GV: "&amp;INDEX(PhanCong!$B$3:$I$18,MATCH(TKB_Nhap!D57,PhanCong!$A$3:$A$18,0),MATCH($A57,PhanCong!$B$2:$I$2,0))))</f>
        <v/>
      </c>
      <c r="E57" s="26">
        <f>IF(TKB_Nhap!E57="","",TKB_Nhap!E57&amp;CHAR(10)&amp;IF(T(INDEX(PhanCong!$B$3:$I$18,MATCH(TKB_Nhap!E57,PhanCong!$A$3:$A$18,0),MATCH($A57,PhanCong!$B$2:$I$2,0)))="","(chưa PC GV)","GV: "&amp;INDEX(PhanCong!$B$3:$I$18,MATCH(TKB_Nhap!E57,PhanCong!$A$3:$A$18,0),MATCH($A57,PhanCong!$B$2:$I$2,0))))</f>
        <v/>
      </c>
      <c r="F57" s="26">
        <f>IF(TKB_Nhap!F57="","",TKB_Nhap!F57&amp;CHAR(10)&amp;IF(T(INDEX(PhanCong!$B$3:$I$18,MATCH(TKB_Nhap!F57,PhanCong!$A$3:$A$18,0),MATCH($A57,PhanCong!$B$2:$I$2,0)))="","(chưa PC GV)","GV: "&amp;INDEX(PhanCong!$B$3:$I$18,MATCH(TKB_Nhap!F57,PhanCong!$A$3:$A$18,0),MATCH($A57,PhanCong!$B$2:$I$2,0))))</f>
        <v/>
      </c>
      <c r="G57" s="26">
        <f>IF(TKB_Nhap!G57="","",TKB_Nhap!G57&amp;CHAR(10)&amp;IF(T(INDEX(PhanCong!$B$3:$I$18,MATCH(TKB_Nhap!G57,PhanCong!$A$3:$A$18,0),MATCH($A57,PhanCong!$B$2:$I$2,0)))="","(chưa PC GV)","GV: "&amp;INDEX(PhanCong!$B$3:$I$18,MATCH(TKB_Nhap!G57,PhanCong!$A$3:$A$18,0),MATCH($A57,PhanCong!$B$2:$I$2,0))))</f>
        <v/>
      </c>
      <c r="H57" s="26">
        <f>IF(TKB_Nhap!H57="","",TKB_Nhap!H57&amp;CHAR(10)&amp;IF(T(INDEX(PhanCong!$B$3:$I$18,MATCH(TKB_Nhap!H57,PhanCong!$A$3:$A$18,0),MATCH($A57,PhanCong!$B$2:$I$2,0)))="","(chưa PC GV)","GV: "&amp;INDEX(PhanCong!$B$3:$I$18,MATCH(TKB_Nhap!H57,PhanCong!$A$3:$A$18,0),MATCH($A57,PhanCong!$B$2:$I$2,0))))</f>
        <v/>
      </c>
      <c r="I57" s="26">
        <f>IF(TKB_Nhap!I57="","",TKB_Nhap!I57&amp;CHAR(10)&amp;IF(T(INDEX(PhanCong!$B$3:$I$18,MATCH(TKB_Nhap!I57,PhanCong!$A$3:$A$18,0),MATCH($A57,PhanCong!$B$2:$I$2,0)))="","(chưa PC GV)","GV: "&amp;INDEX(PhanCong!$B$3:$I$18,MATCH(TKB_Nhap!I57,PhanCong!$A$3:$A$18,0),MATCH($A57,PhanCong!$B$2:$I$2,0))))</f>
        <v/>
      </c>
      <c r="J57" s="26" t="n"/>
    </row>
    <row r="58" ht="27.75" customHeight="1">
      <c r="A58" s="36" t="n"/>
      <c r="B58" s="36" t="n"/>
      <c r="C58" s="36" t="n"/>
      <c r="D58" s="38" t="n"/>
      <c r="E58" s="38" t="n"/>
      <c r="F58" s="38" t="n"/>
      <c r="G58" s="38" t="n"/>
      <c r="H58" s="38" t="n"/>
      <c r="I58" s="38" t="n"/>
      <c r="J58" s="38" t="n"/>
    </row>
    <row r="59" ht="27.75" customHeight="1">
      <c r="A59" s="36" t="n"/>
      <c r="B59" s="36" t="n"/>
      <c r="C59" s="36" t="n"/>
      <c r="D59" s="38" t="n"/>
      <c r="E59" s="38" t="n"/>
      <c r="F59" s="38" t="n"/>
      <c r="G59" s="38" t="n"/>
      <c r="H59" s="38" t="n"/>
      <c r="I59" s="38" t="n"/>
      <c r="J59" s="38" t="n"/>
    </row>
    <row r="60" ht="27.75" customHeight="1">
      <c r="A60" s="36" t="n"/>
      <c r="B60" s="36" t="n"/>
      <c r="C60" s="36" t="n"/>
      <c r="D60" s="38" t="n"/>
      <c r="E60" s="38" t="n"/>
      <c r="F60" s="38" t="n"/>
      <c r="G60" s="38" t="n"/>
      <c r="H60" s="38" t="n"/>
      <c r="I60" s="38" t="n"/>
      <c r="J60" s="38" t="n"/>
    </row>
    <row r="61" ht="27.75" customHeight="1">
      <c r="A61" s="36" t="n"/>
      <c r="B61" s="36" t="n"/>
      <c r="C61" s="36" t="n"/>
      <c r="D61" s="38" t="n"/>
      <c r="E61" s="38" t="n"/>
      <c r="F61" s="38" t="n"/>
      <c r="G61" s="38" t="n"/>
      <c r="H61" s="38" t="n"/>
      <c r="I61" s="38" t="n"/>
      <c r="J61" s="38" t="n"/>
    </row>
    <row r="62" ht="27.75" customHeight="1">
      <c r="A62" s="36" t="n"/>
      <c r="B62" s="36" t="n"/>
      <c r="C62" s="36" t="n"/>
      <c r="D62" s="38" t="n"/>
      <c r="E62" s="38" t="n"/>
      <c r="F62" s="38" t="n"/>
      <c r="G62" s="38" t="n"/>
      <c r="H62" s="38" t="n"/>
      <c r="I62" s="38" t="n"/>
      <c r="J62" s="38" t="n"/>
    </row>
    <row r="63" ht="27.75" customHeight="1">
      <c r="A63" s="36" t="n"/>
      <c r="B63" s="36" t="n"/>
      <c r="C63" s="36" t="n"/>
      <c r="D63" s="38" t="n"/>
      <c r="E63" s="38" t="n"/>
      <c r="F63" s="38" t="n"/>
      <c r="G63" s="38" t="n"/>
      <c r="H63" s="38" t="n"/>
      <c r="I63" s="38" t="n"/>
      <c r="J63" s="38" t="n"/>
    </row>
    <row r="64" ht="27.75" customHeight="1">
      <c r="A64" s="36" t="n"/>
      <c r="B64" s="36" t="n"/>
      <c r="C64" s="36" t="n"/>
      <c r="D64" s="38" t="n"/>
      <c r="E64" s="38" t="n"/>
      <c r="F64" s="38" t="n"/>
      <c r="G64" s="38" t="n"/>
      <c r="H64" s="38" t="n"/>
      <c r="I64" s="38" t="n"/>
      <c r="J64" s="38" t="n"/>
    </row>
    <row r="65" ht="27.75" customHeight="1">
      <c r="A65" s="36" t="n"/>
      <c r="B65" s="36" t="n"/>
      <c r="C65" s="36" t="n"/>
      <c r="D65" s="38" t="n"/>
      <c r="E65" s="38" t="n"/>
      <c r="F65" s="38" t="n"/>
      <c r="G65" s="38" t="n"/>
      <c r="H65" s="38" t="n"/>
      <c r="I65" s="38" t="n"/>
      <c r="J65" s="38" t="n"/>
    </row>
    <row r="66" ht="27.75" customHeight="1">
      <c r="A66" s="30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</row>
    <row r="67" ht="27.75" customHeight="1">
      <c r="A67" s="30" t="n"/>
      <c r="B67" s="30" t="n"/>
      <c r="C67" s="30" t="n"/>
      <c r="D67" s="26" t="n"/>
      <c r="E67" s="26" t="n"/>
      <c r="F67" s="26" t="n"/>
      <c r="G67" s="26" t="n"/>
      <c r="H67" s="26" t="n"/>
      <c r="I67" s="26" t="n"/>
      <c r="J67" s="26" t="n"/>
    </row>
    <row r="68" ht="27.75" customHeight="1">
      <c r="A68" s="30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</row>
    <row r="69" ht="27.75" customHeight="1">
      <c r="A69" s="30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</row>
    <row r="70" ht="27.75" customHeight="1">
      <c r="A70" s="30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</row>
    <row r="71" ht="27.75" customHeight="1">
      <c r="A71" s="30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</row>
    <row r="72" ht="27.75" customHeight="1">
      <c r="A72" s="30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</row>
    <row r="73" ht="27.75" customHeight="1">
      <c r="A73" s="30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R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6" customWidth="1" min="1" max="1"/>
    <col width="16" customWidth="1" min="2" max="3"/>
    <col width="16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0" customWidth="1" min="11" max="11"/>
    <col hidden="1" width="21" customWidth="1" min="12" max="18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24.7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  <c r="L1" s="33" t="inlineStr">
        <is>
          <t>Cờ trùng GV (ẩn) →</t>
        </is>
      </c>
    </row>
    <row r="2" ht="15" customHeight="1">
      <c r="A2" s="30">
        <f>TKB_Nhap!A2</f>
        <v/>
      </c>
      <c r="B2" s="30">
        <f>TKB_Nhap!B2</f>
        <v/>
      </c>
      <c r="C2" s="30">
        <f>TKB_Nhap!C2</f>
        <v/>
      </c>
      <c r="D2" s="30">
        <f>IF(TKB_Nhap!D2="","",IFERROR(T(INDEX(PhanCong!$B$3:$I$18,MATCH(TKB_Nhap!D2,PhanCong!$A$3:$A$18,0),MATCH($A2,PhanCong!$B$2:$I$2,0))),""))</f>
        <v/>
      </c>
      <c r="E2" s="30">
        <f>IF(TKB_Nhap!E2="","",IFERROR(T(INDEX(PhanCong!$B$3:$I$18,MATCH(TKB_Nhap!E2,PhanCong!$A$3:$A$18,0),MATCH($A2,PhanCong!$B$2:$I$2,0))),""))</f>
        <v/>
      </c>
      <c r="F2" s="30">
        <f>IF(TKB_Nhap!F2="","",IFERROR(T(INDEX(PhanCong!$B$3:$I$18,MATCH(TKB_Nhap!F2,PhanCong!$A$3:$A$18,0),MATCH($A2,PhanCong!$B$2:$I$2,0))),""))</f>
        <v/>
      </c>
      <c r="G2" s="30">
        <f>IF(TKB_Nhap!G2="","",IFERROR(T(INDEX(PhanCong!$B$3:$I$18,MATCH(TKB_Nhap!G2,PhanCong!$A$3:$A$18,0),MATCH($A2,PhanCong!$B$2:$I$2,0))),""))</f>
        <v/>
      </c>
      <c r="H2" s="30">
        <f>IF(TKB_Nhap!H2="","",IFERROR(T(INDEX(PhanCong!$B$3:$I$18,MATCH(TKB_Nhap!H2,PhanCong!$A$3:$A$18,0),MATCH($A2,PhanCong!$B$2:$I$2,0))),""))</f>
        <v/>
      </c>
      <c r="I2" s="30">
        <f>IF(TKB_Nhap!I2="","",IFERROR(T(INDEX(PhanCong!$B$3:$I$18,MATCH(TKB_Nhap!I2,PhanCong!$A$3:$A$18,0),MATCH($A2,PhanCong!$B$2:$I$2,0))),""))</f>
        <v/>
      </c>
      <c r="J2" s="30" t="n"/>
      <c r="L2" s="39" t="n"/>
      <c r="M2" s="39" t="n"/>
      <c r="N2" s="39" t="n"/>
      <c r="O2" s="39" t="n"/>
      <c r="P2" s="39" t="n"/>
      <c r="Q2" s="39" t="n"/>
      <c r="R2" s="39" t="n"/>
    </row>
    <row r="3" ht="15" customHeight="1">
      <c r="A3" s="30">
        <f>TKB_Nhap!A3</f>
        <v/>
      </c>
      <c r="B3" s="30">
        <f>TKB_Nhap!B3</f>
        <v/>
      </c>
      <c r="C3" s="30">
        <f>TKB_Nhap!C3</f>
        <v/>
      </c>
      <c r="D3" s="30">
        <f>IF(TKB_Nhap!D3="","",IFERROR(T(INDEX(PhanCong!$B$3:$I$18,MATCH(TKB_Nhap!D3,PhanCong!$A$3:$A$18,0),MATCH($A3,PhanCong!$B$2:$I$2,0))),""))</f>
        <v/>
      </c>
      <c r="E3" s="30">
        <f>IF(TKB_Nhap!E3="","",IFERROR(T(INDEX(PhanCong!$B$3:$I$18,MATCH(TKB_Nhap!E3,PhanCong!$A$3:$A$18,0),MATCH($A3,PhanCong!$B$2:$I$2,0))),""))</f>
        <v/>
      </c>
      <c r="F3" s="30">
        <f>IF(TKB_Nhap!F3="","",IFERROR(T(INDEX(PhanCong!$B$3:$I$18,MATCH(TKB_Nhap!F3,PhanCong!$A$3:$A$18,0),MATCH($A3,PhanCong!$B$2:$I$2,0))),""))</f>
        <v/>
      </c>
      <c r="G3" s="30">
        <f>IF(TKB_Nhap!G3="","",IFERROR(T(INDEX(PhanCong!$B$3:$I$18,MATCH(TKB_Nhap!G3,PhanCong!$A$3:$A$18,0),MATCH($A3,PhanCong!$B$2:$I$2,0))),""))</f>
        <v/>
      </c>
      <c r="H3" s="30">
        <f>IF(TKB_Nhap!H3="","",IFERROR(T(INDEX(PhanCong!$B$3:$I$18,MATCH(TKB_Nhap!H3,PhanCong!$A$3:$A$18,0),MATCH($A3,PhanCong!$B$2:$I$2,0))),""))</f>
        <v/>
      </c>
      <c r="I3" s="30">
        <f>IF(TKB_Nhap!I3="","",IFERROR(T(INDEX(PhanCong!$B$3:$I$18,MATCH(TKB_Nhap!I3,PhanCong!$A$3:$A$18,0),MATCH($A3,PhanCong!$B$2:$I$2,0))),""))</f>
        <v/>
      </c>
      <c r="J3" s="30" t="n"/>
      <c r="L3" s="39" t="n"/>
      <c r="M3" s="39" t="n"/>
      <c r="N3" s="39" t="n"/>
      <c r="O3" s="39" t="n"/>
      <c r="P3" s="39" t="n"/>
      <c r="Q3" s="39" t="n"/>
      <c r="R3" s="39" t="n"/>
    </row>
    <row r="4" ht="15" customHeight="1">
      <c r="A4" s="30">
        <f>TKB_Nhap!A4</f>
        <v/>
      </c>
      <c r="B4" s="30">
        <f>TKB_Nhap!B4</f>
        <v/>
      </c>
      <c r="C4" s="30">
        <f>TKB_Nhap!C4</f>
        <v/>
      </c>
      <c r="D4" s="30">
        <f>IF(TKB_Nhap!D4="","",IFERROR(T(INDEX(PhanCong!$B$3:$I$18,MATCH(TKB_Nhap!D4,PhanCong!$A$3:$A$18,0),MATCH($A4,PhanCong!$B$2:$I$2,0))),""))</f>
        <v/>
      </c>
      <c r="E4" s="30">
        <f>IF(TKB_Nhap!E4="","",IFERROR(T(INDEX(PhanCong!$B$3:$I$18,MATCH(TKB_Nhap!E4,PhanCong!$A$3:$A$18,0),MATCH($A4,PhanCong!$B$2:$I$2,0))),""))</f>
        <v/>
      </c>
      <c r="F4" s="30">
        <f>IF(TKB_Nhap!F4="","",IFERROR(T(INDEX(PhanCong!$B$3:$I$18,MATCH(TKB_Nhap!F4,PhanCong!$A$3:$A$18,0),MATCH($A4,PhanCong!$B$2:$I$2,0))),""))</f>
        <v/>
      </c>
      <c r="G4" s="30">
        <f>IF(TKB_Nhap!G4="","",IFERROR(T(INDEX(PhanCong!$B$3:$I$18,MATCH(TKB_Nhap!G4,PhanCong!$A$3:$A$18,0),MATCH($A4,PhanCong!$B$2:$I$2,0))),""))</f>
        <v/>
      </c>
      <c r="H4" s="30">
        <f>IF(TKB_Nhap!H4="","",IFERROR(T(INDEX(PhanCong!$B$3:$I$18,MATCH(TKB_Nhap!H4,PhanCong!$A$3:$A$18,0),MATCH($A4,PhanCong!$B$2:$I$2,0))),""))</f>
        <v/>
      </c>
      <c r="I4" s="30">
        <f>IF(TKB_Nhap!I4="","",IFERROR(T(INDEX(PhanCong!$B$3:$I$18,MATCH(TKB_Nhap!I4,PhanCong!$A$3:$A$18,0),MATCH($A4,PhanCong!$B$2:$I$2,0))),""))</f>
        <v/>
      </c>
      <c r="J4" s="30" t="n"/>
      <c r="L4" s="39" t="n"/>
      <c r="M4" s="39" t="n"/>
      <c r="N4" s="39" t="n"/>
      <c r="O4" s="39" t="n"/>
      <c r="P4" s="39" t="n"/>
      <c r="Q4" s="39" t="n"/>
      <c r="R4" s="39" t="n"/>
    </row>
    <row r="5" ht="15" customHeight="1">
      <c r="A5" s="30">
        <f>TKB_Nhap!A5</f>
        <v/>
      </c>
      <c r="B5" s="30">
        <f>TKB_Nhap!B5</f>
        <v/>
      </c>
      <c r="C5" s="30">
        <f>TKB_Nhap!C5</f>
        <v/>
      </c>
      <c r="D5" s="30">
        <f>IF(TKB_Nhap!D5="","",IFERROR(T(INDEX(PhanCong!$B$3:$I$18,MATCH(TKB_Nhap!D5,PhanCong!$A$3:$A$18,0),MATCH($A5,PhanCong!$B$2:$I$2,0))),""))</f>
        <v/>
      </c>
      <c r="E5" s="30">
        <f>IF(TKB_Nhap!E5="","",IFERROR(T(INDEX(PhanCong!$B$3:$I$18,MATCH(TKB_Nhap!E5,PhanCong!$A$3:$A$18,0),MATCH($A5,PhanCong!$B$2:$I$2,0))),""))</f>
        <v/>
      </c>
      <c r="F5" s="30">
        <f>IF(TKB_Nhap!F5="","",IFERROR(T(INDEX(PhanCong!$B$3:$I$18,MATCH(TKB_Nhap!F5,PhanCong!$A$3:$A$18,0),MATCH($A5,PhanCong!$B$2:$I$2,0))),""))</f>
        <v/>
      </c>
      <c r="G5" s="30">
        <f>IF(TKB_Nhap!G5="","",IFERROR(T(INDEX(PhanCong!$B$3:$I$18,MATCH(TKB_Nhap!G5,PhanCong!$A$3:$A$18,0),MATCH($A5,PhanCong!$B$2:$I$2,0))),""))</f>
        <v/>
      </c>
      <c r="H5" s="30">
        <f>IF(TKB_Nhap!H5="","",IFERROR(T(INDEX(PhanCong!$B$3:$I$18,MATCH(TKB_Nhap!H5,PhanCong!$A$3:$A$18,0),MATCH($A5,PhanCong!$B$2:$I$2,0))),""))</f>
        <v/>
      </c>
      <c r="I5" s="30">
        <f>IF(TKB_Nhap!I5="","",IFERROR(T(INDEX(PhanCong!$B$3:$I$18,MATCH(TKB_Nhap!I5,PhanCong!$A$3:$A$18,0),MATCH($A5,PhanCong!$B$2:$I$2,0))),""))</f>
        <v/>
      </c>
      <c r="J5" s="30" t="n"/>
      <c r="L5" s="39" t="n"/>
      <c r="M5" s="39" t="n"/>
      <c r="N5" s="39" t="n"/>
      <c r="O5" s="39" t="n"/>
      <c r="P5" s="39" t="n"/>
      <c r="Q5" s="39" t="n"/>
      <c r="R5" s="39" t="n"/>
    </row>
    <row r="6" ht="15" customHeight="1">
      <c r="A6" s="30">
        <f>TKB_Nhap!A6</f>
        <v/>
      </c>
      <c r="B6" s="30">
        <f>TKB_Nhap!B6</f>
        <v/>
      </c>
      <c r="C6" s="30">
        <f>TKB_Nhap!C6</f>
        <v/>
      </c>
      <c r="D6" s="30">
        <f>IF(TKB_Nhap!D6="","",IFERROR(T(INDEX(PhanCong!$B$3:$I$18,MATCH(TKB_Nhap!D6,PhanCong!$A$3:$A$18,0),MATCH($A6,PhanCong!$B$2:$I$2,0))),""))</f>
        <v/>
      </c>
      <c r="E6" s="30">
        <f>IF(TKB_Nhap!E6="","",IFERROR(T(INDEX(PhanCong!$B$3:$I$18,MATCH(TKB_Nhap!E6,PhanCong!$A$3:$A$18,0),MATCH($A6,PhanCong!$B$2:$I$2,0))),""))</f>
        <v/>
      </c>
      <c r="F6" s="30">
        <f>IF(TKB_Nhap!F6="","",IFERROR(T(INDEX(PhanCong!$B$3:$I$18,MATCH(TKB_Nhap!F6,PhanCong!$A$3:$A$18,0),MATCH($A6,PhanCong!$B$2:$I$2,0))),""))</f>
        <v/>
      </c>
      <c r="G6" s="30">
        <f>IF(TKB_Nhap!G6="","",IFERROR(T(INDEX(PhanCong!$B$3:$I$18,MATCH(TKB_Nhap!G6,PhanCong!$A$3:$A$18,0),MATCH($A6,PhanCong!$B$2:$I$2,0))),""))</f>
        <v/>
      </c>
      <c r="H6" s="30">
        <f>IF(TKB_Nhap!H6="","",IFERROR(T(INDEX(PhanCong!$B$3:$I$18,MATCH(TKB_Nhap!H6,PhanCong!$A$3:$A$18,0),MATCH($A6,PhanCong!$B$2:$I$2,0))),""))</f>
        <v/>
      </c>
      <c r="I6" s="30">
        <f>IF(TKB_Nhap!I6="","",IFERROR(T(INDEX(PhanCong!$B$3:$I$18,MATCH(TKB_Nhap!I6,PhanCong!$A$3:$A$18,0),MATCH($A6,PhanCong!$B$2:$I$2,0))),""))</f>
        <v/>
      </c>
      <c r="J6" s="30" t="n"/>
      <c r="L6" s="39" t="n"/>
      <c r="M6" s="39" t="n"/>
      <c r="N6" s="39" t="n"/>
      <c r="O6" s="39" t="n"/>
      <c r="P6" s="39" t="n"/>
      <c r="Q6" s="39" t="n"/>
      <c r="R6" s="39" t="n"/>
    </row>
    <row r="7" ht="15" customHeight="1">
      <c r="A7" s="30">
        <f>TKB_Nhap!A7</f>
        <v/>
      </c>
      <c r="B7" s="30">
        <f>TKB_Nhap!B7</f>
        <v/>
      </c>
      <c r="C7" s="30">
        <f>TKB_Nhap!C7</f>
        <v/>
      </c>
      <c r="D7" s="30">
        <f>IF(TKB_Nhap!D7="","",IFERROR(T(INDEX(PhanCong!$B$3:$I$18,MATCH(TKB_Nhap!D7,PhanCong!$A$3:$A$18,0),MATCH($A7,PhanCong!$B$2:$I$2,0))),""))</f>
        <v/>
      </c>
      <c r="E7" s="30">
        <f>IF(TKB_Nhap!E7="","",IFERROR(T(INDEX(PhanCong!$B$3:$I$18,MATCH(TKB_Nhap!E7,PhanCong!$A$3:$A$18,0),MATCH($A7,PhanCong!$B$2:$I$2,0))),""))</f>
        <v/>
      </c>
      <c r="F7" s="30">
        <f>IF(TKB_Nhap!F7="","",IFERROR(T(INDEX(PhanCong!$B$3:$I$18,MATCH(TKB_Nhap!F7,PhanCong!$A$3:$A$18,0),MATCH($A7,PhanCong!$B$2:$I$2,0))),""))</f>
        <v/>
      </c>
      <c r="G7" s="30">
        <f>IF(TKB_Nhap!G7="","",IFERROR(T(INDEX(PhanCong!$B$3:$I$18,MATCH(TKB_Nhap!G7,PhanCong!$A$3:$A$18,0),MATCH($A7,PhanCong!$B$2:$I$2,0))),""))</f>
        <v/>
      </c>
      <c r="H7" s="30">
        <f>IF(TKB_Nhap!H7="","",IFERROR(T(INDEX(PhanCong!$B$3:$I$18,MATCH(TKB_Nhap!H7,PhanCong!$A$3:$A$18,0),MATCH($A7,PhanCong!$B$2:$I$2,0))),""))</f>
        <v/>
      </c>
      <c r="I7" s="30">
        <f>IF(TKB_Nhap!I7="","",IFERROR(T(INDEX(PhanCong!$B$3:$I$18,MATCH(TKB_Nhap!I7,PhanCong!$A$3:$A$18,0),MATCH($A7,PhanCong!$B$2:$I$2,0))),""))</f>
        <v/>
      </c>
      <c r="J7" s="30" t="n"/>
      <c r="L7" s="39" t="n"/>
      <c r="M7" s="39" t="n"/>
      <c r="N7" s="39" t="n"/>
      <c r="O7" s="39" t="n"/>
      <c r="P7" s="39" t="n"/>
      <c r="Q7" s="39" t="n"/>
      <c r="R7" s="39" t="n"/>
    </row>
    <row r="8" ht="15" customHeight="1">
      <c r="A8" s="30">
        <f>TKB_Nhap!A8</f>
        <v/>
      </c>
      <c r="B8" s="30">
        <f>TKB_Nhap!B8</f>
        <v/>
      </c>
      <c r="C8" s="30">
        <f>TKB_Nhap!C8</f>
        <v/>
      </c>
      <c r="D8" s="30">
        <f>IF(TKB_Nhap!D8="","",IFERROR(T(INDEX(PhanCong!$B$3:$I$18,MATCH(TKB_Nhap!D8,PhanCong!$A$3:$A$18,0),MATCH($A8,PhanCong!$B$2:$I$2,0))),""))</f>
        <v/>
      </c>
      <c r="E8" s="30">
        <f>IF(TKB_Nhap!E8="","",IFERROR(T(INDEX(PhanCong!$B$3:$I$18,MATCH(TKB_Nhap!E8,PhanCong!$A$3:$A$18,0),MATCH($A8,PhanCong!$B$2:$I$2,0))),""))</f>
        <v/>
      </c>
      <c r="F8" s="30">
        <f>IF(TKB_Nhap!F8="","",IFERROR(T(INDEX(PhanCong!$B$3:$I$18,MATCH(TKB_Nhap!F8,PhanCong!$A$3:$A$18,0),MATCH($A8,PhanCong!$B$2:$I$2,0))),""))</f>
        <v/>
      </c>
      <c r="G8" s="30">
        <f>IF(TKB_Nhap!G8="","",IFERROR(T(INDEX(PhanCong!$B$3:$I$18,MATCH(TKB_Nhap!G8,PhanCong!$A$3:$A$18,0),MATCH($A8,PhanCong!$B$2:$I$2,0))),""))</f>
        <v/>
      </c>
      <c r="H8" s="30">
        <f>IF(TKB_Nhap!H8="","",IFERROR(T(INDEX(PhanCong!$B$3:$I$18,MATCH(TKB_Nhap!H8,PhanCong!$A$3:$A$18,0),MATCH($A8,PhanCong!$B$2:$I$2,0))),""))</f>
        <v/>
      </c>
      <c r="I8" s="30">
        <f>IF(TKB_Nhap!I8="","",IFERROR(T(INDEX(PhanCong!$B$3:$I$18,MATCH(TKB_Nhap!I8,PhanCong!$A$3:$A$18,0),MATCH($A8,PhanCong!$B$2:$I$2,0))),""))</f>
        <v/>
      </c>
      <c r="J8" s="30" t="n"/>
      <c r="L8" s="39" t="n"/>
      <c r="M8" s="39" t="n"/>
      <c r="N8" s="39" t="n"/>
      <c r="O8" s="39" t="n"/>
      <c r="P8" s="39" t="n"/>
      <c r="Q8" s="39" t="n"/>
      <c r="R8" s="39" t="n"/>
    </row>
    <row r="9" ht="15" customHeight="1">
      <c r="A9" s="30">
        <f>TKB_Nhap!A9</f>
        <v/>
      </c>
      <c r="B9" s="30">
        <f>TKB_Nhap!B9</f>
        <v/>
      </c>
      <c r="C9" s="30">
        <f>TKB_Nhap!C9</f>
        <v/>
      </c>
      <c r="D9" s="30">
        <f>IF(TKB_Nhap!D9="","",IFERROR(T(INDEX(PhanCong!$B$3:$I$18,MATCH(TKB_Nhap!D9,PhanCong!$A$3:$A$18,0),MATCH($A9,PhanCong!$B$2:$I$2,0))),""))</f>
        <v/>
      </c>
      <c r="E9" s="30">
        <f>IF(TKB_Nhap!E9="","",IFERROR(T(INDEX(PhanCong!$B$3:$I$18,MATCH(TKB_Nhap!E9,PhanCong!$A$3:$A$18,0),MATCH($A9,PhanCong!$B$2:$I$2,0))),""))</f>
        <v/>
      </c>
      <c r="F9" s="30">
        <f>IF(TKB_Nhap!F9="","",IFERROR(T(INDEX(PhanCong!$B$3:$I$18,MATCH(TKB_Nhap!F9,PhanCong!$A$3:$A$18,0),MATCH($A9,PhanCong!$B$2:$I$2,0))),""))</f>
        <v/>
      </c>
      <c r="G9" s="30">
        <f>IF(TKB_Nhap!G9="","",IFERROR(T(INDEX(PhanCong!$B$3:$I$18,MATCH(TKB_Nhap!G9,PhanCong!$A$3:$A$18,0),MATCH($A9,PhanCong!$B$2:$I$2,0))),""))</f>
        <v/>
      </c>
      <c r="H9" s="30">
        <f>IF(TKB_Nhap!H9="","",IFERROR(T(INDEX(PhanCong!$B$3:$I$18,MATCH(TKB_Nhap!H9,PhanCong!$A$3:$A$18,0),MATCH($A9,PhanCong!$B$2:$I$2,0))),""))</f>
        <v/>
      </c>
      <c r="I9" s="30">
        <f>IF(TKB_Nhap!I9="","",IFERROR(T(INDEX(PhanCong!$B$3:$I$18,MATCH(TKB_Nhap!I9,PhanCong!$A$3:$A$18,0),MATCH($A9,PhanCong!$B$2:$I$2,0))),""))</f>
        <v/>
      </c>
      <c r="J9" s="30" t="n"/>
      <c r="L9" s="39" t="n"/>
      <c r="M9" s="39" t="n"/>
      <c r="N9" s="39" t="n"/>
      <c r="O9" s="39" t="n"/>
      <c r="P9" s="39" t="n"/>
      <c r="Q9" s="39" t="n"/>
      <c r="R9" s="39" t="n"/>
    </row>
    <row r="10" ht="15" customHeight="1">
      <c r="A10" s="36">
        <f>TKB_Nhap!A10</f>
        <v/>
      </c>
      <c r="B10" s="36">
        <f>TKB_Nhap!B10</f>
        <v/>
      </c>
      <c r="C10" s="36">
        <f>TKB_Nhap!C10</f>
        <v/>
      </c>
      <c r="D10" s="36">
        <f>IF(TKB_Nhap!D10="","",IFERROR(T(INDEX(PhanCong!$B$3:$I$18,MATCH(TKB_Nhap!D10,PhanCong!$A$3:$A$18,0),MATCH($A10,PhanCong!$B$2:$I$2,0))),""))</f>
        <v/>
      </c>
      <c r="E10" s="36">
        <f>IF(TKB_Nhap!E10="","",IFERROR(T(INDEX(PhanCong!$B$3:$I$18,MATCH(TKB_Nhap!E10,PhanCong!$A$3:$A$18,0),MATCH($A10,PhanCong!$B$2:$I$2,0))),""))</f>
        <v/>
      </c>
      <c r="F10" s="36">
        <f>IF(TKB_Nhap!F10="","",IFERROR(T(INDEX(PhanCong!$B$3:$I$18,MATCH(TKB_Nhap!F10,PhanCong!$A$3:$A$18,0),MATCH($A10,PhanCong!$B$2:$I$2,0))),""))</f>
        <v/>
      </c>
      <c r="G10" s="36">
        <f>IF(TKB_Nhap!G10="","",IFERROR(T(INDEX(PhanCong!$B$3:$I$18,MATCH(TKB_Nhap!G10,PhanCong!$A$3:$A$18,0),MATCH($A10,PhanCong!$B$2:$I$2,0))),""))</f>
        <v/>
      </c>
      <c r="H10" s="36">
        <f>IF(TKB_Nhap!H10="","",IFERROR(T(INDEX(PhanCong!$B$3:$I$18,MATCH(TKB_Nhap!H10,PhanCong!$A$3:$A$18,0),MATCH($A10,PhanCong!$B$2:$I$2,0))),""))</f>
        <v/>
      </c>
      <c r="I10" s="36">
        <f>IF(TKB_Nhap!I10="","",IFERROR(T(INDEX(PhanCong!$B$3:$I$18,MATCH(TKB_Nhap!I10,PhanCong!$A$3:$A$18,0),MATCH($A10,PhanCong!$B$2:$I$2,0))),""))</f>
        <v/>
      </c>
      <c r="J10" s="36" t="n"/>
      <c r="L10" s="39" t="n"/>
      <c r="M10" s="39" t="n"/>
      <c r="N10" s="39" t="n"/>
      <c r="O10" s="39" t="n"/>
      <c r="P10" s="39" t="n"/>
      <c r="Q10" s="39" t="n"/>
      <c r="R10" s="39" t="n"/>
    </row>
    <row r="11" ht="15" customHeight="1">
      <c r="A11" s="36">
        <f>TKB_Nhap!A11</f>
        <v/>
      </c>
      <c r="B11" s="36">
        <f>TKB_Nhap!B11</f>
        <v/>
      </c>
      <c r="C11" s="36">
        <f>TKB_Nhap!C11</f>
        <v/>
      </c>
      <c r="D11" s="36">
        <f>IF(TKB_Nhap!D11="","",IFERROR(T(INDEX(PhanCong!$B$3:$I$18,MATCH(TKB_Nhap!D11,PhanCong!$A$3:$A$18,0),MATCH($A11,PhanCong!$B$2:$I$2,0))),""))</f>
        <v/>
      </c>
      <c r="E11" s="36">
        <f>IF(TKB_Nhap!E11="","",IFERROR(T(INDEX(PhanCong!$B$3:$I$18,MATCH(TKB_Nhap!E11,PhanCong!$A$3:$A$18,0),MATCH($A11,PhanCong!$B$2:$I$2,0))),""))</f>
        <v/>
      </c>
      <c r="F11" s="36">
        <f>IF(TKB_Nhap!F11="","",IFERROR(T(INDEX(PhanCong!$B$3:$I$18,MATCH(TKB_Nhap!F11,PhanCong!$A$3:$A$18,0),MATCH($A11,PhanCong!$B$2:$I$2,0))),""))</f>
        <v/>
      </c>
      <c r="G11" s="36">
        <f>IF(TKB_Nhap!G11="","",IFERROR(T(INDEX(PhanCong!$B$3:$I$18,MATCH(TKB_Nhap!G11,PhanCong!$A$3:$A$18,0),MATCH($A11,PhanCong!$B$2:$I$2,0))),""))</f>
        <v/>
      </c>
      <c r="H11" s="36">
        <f>IF(TKB_Nhap!H11="","",IFERROR(T(INDEX(PhanCong!$B$3:$I$18,MATCH(TKB_Nhap!H11,PhanCong!$A$3:$A$18,0),MATCH($A11,PhanCong!$B$2:$I$2,0))),""))</f>
        <v/>
      </c>
      <c r="I11" s="36">
        <f>IF(TKB_Nhap!I11="","",IFERROR(T(INDEX(PhanCong!$B$3:$I$18,MATCH(TKB_Nhap!I11,PhanCong!$A$3:$A$18,0),MATCH($A11,PhanCong!$B$2:$I$2,0))),""))</f>
        <v/>
      </c>
      <c r="J11" s="36" t="n"/>
      <c r="L11" s="39" t="n"/>
      <c r="M11" s="39" t="n"/>
      <c r="N11" s="39" t="n"/>
      <c r="O11" s="39" t="n"/>
      <c r="P11" s="39" t="n"/>
      <c r="Q11" s="39" t="n"/>
      <c r="R11" s="39" t="n"/>
    </row>
    <row r="12" ht="15" customHeight="1">
      <c r="A12" s="36">
        <f>TKB_Nhap!A12</f>
        <v/>
      </c>
      <c r="B12" s="36">
        <f>TKB_Nhap!B12</f>
        <v/>
      </c>
      <c r="C12" s="36">
        <f>TKB_Nhap!C12</f>
        <v/>
      </c>
      <c r="D12" s="36">
        <f>IF(TKB_Nhap!D12="","",IFERROR(T(INDEX(PhanCong!$B$3:$I$18,MATCH(TKB_Nhap!D12,PhanCong!$A$3:$A$18,0),MATCH($A12,PhanCong!$B$2:$I$2,0))),""))</f>
        <v/>
      </c>
      <c r="E12" s="36">
        <f>IF(TKB_Nhap!E12="","",IFERROR(T(INDEX(PhanCong!$B$3:$I$18,MATCH(TKB_Nhap!E12,PhanCong!$A$3:$A$18,0),MATCH($A12,PhanCong!$B$2:$I$2,0))),""))</f>
        <v/>
      </c>
      <c r="F12" s="36">
        <f>IF(TKB_Nhap!F12="","",IFERROR(T(INDEX(PhanCong!$B$3:$I$18,MATCH(TKB_Nhap!F12,PhanCong!$A$3:$A$18,0),MATCH($A12,PhanCong!$B$2:$I$2,0))),""))</f>
        <v/>
      </c>
      <c r="G12" s="36">
        <f>IF(TKB_Nhap!G12="","",IFERROR(T(INDEX(PhanCong!$B$3:$I$18,MATCH(TKB_Nhap!G12,PhanCong!$A$3:$A$18,0),MATCH($A12,PhanCong!$B$2:$I$2,0))),""))</f>
        <v/>
      </c>
      <c r="H12" s="36">
        <f>IF(TKB_Nhap!H12="","",IFERROR(T(INDEX(PhanCong!$B$3:$I$18,MATCH(TKB_Nhap!H12,PhanCong!$A$3:$A$18,0),MATCH($A12,PhanCong!$B$2:$I$2,0))),""))</f>
        <v/>
      </c>
      <c r="I12" s="36">
        <f>IF(TKB_Nhap!I12="","",IFERROR(T(INDEX(PhanCong!$B$3:$I$18,MATCH(TKB_Nhap!I12,PhanCong!$A$3:$A$18,0),MATCH($A12,PhanCong!$B$2:$I$2,0))),""))</f>
        <v/>
      </c>
      <c r="J12" s="36" t="n"/>
      <c r="L12" s="39" t="n"/>
      <c r="M12" s="39" t="n"/>
      <c r="N12" s="39" t="n"/>
      <c r="O12" s="39" t="n"/>
      <c r="P12" s="39" t="n"/>
      <c r="Q12" s="39" t="n"/>
      <c r="R12" s="39" t="n"/>
    </row>
    <row r="13" ht="15" customHeight="1">
      <c r="A13" s="36">
        <f>TKB_Nhap!A13</f>
        <v/>
      </c>
      <c r="B13" s="36">
        <f>TKB_Nhap!B13</f>
        <v/>
      </c>
      <c r="C13" s="36">
        <f>TKB_Nhap!C13</f>
        <v/>
      </c>
      <c r="D13" s="36">
        <f>IF(TKB_Nhap!D13="","",IFERROR(T(INDEX(PhanCong!$B$3:$I$18,MATCH(TKB_Nhap!D13,PhanCong!$A$3:$A$18,0),MATCH($A13,PhanCong!$B$2:$I$2,0))),""))</f>
        <v/>
      </c>
      <c r="E13" s="36">
        <f>IF(TKB_Nhap!E13="","",IFERROR(T(INDEX(PhanCong!$B$3:$I$18,MATCH(TKB_Nhap!E13,PhanCong!$A$3:$A$18,0),MATCH($A13,PhanCong!$B$2:$I$2,0))),""))</f>
        <v/>
      </c>
      <c r="F13" s="36">
        <f>IF(TKB_Nhap!F13="","",IFERROR(T(INDEX(PhanCong!$B$3:$I$18,MATCH(TKB_Nhap!F13,PhanCong!$A$3:$A$18,0),MATCH($A13,PhanCong!$B$2:$I$2,0))),""))</f>
        <v/>
      </c>
      <c r="G13" s="36">
        <f>IF(TKB_Nhap!G13="","",IFERROR(T(INDEX(PhanCong!$B$3:$I$18,MATCH(TKB_Nhap!G13,PhanCong!$A$3:$A$18,0),MATCH($A13,PhanCong!$B$2:$I$2,0))),""))</f>
        <v/>
      </c>
      <c r="H13" s="36">
        <f>IF(TKB_Nhap!H13="","",IFERROR(T(INDEX(PhanCong!$B$3:$I$18,MATCH(TKB_Nhap!H13,PhanCong!$A$3:$A$18,0),MATCH($A13,PhanCong!$B$2:$I$2,0))),""))</f>
        <v/>
      </c>
      <c r="I13" s="36">
        <f>IF(TKB_Nhap!I13="","",IFERROR(T(INDEX(PhanCong!$B$3:$I$18,MATCH(TKB_Nhap!I13,PhanCong!$A$3:$A$18,0),MATCH($A13,PhanCong!$B$2:$I$2,0))),""))</f>
        <v/>
      </c>
      <c r="J13" s="36" t="n"/>
      <c r="L13" s="39" t="n"/>
      <c r="M13" s="39" t="n"/>
      <c r="N13" s="39" t="n"/>
      <c r="O13" s="39" t="n"/>
      <c r="P13" s="39" t="n"/>
      <c r="Q13" s="39" t="n"/>
      <c r="R13" s="39" t="n"/>
    </row>
    <row r="14" ht="15" customHeight="1">
      <c r="A14" s="36">
        <f>TKB_Nhap!A14</f>
        <v/>
      </c>
      <c r="B14" s="36">
        <f>TKB_Nhap!B14</f>
        <v/>
      </c>
      <c r="C14" s="36">
        <f>TKB_Nhap!C14</f>
        <v/>
      </c>
      <c r="D14" s="36">
        <f>IF(TKB_Nhap!D14="","",IFERROR(T(INDEX(PhanCong!$B$3:$I$18,MATCH(TKB_Nhap!D14,PhanCong!$A$3:$A$18,0),MATCH($A14,PhanCong!$B$2:$I$2,0))),""))</f>
        <v/>
      </c>
      <c r="E14" s="36">
        <f>IF(TKB_Nhap!E14="","",IFERROR(T(INDEX(PhanCong!$B$3:$I$18,MATCH(TKB_Nhap!E14,PhanCong!$A$3:$A$18,0),MATCH($A14,PhanCong!$B$2:$I$2,0))),""))</f>
        <v/>
      </c>
      <c r="F14" s="36">
        <f>IF(TKB_Nhap!F14="","",IFERROR(T(INDEX(PhanCong!$B$3:$I$18,MATCH(TKB_Nhap!F14,PhanCong!$A$3:$A$18,0),MATCH($A14,PhanCong!$B$2:$I$2,0))),""))</f>
        <v/>
      </c>
      <c r="G14" s="36">
        <f>IF(TKB_Nhap!G14="","",IFERROR(T(INDEX(PhanCong!$B$3:$I$18,MATCH(TKB_Nhap!G14,PhanCong!$A$3:$A$18,0),MATCH($A14,PhanCong!$B$2:$I$2,0))),""))</f>
        <v/>
      </c>
      <c r="H14" s="36">
        <f>IF(TKB_Nhap!H14="","",IFERROR(T(INDEX(PhanCong!$B$3:$I$18,MATCH(TKB_Nhap!H14,PhanCong!$A$3:$A$18,0),MATCH($A14,PhanCong!$B$2:$I$2,0))),""))</f>
        <v/>
      </c>
      <c r="I14" s="36">
        <f>IF(TKB_Nhap!I14="","",IFERROR(T(INDEX(PhanCong!$B$3:$I$18,MATCH(TKB_Nhap!I14,PhanCong!$A$3:$A$18,0),MATCH($A14,PhanCong!$B$2:$I$2,0))),""))</f>
        <v/>
      </c>
      <c r="J14" s="36" t="n"/>
      <c r="L14" s="39" t="n"/>
      <c r="M14" s="39" t="n"/>
      <c r="N14" s="39" t="n"/>
      <c r="O14" s="39" t="n"/>
      <c r="P14" s="39" t="n"/>
      <c r="Q14" s="39" t="n"/>
      <c r="R14" s="39" t="n"/>
    </row>
    <row r="15" ht="15" customHeight="1">
      <c r="A15" s="36">
        <f>TKB_Nhap!A15</f>
        <v/>
      </c>
      <c r="B15" s="36">
        <f>TKB_Nhap!B15</f>
        <v/>
      </c>
      <c r="C15" s="36">
        <f>TKB_Nhap!C15</f>
        <v/>
      </c>
      <c r="D15" s="36">
        <f>IF(TKB_Nhap!D15="","",IFERROR(T(INDEX(PhanCong!$B$3:$I$18,MATCH(TKB_Nhap!D15,PhanCong!$A$3:$A$18,0),MATCH($A15,PhanCong!$B$2:$I$2,0))),""))</f>
        <v/>
      </c>
      <c r="E15" s="36">
        <f>IF(TKB_Nhap!E15="","",IFERROR(T(INDEX(PhanCong!$B$3:$I$18,MATCH(TKB_Nhap!E15,PhanCong!$A$3:$A$18,0),MATCH($A15,PhanCong!$B$2:$I$2,0))),""))</f>
        <v/>
      </c>
      <c r="F15" s="36">
        <f>IF(TKB_Nhap!F15="","",IFERROR(T(INDEX(PhanCong!$B$3:$I$18,MATCH(TKB_Nhap!F15,PhanCong!$A$3:$A$18,0),MATCH($A15,PhanCong!$B$2:$I$2,0))),""))</f>
        <v/>
      </c>
      <c r="G15" s="36">
        <f>IF(TKB_Nhap!G15="","",IFERROR(T(INDEX(PhanCong!$B$3:$I$18,MATCH(TKB_Nhap!G15,PhanCong!$A$3:$A$18,0),MATCH($A15,PhanCong!$B$2:$I$2,0))),""))</f>
        <v/>
      </c>
      <c r="H15" s="36">
        <f>IF(TKB_Nhap!H15="","",IFERROR(T(INDEX(PhanCong!$B$3:$I$18,MATCH(TKB_Nhap!H15,PhanCong!$A$3:$A$18,0),MATCH($A15,PhanCong!$B$2:$I$2,0))),""))</f>
        <v/>
      </c>
      <c r="I15" s="36">
        <f>IF(TKB_Nhap!I15="","",IFERROR(T(INDEX(PhanCong!$B$3:$I$18,MATCH(TKB_Nhap!I15,PhanCong!$A$3:$A$18,0),MATCH($A15,PhanCong!$B$2:$I$2,0))),""))</f>
        <v/>
      </c>
      <c r="J15" s="36" t="n"/>
      <c r="L15" s="39" t="n"/>
      <c r="M15" s="39" t="n"/>
      <c r="N15" s="39" t="n"/>
      <c r="O15" s="39" t="n"/>
      <c r="P15" s="39" t="n"/>
      <c r="Q15" s="39" t="n"/>
      <c r="R15" s="39" t="n"/>
    </row>
    <row r="16" ht="15" customHeight="1">
      <c r="A16" s="36">
        <f>TKB_Nhap!A16</f>
        <v/>
      </c>
      <c r="B16" s="36">
        <f>TKB_Nhap!B16</f>
        <v/>
      </c>
      <c r="C16" s="36">
        <f>TKB_Nhap!C16</f>
        <v/>
      </c>
      <c r="D16" s="36">
        <f>IF(TKB_Nhap!D16="","",IFERROR(T(INDEX(PhanCong!$B$3:$I$18,MATCH(TKB_Nhap!D16,PhanCong!$A$3:$A$18,0),MATCH($A16,PhanCong!$B$2:$I$2,0))),""))</f>
        <v/>
      </c>
      <c r="E16" s="36">
        <f>IF(TKB_Nhap!E16="","",IFERROR(T(INDEX(PhanCong!$B$3:$I$18,MATCH(TKB_Nhap!E16,PhanCong!$A$3:$A$18,0),MATCH($A16,PhanCong!$B$2:$I$2,0))),""))</f>
        <v/>
      </c>
      <c r="F16" s="36">
        <f>IF(TKB_Nhap!F16="","",IFERROR(T(INDEX(PhanCong!$B$3:$I$18,MATCH(TKB_Nhap!F16,PhanCong!$A$3:$A$18,0),MATCH($A16,PhanCong!$B$2:$I$2,0))),""))</f>
        <v/>
      </c>
      <c r="G16" s="36">
        <f>IF(TKB_Nhap!G16="","",IFERROR(T(INDEX(PhanCong!$B$3:$I$18,MATCH(TKB_Nhap!G16,PhanCong!$A$3:$A$18,0),MATCH($A16,PhanCong!$B$2:$I$2,0))),""))</f>
        <v/>
      </c>
      <c r="H16" s="36">
        <f>IF(TKB_Nhap!H16="","",IFERROR(T(INDEX(PhanCong!$B$3:$I$18,MATCH(TKB_Nhap!H16,PhanCong!$A$3:$A$18,0),MATCH($A16,PhanCong!$B$2:$I$2,0))),""))</f>
        <v/>
      </c>
      <c r="I16" s="36">
        <f>IF(TKB_Nhap!I16="","",IFERROR(T(INDEX(PhanCong!$B$3:$I$18,MATCH(TKB_Nhap!I16,PhanCong!$A$3:$A$18,0),MATCH($A16,PhanCong!$B$2:$I$2,0))),""))</f>
        <v/>
      </c>
      <c r="J16" s="36" t="n"/>
      <c r="L16" s="39" t="n"/>
      <c r="M16" s="39" t="n"/>
      <c r="N16" s="39" t="n"/>
      <c r="O16" s="39" t="n"/>
      <c r="P16" s="39" t="n"/>
      <c r="Q16" s="39" t="n"/>
      <c r="R16" s="39" t="n"/>
    </row>
    <row r="17" ht="15" customHeight="1">
      <c r="A17" s="36">
        <f>TKB_Nhap!A17</f>
        <v/>
      </c>
      <c r="B17" s="36">
        <f>TKB_Nhap!B17</f>
        <v/>
      </c>
      <c r="C17" s="36">
        <f>TKB_Nhap!C17</f>
        <v/>
      </c>
      <c r="D17" s="36">
        <f>IF(TKB_Nhap!D17="","",IFERROR(T(INDEX(PhanCong!$B$3:$I$18,MATCH(TKB_Nhap!D17,PhanCong!$A$3:$A$18,0),MATCH($A17,PhanCong!$B$2:$I$2,0))),""))</f>
        <v/>
      </c>
      <c r="E17" s="36">
        <f>IF(TKB_Nhap!E17="","",IFERROR(T(INDEX(PhanCong!$B$3:$I$18,MATCH(TKB_Nhap!E17,PhanCong!$A$3:$A$18,0),MATCH($A17,PhanCong!$B$2:$I$2,0))),""))</f>
        <v/>
      </c>
      <c r="F17" s="36">
        <f>IF(TKB_Nhap!F17="","",IFERROR(T(INDEX(PhanCong!$B$3:$I$18,MATCH(TKB_Nhap!F17,PhanCong!$A$3:$A$18,0),MATCH($A17,PhanCong!$B$2:$I$2,0))),""))</f>
        <v/>
      </c>
      <c r="G17" s="36">
        <f>IF(TKB_Nhap!G17="","",IFERROR(T(INDEX(PhanCong!$B$3:$I$18,MATCH(TKB_Nhap!G17,PhanCong!$A$3:$A$18,0),MATCH($A17,PhanCong!$B$2:$I$2,0))),""))</f>
        <v/>
      </c>
      <c r="H17" s="36">
        <f>IF(TKB_Nhap!H17="","",IFERROR(T(INDEX(PhanCong!$B$3:$I$18,MATCH(TKB_Nhap!H17,PhanCong!$A$3:$A$18,0),MATCH($A17,PhanCong!$B$2:$I$2,0))),""))</f>
        <v/>
      </c>
      <c r="I17" s="36">
        <f>IF(TKB_Nhap!I17="","",IFERROR(T(INDEX(PhanCong!$B$3:$I$18,MATCH(TKB_Nhap!I17,PhanCong!$A$3:$A$18,0),MATCH($A17,PhanCong!$B$2:$I$2,0))),""))</f>
        <v/>
      </c>
      <c r="J17" s="36" t="n"/>
      <c r="L17" s="39" t="n"/>
      <c r="M17" s="39" t="n"/>
      <c r="N17" s="39" t="n"/>
      <c r="O17" s="39" t="n"/>
      <c r="P17" s="39" t="n"/>
      <c r="Q17" s="39" t="n"/>
      <c r="R17" s="39" t="n"/>
    </row>
    <row r="18" ht="15" customHeight="1">
      <c r="A18" s="30">
        <f>TKB_Nhap!A18</f>
        <v/>
      </c>
      <c r="B18" s="30">
        <f>TKB_Nhap!B18</f>
        <v/>
      </c>
      <c r="C18" s="30">
        <f>TKB_Nhap!C18</f>
        <v/>
      </c>
      <c r="D18" s="30">
        <f>IF(TKB_Nhap!D18="","",IFERROR(T(INDEX(PhanCong!$B$3:$I$18,MATCH(TKB_Nhap!D18,PhanCong!$A$3:$A$18,0),MATCH($A18,PhanCong!$B$2:$I$2,0))),""))</f>
        <v/>
      </c>
      <c r="E18" s="30">
        <f>IF(TKB_Nhap!E18="","",IFERROR(T(INDEX(PhanCong!$B$3:$I$18,MATCH(TKB_Nhap!E18,PhanCong!$A$3:$A$18,0),MATCH($A18,PhanCong!$B$2:$I$2,0))),""))</f>
        <v/>
      </c>
      <c r="F18" s="30">
        <f>IF(TKB_Nhap!F18="","",IFERROR(T(INDEX(PhanCong!$B$3:$I$18,MATCH(TKB_Nhap!F18,PhanCong!$A$3:$A$18,0),MATCH($A18,PhanCong!$B$2:$I$2,0))),""))</f>
        <v/>
      </c>
      <c r="G18" s="30">
        <f>IF(TKB_Nhap!G18="","",IFERROR(T(INDEX(PhanCong!$B$3:$I$18,MATCH(TKB_Nhap!G18,PhanCong!$A$3:$A$18,0),MATCH($A18,PhanCong!$B$2:$I$2,0))),""))</f>
        <v/>
      </c>
      <c r="H18" s="30">
        <f>IF(TKB_Nhap!H18="","",IFERROR(T(INDEX(PhanCong!$B$3:$I$18,MATCH(TKB_Nhap!H18,PhanCong!$A$3:$A$18,0),MATCH($A18,PhanCong!$B$2:$I$2,0))),""))</f>
        <v/>
      </c>
      <c r="I18" s="30">
        <f>IF(TKB_Nhap!I18="","",IFERROR(T(INDEX(PhanCong!$B$3:$I$18,MATCH(TKB_Nhap!I18,PhanCong!$A$3:$A$18,0),MATCH($A18,PhanCong!$B$2:$I$2,0))),""))</f>
        <v/>
      </c>
      <c r="J18" s="30" t="n"/>
      <c r="L18" s="39" t="n"/>
      <c r="M18" s="39" t="n"/>
      <c r="N18" s="39" t="n"/>
      <c r="O18" s="39" t="n"/>
      <c r="P18" s="39" t="n"/>
      <c r="Q18" s="39" t="n"/>
      <c r="R18" s="39" t="n"/>
    </row>
    <row r="19" ht="15" customHeight="1">
      <c r="A19" s="30">
        <f>TKB_Nhap!A19</f>
        <v/>
      </c>
      <c r="B19" s="30">
        <f>TKB_Nhap!B19</f>
        <v/>
      </c>
      <c r="C19" s="30">
        <f>TKB_Nhap!C19</f>
        <v/>
      </c>
      <c r="D19" s="30">
        <f>IF(TKB_Nhap!D19="","",IFERROR(T(INDEX(PhanCong!$B$3:$I$18,MATCH(TKB_Nhap!D19,PhanCong!$A$3:$A$18,0),MATCH($A19,PhanCong!$B$2:$I$2,0))),""))</f>
        <v/>
      </c>
      <c r="E19" s="30">
        <f>IF(TKB_Nhap!E19="","",IFERROR(T(INDEX(PhanCong!$B$3:$I$18,MATCH(TKB_Nhap!E19,PhanCong!$A$3:$A$18,0),MATCH($A19,PhanCong!$B$2:$I$2,0))),""))</f>
        <v/>
      </c>
      <c r="F19" s="30">
        <f>IF(TKB_Nhap!F19="","",IFERROR(T(INDEX(PhanCong!$B$3:$I$18,MATCH(TKB_Nhap!F19,PhanCong!$A$3:$A$18,0),MATCH($A19,PhanCong!$B$2:$I$2,0))),""))</f>
        <v/>
      </c>
      <c r="G19" s="30">
        <f>IF(TKB_Nhap!G19="","",IFERROR(T(INDEX(PhanCong!$B$3:$I$18,MATCH(TKB_Nhap!G19,PhanCong!$A$3:$A$18,0),MATCH($A19,PhanCong!$B$2:$I$2,0))),""))</f>
        <v/>
      </c>
      <c r="H19" s="30">
        <f>IF(TKB_Nhap!H19="","",IFERROR(T(INDEX(PhanCong!$B$3:$I$18,MATCH(TKB_Nhap!H19,PhanCong!$A$3:$A$18,0),MATCH($A19,PhanCong!$B$2:$I$2,0))),""))</f>
        <v/>
      </c>
      <c r="I19" s="30">
        <f>IF(TKB_Nhap!I19="","",IFERROR(T(INDEX(PhanCong!$B$3:$I$18,MATCH(TKB_Nhap!I19,PhanCong!$A$3:$A$18,0),MATCH($A19,PhanCong!$B$2:$I$2,0))),""))</f>
        <v/>
      </c>
      <c r="J19" s="30" t="n"/>
      <c r="L19" s="39" t="n"/>
      <c r="M19" s="39" t="n"/>
      <c r="N19" s="39" t="n"/>
      <c r="O19" s="39" t="n"/>
      <c r="P19" s="39" t="n"/>
      <c r="Q19" s="39" t="n"/>
      <c r="R19" s="39" t="n"/>
    </row>
    <row r="20" ht="15" customHeight="1">
      <c r="A20" s="30">
        <f>TKB_Nhap!A20</f>
        <v/>
      </c>
      <c r="B20" s="30">
        <f>TKB_Nhap!B20</f>
        <v/>
      </c>
      <c r="C20" s="30">
        <f>TKB_Nhap!C20</f>
        <v/>
      </c>
      <c r="D20" s="30">
        <f>IF(TKB_Nhap!D20="","",IFERROR(T(INDEX(PhanCong!$B$3:$I$18,MATCH(TKB_Nhap!D20,PhanCong!$A$3:$A$18,0),MATCH($A20,PhanCong!$B$2:$I$2,0))),""))</f>
        <v/>
      </c>
      <c r="E20" s="30">
        <f>IF(TKB_Nhap!E20="","",IFERROR(T(INDEX(PhanCong!$B$3:$I$18,MATCH(TKB_Nhap!E20,PhanCong!$A$3:$A$18,0),MATCH($A20,PhanCong!$B$2:$I$2,0))),""))</f>
        <v/>
      </c>
      <c r="F20" s="30">
        <f>IF(TKB_Nhap!F20="","",IFERROR(T(INDEX(PhanCong!$B$3:$I$18,MATCH(TKB_Nhap!F20,PhanCong!$A$3:$A$18,0),MATCH($A20,PhanCong!$B$2:$I$2,0))),""))</f>
        <v/>
      </c>
      <c r="G20" s="30">
        <f>IF(TKB_Nhap!G20="","",IFERROR(T(INDEX(PhanCong!$B$3:$I$18,MATCH(TKB_Nhap!G20,PhanCong!$A$3:$A$18,0),MATCH($A20,PhanCong!$B$2:$I$2,0))),""))</f>
        <v/>
      </c>
      <c r="H20" s="30">
        <f>IF(TKB_Nhap!H20="","",IFERROR(T(INDEX(PhanCong!$B$3:$I$18,MATCH(TKB_Nhap!H20,PhanCong!$A$3:$A$18,0),MATCH($A20,PhanCong!$B$2:$I$2,0))),""))</f>
        <v/>
      </c>
      <c r="I20" s="30">
        <f>IF(TKB_Nhap!I20="","",IFERROR(T(INDEX(PhanCong!$B$3:$I$18,MATCH(TKB_Nhap!I20,PhanCong!$A$3:$A$18,0),MATCH($A20,PhanCong!$B$2:$I$2,0))),""))</f>
        <v/>
      </c>
      <c r="J20" s="30" t="n"/>
      <c r="L20" s="39" t="n"/>
      <c r="M20" s="39" t="n"/>
      <c r="N20" s="39" t="n"/>
      <c r="O20" s="39" t="n"/>
      <c r="P20" s="39" t="n"/>
      <c r="Q20" s="39" t="n"/>
      <c r="R20" s="39" t="n"/>
    </row>
    <row r="21" ht="15" customHeight="1">
      <c r="A21" s="30">
        <f>TKB_Nhap!A21</f>
        <v/>
      </c>
      <c r="B21" s="30">
        <f>TKB_Nhap!B21</f>
        <v/>
      </c>
      <c r="C21" s="30">
        <f>TKB_Nhap!C21</f>
        <v/>
      </c>
      <c r="D21" s="30">
        <f>IF(TKB_Nhap!D21="","",IFERROR(T(INDEX(PhanCong!$B$3:$I$18,MATCH(TKB_Nhap!D21,PhanCong!$A$3:$A$18,0),MATCH($A21,PhanCong!$B$2:$I$2,0))),""))</f>
        <v/>
      </c>
      <c r="E21" s="30">
        <f>IF(TKB_Nhap!E21="","",IFERROR(T(INDEX(PhanCong!$B$3:$I$18,MATCH(TKB_Nhap!E21,PhanCong!$A$3:$A$18,0),MATCH($A21,PhanCong!$B$2:$I$2,0))),""))</f>
        <v/>
      </c>
      <c r="F21" s="30">
        <f>IF(TKB_Nhap!F21="","",IFERROR(T(INDEX(PhanCong!$B$3:$I$18,MATCH(TKB_Nhap!F21,PhanCong!$A$3:$A$18,0),MATCH($A21,PhanCong!$B$2:$I$2,0))),""))</f>
        <v/>
      </c>
      <c r="G21" s="30">
        <f>IF(TKB_Nhap!G21="","",IFERROR(T(INDEX(PhanCong!$B$3:$I$18,MATCH(TKB_Nhap!G21,PhanCong!$A$3:$A$18,0),MATCH($A21,PhanCong!$B$2:$I$2,0))),""))</f>
        <v/>
      </c>
      <c r="H21" s="30">
        <f>IF(TKB_Nhap!H21="","",IFERROR(T(INDEX(PhanCong!$B$3:$I$18,MATCH(TKB_Nhap!H21,PhanCong!$A$3:$A$18,0),MATCH($A21,PhanCong!$B$2:$I$2,0))),""))</f>
        <v/>
      </c>
      <c r="I21" s="30">
        <f>IF(TKB_Nhap!I21="","",IFERROR(T(INDEX(PhanCong!$B$3:$I$18,MATCH(TKB_Nhap!I21,PhanCong!$A$3:$A$18,0),MATCH($A21,PhanCong!$B$2:$I$2,0))),""))</f>
        <v/>
      </c>
      <c r="J21" s="30" t="n"/>
      <c r="L21" s="39" t="n"/>
      <c r="M21" s="39" t="n"/>
      <c r="N21" s="39" t="n"/>
      <c r="O21" s="39" t="n"/>
      <c r="P21" s="39" t="n"/>
      <c r="Q21" s="39" t="n"/>
      <c r="R21" s="39" t="n"/>
    </row>
    <row r="22" ht="15" customHeight="1">
      <c r="A22" s="30">
        <f>TKB_Nhap!A22</f>
        <v/>
      </c>
      <c r="B22" s="30">
        <f>TKB_Nhap!B22</f>
        <v/>
      </c>
      <c r="C22" s="30">
        <f>TKB_Nhap!C22</f>
        <v/>
      </c>
      <c r="D22" s="30">
        <f>IF(TKB_Nhap!D22="","",IFERROR(T(INDEX(PhanCong!$B$3:$I$18,MATCH(TKB_Nhap!D22,PhanCong!$A$3:$A$18,0),MATCH($A22,PhanCong!$B$2:$I$2,0))),""))</f>
        <v/>
      </c>
      <c r="E22" s="30">
        <f>IF(TKB_Nhap!E22="","",IFERROR(T(INDEX(PhanCong!$B$3:$I$18,MATCH(TKB_Nhap!E22,PhanCong!$A$3:$A$18,0),MATCH($A22,PhanCong!$B$2:$I$2,0))),""))</f>
        <v/>
      </c>
      <c r="F22" s="30">
        <f>IF(TKB_Nhap!F22="","",IFERROR(T(INDEX(PhanCong!$B$3:$I$18,MATCH(TKB_Nhap!F22,PhanCong!$A$3:$A$18,0),MATCH($A22,PhanCong!$B$2:$I$2,0))),""))</f>
        <v/>
      </c>
      <c r="G22" s="30">
        <f>IF(TKB_Nhap!G22="","",IFERROR(T(INDEX(PhanCong!$B$3:$I$18,MATCH(TKB_Nhap!G22,PhanCong!$A$3:$A$18,0),MATCH($A22,PhanCong!$B$2:$I$2,0))),""))</f>
        <v/>
      </c>
      <c r="H22" s="30">
        <f>IF(TKB_Nhap!H22="","",IFERROR(T(INDEX(PhanCong!$B$3:$I$18,MATCH(TKB_Nhap!H22,PhanCong!$A$3:$A$18,0),MATCH($A22,PhanCong!$B$2:$I$2,0))),""))</f>
        <v/>
      </c>
      <c r="I22" s="30">
        <f>IF(TKB_Nhap!I22="","",IFERROR(T(INDEX(PhanCong!$B$3:$I$18,MATCH(TKB_Nhap!I22,PhanCong!$A$3:$A$18,0),MATCH($A22,PhanCong!$B$2:$I$2,0))),""))</f>
        <v/>
      </c>
      <c r="J22" s="30" t="n"/>
      <c r="L22" s="39" t="n"/>
      <c r="M22" s="39" t="n"/>
      <c r="N22" s="39" t="n"/>
      <c r="O22" s="39" t="n"/>
      <c r="P22" s="39" t="n"/>
      <c r="Q22" s="39" t="n"/>
      <c r="R22" s="39" t="n"/>
    </row>
    <row r="23" ht="15" customHeight="1">
      <c r="A23" s="30">
        <f>TKB_Nhap!A23</f>
        <v/>
      </c>
      <c r="B23" s="30">
        <f>TKB_Nhap!B23</f>
        <v/>
      </c>
      <c r="C23" s="30">
        <f>TKB_Nhap!C23</f>
        <v/>
      </c>
      <c r="D23" s="30">
        <f>IF(TKB_Nhap!D23="","",IFERROR(T(INDEX(PhanCong!$B$3:$I$18,MATCH(TKB_Nhap!D23,PhanCong!$A$3:$A$18,0),MATCH($A23,PhanCong!$B$2:$I$2,0))),""))</f>
        <v/>
      </c>
      <c r="E23" s="30">
        <f>IF(TKB_Nhap!E23="","",IFERROR(T(INDEX(PhanCong!$B$3:$I$18,MATCH(TKB_Nhap!E23,PhanCong!$A$3:$A$18,0),MATCH($A23,PhanCong!$B$2:$I$2,0))),""))</f>
        <v/>
      </c>
      <c r="F23" s="30">
        <f>IF(TKB_Nhap!F23="","",IFERROR(T(INDEX(PhanCong!$B$3:$I$18,MATCH(TKB_Nhap!F23,PhanCong!$A$3:$A$18,0),MATCH($A23,PhanCong!$B$2:$I$2,0))),""))</f>
        <v/>
      </c>
      <c r="G23" s="30">
        <f>IF(TKB_Nhap!G23="","",IFERROR(T(INDEX(PhanCong!$B$3:$I$18,MATCH(TKB_Nhap!G23,PhanCong!$A$3:$A$18,0),MATCH($A23,PhanCong!$B$2:$I$2,0))),""))</f>
        <v/>
      </c>
      <c r="H23" s="30">
        <f>IF(TKB_Nhap!H23="","",IFERROR(T(INDEX(PhanCong!$B$3:$I$18,MATCH(TKB_Nhap!H23,PhanCong!$A$3:$A$18,0),MATCH($A23,PhanCong!$B$2:$I$2,0))),""))</f>
        <v/>
      </c>
      <c r="I23" s="30">
        <f>IF(TKB_Nhap!I23="","",IFERROR(T(INDEX(PhanCong!$B$3:$I$18,MATCH(TKB_Nhap!I23,PhanCong!$A$3:$A$18,0),MATCH($A23,PhanCong!$B$2:$I$2,0))),""))</f>
        <v/>
      </c>
      <c r="J23" s="30" t="n"/>
      <c r="L23" s="39" t="n"/>
      <c r="M23" s="39" t="n"/>
      <c r="N23" s="39" t="n"/>
      <c r="O23" s="39" t="n"/>
      <c r="P23" s="39" t="n"/>
      <c r="Q23" s="39" t="n"/>
      <c r="R23" s="39" t="n"/>
    </row>
    <row r="24" ht="15" customHeight="1">
      <c r="A24" s="30">
        <f>TKB_Nhap!A24</f>
        <v/>
      </c>
      <c r="B24" s="30">
        <f>TKB_Nhap!B24</f>
        <v/>
      </c>
      <c r="C24" s="30">
        <f>TKB_Nhap!C24</f>
        <v/>
      </c>
      <c r="D24" s="30">
        <f>IF(TKB_Nhap!D24="","",IFERROR(T(INDEX(PhanCong!$B$3:$I$18,MATCH(TKB_Nhap!D24,PhanCong!$A$3:$A$18,0),MATCH($A24,PhanCong!$B$2:$I$2,0))),""))</f>
        <v/>
      </c>
      <c r="E24" s="30">
        <f>IF(TKB_Nhap!E24="","",IFERROR(T(INDEX(PhanCong!$B$3:$I$18,MATCH(TKB_Nhap!E24,PhanCong!$A$3:$A$18,0),MATCH($A24,PhanCong!$B$2:$I$2,0))),""))</f>
        <v/>
      </c>
      <c r="F24" s="30">
        <f>IF(TKB_Nhap!F24="","",IFERROR(T(INDEX(PhanCong!$B$3:$I$18,MATCH(TKB_Nhap!F24,PhanCong!$A$3:$A$18,0),MATCH($A24,PhanCong!$B$2:$I$2,0))),""))</f>
        <v/>
      </c>
      <c r="G24" s="30">
        <f>IF(TKB_Nhap!G24="","",IFERROR(T(INDEX(PhanCong!$B$3:$I$18,MATCH(TKB_Nhap!G24,PhanCong!$A$3:$A$18,0),MATCH($A24,PhanCong!$B$2:$I$2,0))),""))</f>
        <v/>
      </c>
      <c r="H24" s="30">
        <f>IF(TKB_Nhap!H24="","",IFERROR(T(INDEX(PhanCong!$B$3:$I$18,MATCH(TKB_Nhap!H24,PhanCong!$A$3:$A$18,0),MATCH($A24,PhanCong!$B$2:$I$2,0))),""))</f>
        <v/>
      </c>
      <c r="I24" s="30">
        <f>IF(TKB_Nhap!I24="","",IFERROR(T(INDEX(PhanCong!$B$3:$I$18,MATCH(TKB_Nhap!I24,PhanCong!$A$3:$A$18,0),MATCH($A24,PhanCong!$B$2:$I$2,0))),""))</f>
        <v/>
      </c>
      <c r="J24" s="30" t="n"/>
      <c r="L24" s="39" t="n"/>
      <c r="M24" s="39" t="n"/>
      <c r="N24" s="39" t="n"/>
      <c r="O24" s="39" t="n"/>
      <c r="P24" s="39" t="n"/>
      <c r="Q24" s="39" t="n"/>
      <c r="R24" s="39" t="n"/>
    </row>
    <row r="25" ht="15" customHeight="1">
      <c r="A25" s="30">
        <f>TKB_Nhap!A25</f>
        <v/>
      </c>
      <c r="B25" s="30">
        <f>TKB_Nhap!B25</f>
        <v/>
      </c>
      <c r="C25" s="30">
        <f>TKB_Nhap!C25</f>
        <v/>
      </c>
      <c r="D25" s="30">
        <f>IF(TKB_Nhap!D25="","",IFERROR(T(INDEX(PhanCong!$B$3:$I$18,MATCH(TKB_Nhap!D25,PhanCong!$A$3:$A$18,0),MATCH($A25,PhanCong!$B$2:$I$2,0))),""))</f>
        <v/>
      </c>
      <c r="E25" s="30">
        <f>IF(TKB_Nhap!E25="","",IFERROR(T(INDEX(PhanCong!$B$3:$I$18,MATCH(TKB_Nhap!E25,PhanCong!$A$3:$A$18,0),MATCH($A25,PhanCong!$B$2:$I$2,0))),""))</f>
        <v/>
      </c>
      <c r="F25" s="30">
        <f>IF(TKB_Nhap!F25="","",IFERROR(T(INDEX(PhanCong!$B$3:$I$18,MATCH(TKB_Nhap!F25,PhanCong!$A$3:$A$18,0),MATCH($A25,PhanCong!$B$2:$I$2,0))),""))</f>
        <v/>
      </c>
      <c r="G25" s="30">
        <f>IF(TKB_Nhap!G25="","",IFERROR(T(INDEX(PhanCong!$B$3:$I$18,MATCH(TKB_Nhap!G25,PhanCong!$A$3:$A$18,0),MATCH($A25,PhanCong!$B$2:$I$2,0))),""))</f>
        <v/>
      </c>
      <c r="H25" s="30">
        <f>IF(TKB_Nhap!H25="","",IFERROR(T(INDEX(PhanCong!$B$3:$I$18,MATCH(TKB_Nhap!H25,PhanCong!$A$3:$A$18,0),MATCH($A25,PhanCong!$B$2:$I$2,0))),""))</f>
        <v/>
      </c>
      <c r="I25" s="30">
        <f>IF(TKB_Nhap!I25="","",IFERROR(T(INDEX(PhanCong!$B$3:$I$18,MATCH(TKB_Nhap!I25,PhanCong!$A$3:$A$18,0),MATCH($A25,PhanCong!$B$2:$I$2,0))),""))</f>
        <v/>
      </c>
      <c r="J25" s="30" t="n"/>
      <c r="L25" s="39" t="n"/>
      <c r="M25" s="39" t="n"/>
      <c r="N25" s="39" t="n"/>
      <c r="O25" s="39" t="n"/>
      <c r="P25" s="39" t="n"/>
      <c r="Q25" s="39" t="n"/>
      <c r="R25" s="39" t="n"/>
    </row>
    <row r="26" ht="15" customHeight="1">
      <c r="A26" s="36">
        <f>TKB_Nhap!A26</f>
        <v/>
      </c>
      <c r="B26" s="36">
        <f>TKB_Nhap!B26</f>
        <v/>
      </c>
      <c r="C26" s="36">
        <f>TKB_Nhap!C26</f>
        <v/>
      </c>
      <c r="D26" s="36">
        <f>IF(TKB_Nhap!D26="","",IFERROR(T(INDEX(PhanCong!$B$3:$I$18,MATCH(TKB_Nhap!D26,PhanCong!$A$3:$A$18,0),MATCH($A26,PhanCong!$B$2:$I$2,0))),""))</f>
        <v/>
      </c>
      <c r="E26" s="36">
        <f>IF(TKB_Nhap!E26="","",IFERROR(T(INDEX(PhanCong!$B$3:$I$18,MATCH(TKB_Nhap!E26,PhanCong!$A$3:$A$18,0),MATCH($A26,PhanCong!$B$2:$I$2,0))),""))</f>
        <v/>
      </c>
      <c r="F26" s="36">
        <f>IF(TKB_Nhap!F26="","",IFERROR(T(INDEX(PhanCong!$B$3:$I$18,MATCH(TKB_Nhap!F26,PhanCong!$A$3:$A$18,0),MATCH($A26,PhanCong!$B$2:$I$2,0))),""))</f>
        <v/>
      </c>
      <c r="G26" s="36">
        <f>IF(TKB_Nhap!G26="","",IFERROR(T(INDEX(PhanCong!$B$3:$I$18,MATCH(TKB_Nhap!G26,PhanCong!$A$3:$A$18,0),MATCH($A26,PhanCong!$B$2:$I$2,0))),""))</f>
        <v/>
      </c>
      <c r="H26" s="36">
        <f>IF(TKB_Nhap!H26="","",IFERROR(T(INDEX(PhanCong!$B$3:$I$18,MATCH(TKB_Nhap!H26,PhanCong!$A$3:$A$18,0),MATCH($A26,PhanCong!$B$2:$I$2,0))),""))</f>
        <v/>
      </c>
      <c r="I26" s="36">
        <f>IF(TKB_Nhap!I26="","",IFERROR(T(INDEX(PhanCong!$B$3:$I$18,MATCH(TKB_Nhap!I26,PhanCong!$A$3:$A$18,0),MATCH($A26,PhanCong!$B$2:$I$2,0))),""))</f>
        <v/>
      </c>
      <c r="J26" s="36" t="n"/>
      <c r="L26" s="39" t="n"/>
      <c r="M26" s="39" t="n"/>
      <c r="N26" s="39" t="n"/>
      <c r="O26" s="39" t="n"/>
      <c r="P26" s="39" t="n"/>
      <c r="Q26" s="39" t="n"/>
      <c r="R26" s="39" t="n"/>
    </row>
    <row r="27" ht="15" customHeight="1">
      <c r="A27" s="36">
        <f>TKB_Nhap!A27</f>
        <v/>
      </c>
      <c r="B27" s="36">
        <f>TKB_Nhap!B27</f>
        <v/>
      </c>
      <c r="C27" s="36">
        <f>TKB_Nhap!C27</f>
        <v/>
      </c>
      <c r="D27" s="36">
        <f>IF(TKB_Nhap!D27="","",IFERROR(T(INDEX(PhanCong!$B$3:$I$18,MATCH(TKB_Nhap!D27,PhanCong!$A$3:$A$18,0),MATCH($A27,PhanCong!$B$2:$I$2,0))),""))</f>
        <v/>
      </c>
      <c r="E27" s="36">
        <f>IF(TKB_Nhap!E27="","",IFERROR(T(INDEX(PhanCong!$B$3:$I$18,MATCH(TKB_Nhap!E27,PhanCong!$A$3:$A$18,0),MATCH($A27,PhanCong!$B$2:$I$2,0))),""))</f>
        <v/>
      </c>
      <c r="F27" s="36">
        <f>IF(TKB_Nhap!F27="","",IFERROR(T(INDEX(PhanCong!$B$3:$I$18,MATCH(TKB_Nhap!F27,PhanCong!$A$3:$A$18,0),MATCH($A27,PhanCong!$B$2:$I$2,0))),""))</f>
        <v/>
      </c>
      <c r="G27" s="36">
        <f>IF(TKB_Nhap!G27="","",IFERROR(T(INDEX(PhanCong!$B$3:$I$18,MATCH(TKB_Nhap!G27,PhanCong!$A$3:$A$18,0),MATCH($A27,PhanCong!$B$2:$I$2,0))),""))</f>
        <v/>
      </c>
      <c r="H27" s="36">
        <f>IF(TKB_Nhap!H27="","",IFERROR(T(INDEX(PhanCong!$B$3:$I$18,MATCH(TKB_Nhap!H27,PhanCong!$A$3:$A$18,0),MATCH($A27,PhanCong!$B$2:$I$2,0))),""))</f>
        <v/>
      </c>
      <c r="I27" s="36">
        <f>IF(TKB_Nhap!I27="","",IFERROR(T(INDEX(PhanCong!$B$3:$I$18,MATCH(TKB_Nhap!I27,PhanCong!$A$3:$A$18,0),MATCH($A27,PhanCong!$B$2:$I$2,0))),""))</f>
        <v/>
      </c>
      <c r="J27" s="36" t="n"/>
      <c r="L27" s="39" t="n"/>
      <c r="M27" s="39" t="n"/>
      <c r="N27" s="39" t="n"/>
      <c r="O27" s="39" t="n"/>
      <c r="P27" s="39" t="n"/>
      <c r="Q27" s="39" t="n"/>
      <c r="R27" s="39" t="n"/>
    </row>
    <row r="28" ht="15" customHeight="1">
      <c r="A28" s="36">
        <f>TKB_Nhap!A28</f>
        <v/>
      </c>
      <c r="B28" s="36">
        <f>TKB_Nhap!B28</f>
        <v/>
      </c>
      <c r="C28" s="36">
        <f>TKB_Nhap!C28</f>
        <v/>
      </c>
      <c r="D28" s="36">
        <f>IF(TKB_Nhap!D28="","",IFERROR(T(INDEX(PhanCong!$B$3:$I$18,MATCH(TKB_Nhap!D28,PhanCong!$A$3:$A$18,0),MATCH($A28,PhanCong!$B$2:$I$2,0))),""))</f>
        <v/>
      </c>
      <c r="E28" s="36">
        <f>IF(TKB_Nhap!E28="","",IFERROR(T(INDEX(PhanCong!$B$3:$I$18,MATCH(TKB_Nhap!E28,PhanCong!$A$3:$A$18,0),MATCH($A28,PhanCong!$B$2:$I$2,0))),""))</f>
        <v/>
      </c>
      <c r="F28" s="36">
        <f>IF(TKB_Nhap!F28="","",IFERROR(T(INDEX(PhanCong!$B$3:$I$18,MATCH(TKB_Nhap!F28,PhanCong!$A$3:$A$18,0),MATCH($A28,PhanCong!$B$2:$I$2,0))),""))</f>
        <v/>
      </c>
      <c r="G28" s="36">
        <f>IF(TKB_Nhap!G28="","",IFERROR(T(INDEX(PhanCong!$B$3:$I$18,MATCH(TKB_Nhap!G28,PhanCong!$A$3:$A$18,0),MATCH($A28,PhanCong!$B$2:$I$2,0))),""))</f>
        <v/>
      </c>
      <c r="H28" s="36">
        <f>IF(TKB_Nhap!H28="","",IFERROR(T(INDEX(PhanCong!$B$3:$I$18,MATCH(TKB_Nhap!H28,PhanCong!$A$3:$A$18,0),MATCH($A28,PhanCong!$B$2:$I$2,0))),""))</f>
        <v/>
      </c>
      <c r="I28" s="36">
        <f>IF(TKB_Nhap!I28="","",IFERROR(T(INDEX(PhanCong!$B$3:$I$18,MATCH(TKB_Nhap!I28,PhanCong!$A$3:$A$18,0),MATCH($A28,PhanCong!$B$2:$I$2,0))),""))</f>
        <v/>
      </c>
      <c r="J28" s="36" t="n"/>
      <c r="L28" s="39" t="n"/>
      <c r="M28" s="39" t="n"/>
      <c r="N28" s="39" t="n"/>
      <c r="O28" s="39" t="n"/>
      <c r="P28" s="39" t="n"/>
      <c r="Q28" s="39" t="n"/>
      <c r="R28" s="39" t="n"/>
    </row>
    <row r="29" ht="15" customHeight="1">
      <c r="A29" s="36">
        <f>TKB_Nhap!A29</f>
        <v/>
      </c>
      <c r="B29" s="36">
        <f>TKB_Nhap!B29</f>
        <v/>
      </c>
      <c r="C29" s="36">
        <f>TKB_Nhap!C29</f>
        <v/>
      </c>
      <c r="D29" s="36">
        <f>IF(TKB_Nhap!D29="","",IFERROR(T(INDEX(PhanCong!$B$3:$I$18,MATCH(TKB_Nhap!D29,PhanCong!$A$3:$A$18,0),MATCH($A29,PhanCong!$B$2:$I$2,0))),""))</f>
        <v/>
      </c>
      <c r="E29" s="36">
        <f>IF(TKB_Nhap!E29="","",IFERROR(T(INDEX(PhanCong!$B$3:$I$18,MATCH(TKB_Nhap!E29,PhanCong!$A$3:$A$18,0),MATCH($A29,PhanCong!$B$2:$I$2,0))),""))</f>
        <v/>
      </c>
      <c r="F29" s="36">
        <f>IF(TKB_Nhap!F29="","",IFERROR(T(INDEX(PhanCong!$B$3:$I$18,MATCH(TKB_Nhap!F29,PhanCong!$A$3:$A$18,0),MATCH($A29,PhanCong!$B$2:$I$2,0))),""))</f>
        <v/>
      </c>
      <c r="G29" s="36">
        <f>IF(TKB_Nhap!G29="","",IFERROR(T(INDEX(PhanCong!$B$3:$I$18,MATCH(TKB_Nhap!G29,PhanCong!$A$3:$A$18,0),MATCH($A29,PhanCong!$B$2:$I$2,0))),""))</f>
        <v/>
      </c>
      <c r="H29" s="36">
        <f>IF(TKB_Nhap!H29="","",IFERROR(T(INDEX(PhanCong!$B$3:$I$18,MATCH(TKB_Nhap!H29,PhanCong!$A$3:$A$18,0),MATCH($A29,PhanCong!$B$2:$I$2,0))),""))</f>
        <v/>
      </c>
      <c r="I29" s="36">
        <f>IF(TKB_Nhap!I29="","",IFERROR(T(INDEX(PhanCong!$B$3:$I$18,MATCH(TKB_Nhap!I29,PhanCong!$A$3:$A$18,0),MATCH($A29,PhanCong!$B$2:$I$2,0))),""))</f>
        <v/>
      </c>
      <c r="J29" s="36" t="n"/>
      <c r="L29" s="39" t="n"/>
      <c r="M29" s="39" t="n"/>
      <c r="N29" s="39" t="n"/>
      <c r="O29" s="39" t="n"/>
      <c r="P29" s="39" t="n"/>
      <c r="Q29" s="39" t="n"/>
      <c r="R29" s="39" t="n"/>
    </row>
    <row r="30" ht="15" customHeight="1">
      <c r="A30" s="36">
        <f>TKB_Nhap!A30</f>
        <v/>
      </c>
      <c r="B30" s="36">
        <f>TKB_Nhap!B30</f>
        <v/>
      </c>
      <c r="C30" s="36">
        <f>TKB_Nhap!C30</f>
        <v/>
      </c>
      <c r="D30" s="36">
        <f>IF(TKB_Nhap!D30="","",IFERROR(T(INDEX(PhanCong!$B$3:$I$18,MATCH(TKB_Nhap!D30,PhanCong!$A$3:$A$18,0),MATCH($A30,PhanCong!$B$2:$I$2,0))),""))</f>
        <v/>
      </c>
      <c r="E30" s="36">
        <f>IF(TKB_Nhap!E30="","",IFERROR(T(INDEX(PhanCong!$B$3:$I$18,MATCH(TKB_Nhap!E30,PhanCong!$A$3:$A$18,0),MATCH($A30,PhanCong!$B$2:$I$2,0))),""))</f>
        <v/>
      </c>
      <c r="F30" s="36">
        <f>IF(TKB_Nhap!F30="","",IFERROR(T(INDEX(PhanCong!$B$3:$I$18,MATCH(TKB_Nhap!F30,PhanCong!$A$3:$A$18,0),MATCH($A30,PhanCong!$B$2:$I$2,0))),""))</f>
        <v/>
      </c>
      <c r="G30" s="36">
        <f>IF(TKB_Nhap!G30="","",IFERROR(T(INDEX(PhanCong!$B$3:$I$18,MATCH(TKB_Nhap!G30,PhanCong!$A$3:$A$18,0),MATCH($A30,PhanCong!$B$2:$I$2,0))),""))</f>
        <v/>
      </c>
      <c r="H30" s="36">
        <f>IF(TKB_Nhap!H30="","",IFERROR(T(INDEX(PhanCong!$B$3:$I$18,MATCH(TKB_Nhap!H30,PhanCong!$A$3:$A$18,0),MATCH($A30,PhanCong!$B$2:$I$2,0))),""))</f>
        <v/>
      </c>
      <c r="I30" s="36">
        <f>IF(TKB_Nhap!I30="","",IFERROR(T(INDEX(PhanCong!$B$3:$I$18,MATCH(TKB_Nhap!I30,PhanCong!$A$3:$A$18,0),MATCH($A30,PhanCong!$B$2:$I$2,0))),""))</f>
        <v/>
      </c>
      <c r="J30" s="36" t="n"/>
      <c r="L30" s="39" t="n"/>
      <c r="M30" s="39" t="n"/>
      <c r="N30" s="39" t="n"/>
      <c r="O30" s="39" t="n"/>
      <c r="P30" s="39" t="n"/>
      <c r="Q30" s="39" t="n"/>
      <c r="R30" s="39" t="n"/>
    </row>
    <row r="31" ht="15" customHeight="1">
      <c r="A31" s="36">
        <f>TKB_Nhap!A31</f>
        <v/>
      </c>
      <c r="B31" s="36">
        <f>TKB_Nhap!B31</f>
        <v/>
      </c>
      <c r="C31" s="36">
        <f>TKB_Nhap!C31</f>
        <v/>
      </c>
      <c r="D31" s="36">
        <f>IF(TKB_Nhap!D31="","",IFERROR(T(INDEX(PhanCong!$B$3:$I$18,MATCH(TKB_Nhap!D31,PhanCong!$A$3:$A$18,0),MATCH($A31,PhanCong!$B$2:$I$2,0))),""))</f>
        <v/>
      </c>
      <c r="E31" s="36">
        <f>IF(TKB_Nhap!E31="","",IFERROR(T(INDEX(PhanCong!$B$3:$I$18,MATCH(TKB_Nhap!E31,PhanCong!$A$3:$A$18,0),MATCH($A31,PhanCong!$B$2:$I$2,0))),""))</f>
        <v/>
      </c>
      <c r="F31" s="36">
        <f>IF(TKB_Nhap!F31="","",IFERROR(T(INDEX(PhanCong!$B$3:$I$18,MATCH(TKB_Nhap!F31,PhanCong!$A$3:$A$18,0),MATCH($A31,PhanCong!$B$2:$I$2,0))),""))</f>
        <v/>
      </c>
      <c r="G31" s="36">
        <f>IF(TKB_Nhap!G31="","",IFERROR(T(INDEX(PhanCong!$B$3:$I$18,MATCH(TKB_Nhap!G31,PhanCong!$A$3:$A$18,0),MATCH($A31,PhanCong!$B$2:$I$2,0))),""))</f>
        <v/>
      </c>
      <c r="H31" s="36">
        <f>IF(TKB_Nhap!H31="","",IFERROR(T(INDEX(PhanCong!$B$3:$I$18,MATCH(TKB_Nhap!H31,PhanCong!$A$3:$A$18,0),MATCH($A31,PhanCong!$B$2:$I$2,0))),""))</f>
        <v/>
      </c>
      <c r="I31" s="36">
        <f>IF(TKB_Nhap!I31="","",IFERROR(T(INDEX(PhanCong!$B$3:$I$18,MATCH(TKB_Nhap!I31,PhanCong!$A$3:$A$18,0),MATCH($A31,PhanCong!$B$2:$I$2,0))),""))</f>
        <v/>
      </c>
      <c r="J31" s="36" t="n"/>
      <c r="L31" s="39" t="n"/>
      <c r="M31" s="39" t="n"/>
      <c r="N31" s="39" t="n"/>
      <c r="O31" s="39" t="n"/>
      <c r="P31" s="39" t="n"/>
      <c r="Q31" s="39" t="n"/>
      <c r="R31" s="39" t="n"/>
    </row>
    <row r="32" ht="15" customHeight="1">
      <c r="A32" s="36">
        <f>TKB_Nhap!A32</f>
        <v/>
      </c>
      <c r="B32" s="36">
        <f>TKB_Nhap!B32</f>
        <v/>
      </c>
      <c r="C32" s="36">
        <f>TKB_Nhap!C32</f>
        <v/>
      </c>
      <c r="D32" s="36">
        <f>IF(TKB_Nhap!D32="","",IFERROR(T(INDEX(PhanCong!$B$3:$I$18,MATCH(TKB_Nhap!D32,PhanCong!$A$3:$A$18,0),MATCH($A32,PhanCong!$B$2:$I$2,0))),""))</f>
        <v/>
      </c>
      <c r="E32" s="36">
        <f>IF(TKB_Nhap!E32="","",IFERROR(T(INDEX(PhanCong!$B$3:$I$18,MATCH(TKB_Nhap!E32,PhanCong!$A$3:$A$18,0),MATCH($A32,PhanCong!$B$2:$I$2,0))),""))</f>
        <v/>
      </c>
      <c r="F32" s="36">
        <f>IF(TKB_Nhap!F32="","",IFERROR(T(INDEX(PhanCong!$B$3:$I$18,MATCH(TKB_Nhap!F32,PhanCong!$A$3:$A$18,0),MATCH($A32,PhanCong!$B$2:$I$2,0))),""))</f>
        <v/>
      </c>
      <c r="G32" s="36">
        <f>IF(TKB_Nhap!G32="","",IFERROR(T(INDEX(PhanCong!$B$3:$I$18,MATCH(TKB_Nhap!G32,PhanCong!$A$3:$A$18,0),MATCH($A32,PhanCong!$B$2:$I$2,0))),""))</f>
        <v/>
      </c>
      <c r="H32" s="36">
        <f>IF(TKB_Nhap!H32="","",IFERROR(T(INDEX(PhanCong!$B$3:$I$18,MATCH(TKB_Nhap!H32,PhanCong!$A$3:$A$18,0),MATCH($A32,PhanCong!$B$2:$I$2,0))),""))</f>
        <v/>
      </c>
      <c r="I32" s="36">
        <f>IF(TKB_Nhap!I32="","",IFERROR(T(INDEX(PhanCong!$B$3:$I$18,MATCH(TKB_Nhap!I32,PhanCong!$A$3:$A$18,0),MATCH($A32,PhanCong!$B$2:$I$2,0))),""))</f>
        <v/>
      </c>
      <c r="J32" s="36" t="n"/>
      <c r="L32" s="39" t="n"/>
      <c r="M32" s="39" t="n"/>
      <c r="N32" s="39" t="n"/>
      <c r="O32" s="39" t="n"/>
      <c r="P32" s="39" t="n"/>
      <c r="Q32" s="39" t="n"/>
      <c r="R32" s="39" t="n"/>
    </row>
    <row r="33" ht="15" customHeight="1">
      <c r="A33" s="36">
        <f>TKB_Nhap!A33</f>
        <v/>
      </c>
      <c r="B33" s="36">
        <f>TKB_Nhap!B33</f>
        <v/>
      </c>
      <c r="C33" s="36">
        <f>TKB_Nhap!C33</f>
        <v/>
      </c>
      <c r="D33" s="36">
        <f>IF(TKB_Nhap!D33="","",IFERROR(T(INDEX(PhanCong!$B$3:$I$18,MATCH(TKB_Nhap!D33,PhanCong!$A$3:$A$18,0),MATCH($A33,PhanCong!$B$2:$I$2,0))),""))</f>
        <v/>
      </c>
      <c r="E33" s="36">
        <f>IF(TKB_Nhap!E33="","",IFERROR(T(INDEX(PhanCong!$B$3:$I$18,MATCH(TKB_Nhap!E33,PhanCong!$A$3:$A$18,0),MATCH($A33,PhanCong!$B$2:$I$2,0))),""))</f>
        <v/>
      </c>
      <c r="F33" s="36">
        <f>IF(TKB_Nhap!F33="","",IFERROR(T(INDEX(PhanCong!$B$3:$I$18,MATCH(TKB_Nhap!F33,PhanCong!$A$3:$A$18,0),MATCH($A33,PhanCong!$B$2:$I$2,0))),""))</f>
        <v/>
      </c>
      <c r="G33" s="36">
        <f>IF(TKB_Nhap!G33="","",IFERROR(T(INDEX(PhanCong!$B$3:$I$18,MATCH(TKB_Nhap!G33,PhanCong!$A$3:$A$18,0),MATCH($A33,PhanCong!$B$2:$I$2,0))),""))</f>
        <v/>
      </c>
      <c r="H33" s="36">
        <f>IF(TKB_Nhap!H33="","",IFERROR(T(INDEX(PhanCong!$B$3:$I$18,MATCH(TKB_Nhap!H33,PhanCong!$A$3:$A$18,0),MATCH($A33,PhanCong!$B$2:$I$2,0))),""))</f>
        <v/>
      </c>
      <c r="I33" s="36">
        <f>IF(TKB_Nhap!I33="","",IFERROR(T(INDEX(PhanCong!$B$3:$I$18,MATCH(TKB_Nhap!I33,PhanCong!$A$3:$A$18,0),MATCH($A33,PhanCong!$B$2:$I$2,0))),""))</f>
        <v/>
      </c>
      <c r="J33" s="36" t="n"/>
      <c r="L33" s="39" t="n"/>
      <c r="M33" s="39" t="n"/>
      <c r="N33" s="39" t="n"/>
      <c r="O33" s="39" t="n"/>
      <c r="P33" s="39" t="n"/>
      <c r="Q33" s="39" t="n"/>
      <c r="R33" s="39" t="n"/>
    </row>
    <row r="34" ht="15" customHeight="1">
      <c r="A34" s="30">
        <f>TKB_Nhap!A34</f>
        <v/>
      </c>
      <c r="B34" s="30">
        <f>TKB_Nhap!B34</f>
        <v/>
      </c>
      <c r="C34" s="30">
        <f>TKB_Nhap!C34</f>
        <v/>
      </c>
      <c r="D34" s="30">
        <f>IF(TKB_Nhap!D34="","",IFERROR(T(INDEX(PhanCong!$B$3:$I$18,MATCH(TKB_Nhap!D34,PhanCong!$A$3:$A$18,0),MATCH($A34,PhanCong!$B$2:$I$2,0))),""))</f>
        <v/>
      </c>
      <c r="E34" s="30">
        <f>IF(TKB_Nhap!E34="","",IFERROR(T(INDEX(PhanCong!$B$3:$I$18,MATCH(TKB_Nhap!E34,PhanCong!$A$3:$A$18,0),MATCH($A34,PhanCong!$B$2:$I$2,0))),""))</f>
        <v/>
      </c>
      <c r="F34" s="30">
        <f>IF(TKB_Nhap!F34="","",IFERROR(T(INDEX(PhanCong!$B$3:$I$18,MATCH(TKB_Nhap!F34,PhanCong!$A$3:$A$18,0),MATCH($A34,PhanCong!$B$2:$I$2,0))),""))</f>
        <v/>
      </c>
      <c r="G34" s="30">
        <f>IF(TKB_Nhap!G34="","",IFERROR(T(INDEX(PhanCong!$B$3:$I$18,MATCH(TKB_Nhap!G34,PhanCong!$A$3:$A$18,0),MATCH($A34,PhanCong!$B$2:$I$2,0))),""))</f>
        <v/>
      </c>
      <c r="H34" s="30">
        <f>IF(TKB_Nhap!H34="","",IFERROR(T(INDEX(PhanCong!$B$3:$I$18,MATCH(TKB_Nhap!H34,PhanCong!$A$3:$A$18,0),MATCH($A34,PhanCong!$B$2:$I$2,0))),""))</f>
        <v/>
      </c>
      <c r="I34" s="30">
        <f>IF(TKB_Nhap!I34="","",IFERROR(T(INDEX(PhanCong!$B$3:$I$18,MATCH(TKB_Nhap!I34,PhanCong!$A$3:$A$18,0),MATCH($A34,PhanCong!$B$2:$I$2,0))),""))</f>
        <v/>
      </c>
      <c r="J34" s="30" t="n"/>
      <c r="L34" s="39" t="n"/>
      <c r="M34" s="39" t="n"/>
      <c r="N34" s="39" t="n"/>
      <c r="O34" s="39" t="n"/>
      <c r="P34" s="39" t="n"/>
      <c r="Q34" s="39" t="n"/>
      <c r="R34" s="39" t="n"/>
    </row>
    <row r="35" ht="15" customHeight="1">
      <c r="A35" s="30">
        <f>TKB_Nhap!A35</f>
        <v/>
      </c>
      <c r="B35" s="30">
        <f>TKB_Nhap!B35</f>
        <v/>
      </c>
      <c r="C35" s="30">
        <f>TKB_Nhap!C35</f>
        <v/>
      </c>
      <c r="D35" s="30">
        <f>IF(TKB_Nhap!D35="","",IFERROR(T(INDEX(PhanCong!$B$3:$I$18,MATCH(TKB_Nhap!D35,PhanCong!$A$3:$A$18,0),MATCH($A35,PhanCong!$B$2:$I$2,0))),""))</f>
        <v/>
      </c>
      <c r="E35" s="30">
        <f>IF(TKB_Nhap!E35="","",IFERROR(T(INDEX(PhanCong!$B$3:$I$18,MATCH(TKB_Nhap!E35,PhanCong!$A$3:$A$18,0),MATCH($A35,PhanCong!$B$2:$I$2,0))),""))</f>
        <v/>
      </c>
      <c r="F35" s="30">
        <f>IF(TKB_Nhap!F35="","",IFERROR(T(INDEX(PhanCong!$B$3:$I$18,MATCH(TKB_Nhap!F35,PhanCong!$A$3:$A$18,0),MATCH($A35,PhanCong!$B$2:$I$2,0))),""))</f>
        <v/>
      </c>
      <c r="G35" s="30">
        <f>IF(TKB_Nhap!G35="","",IFERROR(T(INDEX(PhanCong!$B$3:$I$18,MATCH(TKB_Nhap!G35,PhanCong!$A$3:$A$18,0),MATCH($A35,PhanCong!$B$2:$I$2,0))),""))</f>
        <v/>
      </c>
      <c r="H35" s="30">
        <f>IF(TKB_Nhap!H35="","",IFERROR(T(INDEX(PhanCong!$B$3:$I$18,MATCH(TKB_Nhap!H35,PhanCong!$A$3:$A$18,0),MATCH($A35,PhanCong!$B$2:$I$2,0))),""))</f>
        <v/>
      </c>
      <c r="I35" s="30">
        <f>IF(TKB_Nhap!I35="","",IFERROR(T(INDEX(PhanCong!$B$3:$I$18,MATCH(TKB_Nhap!I35,PhanCong!$A$3:$A$18,0),MATCH($A35,PhanCong!$B$2:$I$2,0))),""))</f>
        <v/>
      </c>
      <c r="J35" s="30" t="n"/>
      <c r="L35" s="39" t="n"/>
      <c r="M35" s="39" t="n"/>
      <c r="N35" s="39" t="n"/>
      <c r="O35" s="39" t="n"/>
      <c r="P35" s="39" t="n"/>
      <c r="Q35" s="39" t="n"/>
      <c r="R35" s="39" t="n"/>
    </row>
    <row r="36" ht="15" customHeight="1">
      <c r="A36" s="30">
        <f>TKB_Nhap!A36</f>
        <v/>
      </c>
      <c r="B36" s="30">
        <f>TKB_Nhap!B36</f>
        <v/>
      </c>
      <c r="C36" s="30">
        <f>TKB_Nhap!C36</f>
        <v/>
      </c>
      <c r="D36" s="30">
        <f>IF(TKB_Nhap!D36="","",IFERROR(T(INDEX(PhanCong!$B$3:$I$18,MATCH(TKB_Nhap!D36,PhanCong!$A$3:$A$18,0),MATCH($A36,PhanCong!$B$2:$I$2,0))),""))</f>
        <v/>
      </c>
      <c r="E36" s="30">
        <f>IF(TKB_Nhap!E36="","",IFERROR(T(INDEX(PhanCong!$B$3:$I$18,MATCH(TKB_Nhap!E36,PhanCong!$A$3:$A$18,0),MATCH($A36,PhanCong!$B$2:$I$2,0))),""))</f>
        <v/>
      </c>
      <c r="F36" s="30">
        <f>IF(TKB_Nhap!F36="","",IFERROR(T(INDEX(PhanCong!$B$3:$I$18,MATCH(TKB_Nhap!F36,PhanCong!$A$3:$A$18,0),MATCH($A36,PhanCong!$B$2:$I$2,0))),""))</f>
        <v/>
      </c>
      <c r="G36" s="30">
        <f>IF(TKB_Nhap!G36="","",IFERROR(T(INDEX(PhanCong!$B$3:$I$18,MATCH(TKB_Nhap!G36,PhanCong!$A$3:$A$18,0),MATCH($A36,PhanCong!$B$2:$I$2,0))),""))</f>
        <v/>
      </c>
      <c r="H36" s="30">
        <f>IF(TKB_Nhap!H36="","",IFERROR(T(INDEX(PhanCong!$B$3:$I$18,MATCH(TKB_Nhap!H36,PhanCong!$A$3:$A$18,0),MATCH($A36,PhanCong!$B$2:$I$2,0))),""))</f>
        <v/>
      </c>
      <c r="I36" s="30">
        <f>IF(TKB_Nhap!I36="","",IFERROR(T(INDEX(PhanCong!$B$3:$I$18,MATCH(TKB_Nhap!I36,PhanCong!$A$3:$A$18,0),MATCH($A36,PhanCong!$B$2:$I$2,0))),""))</f>
        <v/>
      </c>
      <c r="J36" s="30" t="n"/>
      <c r="L36" s="39" t="n"/>
      <c r="M36" s="39" t="n"/>
      <c r="N36" s="39" t="n"/>
      <c r="O36" s="39" t="n"/>
      <c r="P36" s="39" t="n"/>
      <c r="Q36" s="39" t="n"/>
      <c r="R36" s="39" t="n"/>
    </row>
    <row r="37" ht="15" customHeight="1">
      <c r="A37" s="30">
        <f>TKB_Nhap!A37</f>
        <v/>
      </c>
      <c r="B37" s="30">
        <f>TKB_Nhap!B37</f>
        <v/>
      </c>
      <c r="C37" s="30">
        <f>TKB_Nhap!C37</f>
        <v/>
      </c>
      <c r="D37" s="30">
        <f>IF(TKB_Nhap!D37="","",IFERROR(T(INDEX(PhanCong!$B$3:$I$18,MATCH(TKB_Nhap!D37,PhanCong!$A$3:$A$18,0),MATCH($A37,PhanCong!$B$2:$I$2,0))),""))</f>
        <v/>
      </c>
      <c r="E37" s="30">
        <f>IF(TKB_Nhap!E37="","",IFERROR(T(INDEX(PhanCong!$B$3:$I$18,MATCH(TKB_Nhap!E37,PhanCong!$A$3:$A$18,0),MATCH($A37,PhanCong!$B$2:$I$2,0))),""))</f>
        <v/>
      </c>
      <c r="F37" s="30">
        <f>IF(TKB_Nhap!F37="","",IFERROR(T(INDEX(PhanCong!$B$3:$I$18,MATCH(TKB_Nhap!F37,PhanCong!$A$3:$A$18,0),MATCH($A37,PhanCong!$B$2:$I$2,0))),""))</f>
        <v/>
      </c>
      <c r="G37" s="30">
        <f>IF(TKB_Nhap!G37="","",IFERROR(T(INDEX(PhanCong!$B$3:$I$18,MATCH(TKB_Nhap!G37,PhanCong!$A$3:$A$18,0),MATCH($A37,PhanCong!$B$2:$I$2,0))),""))</f>
        <v/>
      </c>
      <c r="H37" s="30">
        <f>IF(TKB_Nhap!H37="","",IFERROR(T(INDEX(PhanCong!$B$3:$I$18,MATCH(TKB_Nhap!H37,PhanCong!$A$3:$A$18,0),MATCH($A37,PhanCong!$B$2:$I$2,0))),""))</f>
        <v/>
      </c>
      <c r="I37" s="30">
        <f>IF(TKB_Nhap!I37="","",IFERROR(T(INDEX(PhanCong!$B$3:$I$18,MATCH(TKB_Nhap!I37,PhanCong!$A$3:$A$18,0),MATCH($A37,PhanCong!$B$2:$I$2,0))),""))</f>
        <v/>
      </c>
      <c r="J37" s="30" t="n"/>
      <c r="L37" s="39" t="n"/>
      <c r="M37" s="39" t="n"/>
      <c r="N37" s="39" t="n"/>
      <c r="O37" s="39" t="n"/>
      <c r="P37" s="39" t="n"/>
      <c r="Q37" s="39" t="n"/>
      <c r="R37" s="39" t="n"/>
    </row>
    <row r="38" ht="15" customHeight="1">
      <c r="A38" s="30">
        <f>TKB_Nhap!A38</f>
        <v/>
      </c>
      <c r="B38" s="30">
        <f>TKB_Nhap!B38</f>
        <v/>
      </c>
      <c r="C38" s="30">
        <f>TKB_Nhap!C38</f>
        <v/>
      </c>
      <c r="D38" s="30">
        <f>IF(TKB_Nhap!D38="","",IFERROR(T(INDEX(PhanCong!$B$3:$I$18,MATCH(TKB_Nhap!D38,PhanCong!$A$3:$A$18,0),MATCH($A38,PhanCong!$B$2:$I$2,0))),""))</f>
        <v/>
      </c>
      <c r="E38" s="30">
        <f>IF(TKB_Nhap!E38="","",IFERROR(T(INDEX(PhanCong!$B$3:$I$18,MATCH(TKB_Nhap!E38,PhanCong!$A$3:$A$18,0),MATCH($A38,PhanCong!$B$2:$I$2,0))),""))</f>
        <v/>
      </c>
      <c r="F38" s="30">
        <f>IF(TKB_Nhap!F38="","",IFERROR(T(INDEX(PhanCong!$B$3:$I$18,MATCH(TKB_Nhap!F38,PhanCong!$A$3:$A$18,0),MATCH($A38,PhanCong!$B$2:$I$2,0))),""))</f>
        <v/>
      </c>
      <c r="G38" s="30">
        <f>IF(TKB_Nhap!G38="","",IFERROR(T(INDEX(PhanCong!$B$3:$I$18,MATCH(TKB_Nhap!G38,PhanCong!$A$3:$A$18,0),MATCH($A38,PhanCong!$B$2:$I$2,0))),""))</f>
        <v/>
      </c>
      <c r="H38" s="30">
        <f>IF(TKB_Nhap!H38="","",IFERROR(T(INDEX(PhanCong!$B$3:$I$18,MATCH(TKB_Nhap!H38,PhanCong!$A$3:$A$18,0),MATCH($A38,PhanCong!$B$2:$I$2,0))),""))</f>
        <v/>
      </c>
      <c r="I38" s="30">
        <f>IF(TKB_Nhap!I38="","",IFERROR(T(INDEX(PhanCong!$B$3:$I$18,MATCH(TKB_Nhap!I38,PhanCong!$A$3:$A$18,0),MATCH($A38,PhanCong!$B$2:$I$2,0))),""))</f>
        <v/>
      </c>
      <c r="J38" s="30" t="n"/>
      <c r="L38" s="39" t="n"/>
      <c r="M38" s="39" t="n"/>
      <c r="N38" s="39" t="n"/>
      <c r="O38" s="39" t="n"/>
      <c r="P38" s="39" t="n"/>
      <c r="Q38" s="39" t="n"/>
      <c r="R38" s="39" t="n"/>
    </row>
    <row r="39" ht="15" customHeight="1">
      <c r="A39" s="30">
        <f>TKB_Nhap!A39</f>
        <v/>
      </c>
      <c r="B39" s="30">
        <f>TKB_Nhap!B39</f>
        <v/>
      </c>
      <c r="C39" s="30">
        <f>TKB_Nhap!C39</f>
        <v/>
      </c>
      <c r="D39" s="30">
        <f>IF(TKB_Nhap!D39="","",IFERROR(T(INDEX(PhanCong!$B$3:$I$18,MATCH(TKB_Nhap!D39,PhanCong!$A$3:$A$18,0),MATCH($A39,PhanCong!$B$2:$I$2,0))),""))</f>
        <v/>
      </c>
      <c r="E39" s="30">
        <f>IF(TKB_Nhap!E39="","",IFERROR(T(INDEX(PhanCong!$B$3:$I$18,MATCH(TKB_Nhap!E39,PhanCong!$A$3:$A$18,0),MATCH($A39,PhanCong!$B$2:$I$2,0))),""))</f>
        <v/>
      </c>
      <c r="F39" s="30">
        <f>IF(TKB_Nhap!F39="","",IFERROR(T(INDEX(PhanCong!$B$3:$I$18,MATCH(TKB_Nhap!F39,PhanCong!$A$3:$A$18,0),MATCH($A39,PhanCong!$B$2:$I$2,0))),""))</f>
        <v/>
      </c>
      <c r="G39" s="30">
        <f>IF(TKB_Nhap!G39="","",IFERROR(T(INDEX(PhanCong!$B$3:$I$18,MATCH(TKB_Nhap!G39,PhanCong!$A$3:$A$18,0),MATCH($A39,PhanCong!$B$2:$I$2,0))),""))</f>
        <v/>
      </c>
      <c r="H39" s="30">
        <f>IF(TKB_Nhap!H39="","",IFERROR(T(INDEX(PhanCong!$B$3:$I$18,MATCH(TKB_Nhap!H39,PhanCong!$A$3:$A$18,0),MATCH($A39,PhanCong!$B$2:$I$2,0))),""))</f>
        <v/>
      </c>
      <c r="I39" s="30">
        <f>IF(TKB_Nhap!I39="","",IFERROR(T(INDEX(PhanCong!$B$3:$I$18,MATCH(TKB_Nhap!I39,PhanCong!$A$3:$A$18,0),MATCH($A39,PhanCong!$B$2:$I$2,0))),""))</f>
        <v/>
      </c>
      <c r="J39" s="30" t="n"/>
      <c r="L39" s="39" t="n"/>
      <c r="M39" s="39" t="n"/>
      <c r="N39" s="39" t="n"/>
      <c r="O39" s="39" t="n"/>
      <c r="P39" s="39" t="n"/>
      <c r="Q39" s="39" t="n"/>
      <c r="R39" s="39" t="n"/>
    </row>
    <row r="40" ht="15" customHeight="1">
      <c r="A40" s="30">
        <f>TKB_Nhap!A40</f>
        <v/>
      </c>
      <c r="B40" s="30">
        <f>TKB_Nhap!B40</f>
        <v/>
      </c>
      <c r="C40" s="30">
        <f>TKB_Nhap!C40</f>
        <v/>
      </c>
      <c r="D40" s="30">
        <f>IF(TKB_Nhap!D40="","",IFERROR(T(INDEX(PhanCong!$B$3:$I$18,MATCH(TKB_Nhap!D40,PhanCong!$A$3:$A$18,0),MATCH($A40,PhanCong!$B$2:$I$2,0))),""))</f>
        <v/>
      </c>
      <c r="E40" s="30">
        <f>IF(TKB_Nhap!E40="","",IFERROR(T(INDEX(PhanCong!$B$3:$I$18,MATCH(TKB_Nhap!E40,PhanCong!$A$3:$A$18,0),MATCH($A40,PhanCong!$B$2:$I$2,0))),""))</f>
        <v/>
      </c>
      <c r="F40" s="30">
        <f>IF(TKB_Nhap!F40="","",IFERROR(T(INDEX(PhanCong!$B$3:$I$18,MATCH(TKB_Nhap!F40,PhanCong!$A$3:$A$18,0),MATCH($A40,PhanCong!$B$2:$I$2,0))),""))</f>
        <v/>
      </c>
      <c r="G40" s="30">
        <f>IF(TKB_Nhap!G40="","",IFERROR(T(INDEX(PhanCong!$B$3:$I$18,MATCH(TKB_Nhap!G40,PhanCong!$A$3:$A$18,0),MATCH($A40,PhanCong!$B$2:$I$2,0))),""))</f>
        <v/>
      </c>
      <c r="H40" s="30">
        <f>IF(TKB_Nhap!H40="","",IFERROR(T(INDEX(PhanCong!$B$3:$I$18,MATCH(TKB_Nhap!H40,PhanCong!$A$3:$A$18,0),MATCH($A40,PhanCong!$B$2:$I$2,0))),""))</f>
        <v/>
      </c>
      <c r="I40" s="30">
        <f>IF(TKB_Nhap!I40="","",IFERROR(T(INDEX(PhanCong!$B$3:$I$18,MATCH(TKB_Nhap!I40,PhanCong!$A$3:$A$18,0),MATCH($A40,PhanCong!$B$2:$I$2,0))),""))</f>
        <v/>
      </c>
      <c r="J40" s="30" t="n"/>
      <c r="L40" s="39" t="n"/>
      <c r="M40" s="39" t="n"/>
      <c r="N40" s="39" t="n"/>
      <c r="O40" s="39" t="n"/>
      <c r="P40" s="39" t="n"/>
      <c r="Q40" s="39" t="n"/>
      <c r="R40" s="39" t="n"/>
    </row>
    <row r="41" ht="15" customHeight="1">
      <c r="A41" s="30">
        <f>TKB_Nhap!A41</f>
        <v/>
      </c>
      <c r="B41" s="30">
        <f>TKB_Nhap!B41</f>
        <v/>
      </c>
      <c r="C41" s="30">
        <f>TKB_Nhap!C41</f>
        <v/>
      </c>
      <c r="D41" s="30">
        <f>IF(TKB_Nhap!D41="","",IFERROR(T(INDEX(PhanCong!$B$3:$I$18,MATCH(TKB_Nhap!D41,PhanCong!$A$3:$A$18,0),MATCH($A41,PhanCong!$B$2:$I$2,0))),""))</f>
        <v/>
      </c>
      <c r="E41" s="30">
        <f>IF(TKB_Nhap!E41="","",IFERROR(T(INDEX(PhanCong!$B$3:$I$18,MATCH(TKB_Nhap!E41,PhanCong!$A$3:$A$18,0),MATCH($A41,PhanCong!$B$2:$I$2,0))),""))</f>
        <v/>
      </c>
      <c r="F41" s="30">
        <f>IF(TKB_Nhap!F41="","",IFERROR(T(INDEX(PhanCong!$B$3:$I$18,MATCH(TKB_Nhap!F41,PhanCong!$A$3:$A$18,0),MATCH($A41,PhanCong!$B$2:$I$2,0))),""))</f>
        <v/>
      </c>
      <c r="G41" s="30">
        <f>IF(TKB_Nhap!G41="","",IFERROR(T(INDEX(PhanCong!$B$3:$I$18,MATCH(TKB_Nhap!G41,PhanCong!$A$3:$A$18,0),MATCH($A41,PhanCong!$B$2:$I$2,0))),""))</f>
        <v/>
      </c>
      <c r="H41" s="30">
        <f>IF(TKB_Nhap!H41="","",IFERROR(T(INDEX(PhanCong!$B$3:$I$18,MATCH(TKB_Nhap!H41,PhanCong!$A$3:$A$18,0),MATCH($A41,PhanCong!$B$2:$I$2,0))),""))</f>
        <v/>
      </c>
      <c r="I41" s="30">
        <f>IF(TKB_Nhap!I41="","",IFERROR(T(INDEX(PhanCong!$B$3:$I$18,MATCH(TKB_Nhap!I41,PhanCong!$A$3:$A$18,0),MATCH($A41,PhanCong!$B$2:$I$2,0))),""))</f>
        <v/>
      </c>
      <c r="J41" s="30" t="n"/>
      <c r="L41" s="39" t="n"/>
      <c r="M41" s="39" t="n"/>
      <c r="N41" s="39" t="n"/>
      <c r="O41" s="39" t="n"/>
      <c r="P41" s="39" t="n"/>
      <c r="Q41" s="39" t="n"/>
      <c r="R41" s="39" t="n"/>
    </row>
    <row r="42" ht="15" customHeight="1">
      <c r="A42" s="36">
        <f>TKB_Nhap!A42</f>
        <v/>
      </c>
      <c r="B42" s="36">
        <f>TKB_Nhap!B42</f>
        <v/>
      </c>
      <c r="C42" s="36">
        <f>TKB_Nhap!C42</f>
        <v/>
      </c>
      <c r="D42" s="36">
        <f>IF(TKB_Nhap!D42="","",IFERROR(T(INDEX(PhanCong!$B$3:$I$18,MATCH(TKB_Nhap!D42,PhanCong!$A$3:$A$18,0),MATCH($A42,PhanCong!$B$2:$I$2,0))),""))</f>
        <v/>
      </c>
      <c r="E42" s="36">
        <f>IF(TKB_Nhap!E42="","",IFERROR(T(INDEX(PhanCong!$B$3:$I$18,MATCH(TKB_Nhap!E42,PhanCong!$A$3:$A$18,0),MATCH($A42,PhanCong!$B$2:$I$2,0))),""))</f>
        <v/>
      </c>
      <c r="F42" s="36">
        <f>IF(TKB_Nhap!F42="","",IFERROR(T(INDEX(PhanCong!$B$3:$I$18,MATCH(TKB_Nhap!F42,PhanCong!$A$3:$A$18,0),MATCH($A42,PhanCong!$B$2:$I$2,0))),""))</f>
        <v/>
      </c>
      <c r="G42" s="36">
        <f>IF(TKB_Nhap!G42="","",IFERROR(T(INDEX(PhanCong!$B$3:$I$18,MATCH(TKB_Nhap!G42,PhanCong!$A$3:$A$18,0),MATCH($A42,PhanCong!$B$2:$I$2,0))),""))</f>
        <v/>
      </c>
      <c r="H42" s="36">
        <f>IF(TKB_Nhap!H42="","",IFERROR(T(INDEX(PhanCong!$B$3:$I$18,MATCH(TKB_Nhap!H42,PhanCong!$A$3:$A$18,0),MATCH($A42,PhanCong!$B$2:$I$2,0))),""))</f>
        <v/>
      </c>
      <c r="I42" s="36">
        <f>IF(TKB_Nhap!I42="","",IFERROR(T(INDEX(PhanCong!$B$3:$I$18,MATCH(TKB_Nhap!I42,PhanCong!$A$3:$A$18,0),MATCH($A42,PhanCong!$B$2:$I$2,0))),""))</f>
        <v/>
      </c>
      <c r="J42" s="36" t="n"/>
      <c r="L42" s="39" t="n"/>
      <c r="M42" s="39" t="n"/>
      <c r="N42" s="39" t="n"/>
      <c r="O42" s="39" t="n"/>
      <c r="P42" s="39" t="n"/>
      <c r="Q42" s="39" t="n"/>
      <c r="R42" s="39" t="n"/>
    </row>
    <row r="43" ht="15" customHeight="1">
      <c r="A43" s="36">
        <f>TKB_Nhap!A43</f>
        <v/>
      </c>
      <c r="B43" s="36">
        <f>TKB_Nhap!B43</f>
        <v/>
      </c>
      <c r="C43" s="36">
        <f>TKB_Nhap!C43</f>
        <v/>
      </c>
      <c r="D43" s="36">
        <f>IF(TKB_Nhap!D43="","",IFERROR(T(INDEX(PhanCong!$B$3:$I$18,MATCH(TKB_Nhap!D43,PhanCong!$A$3:$A$18,0),MATCH($A43,PhanCong!$B$2:$I$2,0))),""))</f>
        <v/>
      </c>
      <c r="E43" s="36">
        <f>IF(TKB_Nhap!E43="","",IFERROR(T(INDEX(PhanCong!$B$3:$I$18,MATCH(TKB_Nhap!E43,PhanCong!$A$3:$A$18,0),MATCH($A43,PhanCong!$B$2:$I$2,0))),""))</f>
        <v/>
      </c>
      <c r="F43" s="36">
        <f>IF(TKB_Nhap!F43="","",IFERROR(T(INDEX(PhanCong!$B$3:$I$18,MATCH(TKB_Nhap!F43,PhanCong!$A$3:$A$18,0),MATCH($A43,PhanCong!$B$2:$I$2,0))),""))</f>
        <v/>
      </c>
      <c r="G43" s="36">
        <f>IF(TKB_Nhap!G43="","",IFERROR(T(INDEX(PhanCong!$B$3:$I$18,MATCH(TKB_Nhap!G43,PhanCong!$A$3:$A$18,0),MATCH($A43,PhanCong!$B$2:$I$2,0))),""))</f>
        <v/>
      </c>
      <c r="H43" s="36">
        <f>IF(TKB_Nhap!H43="","",IFERROR(T(INDEX(PhanCong!$B$3:$I$18,MATCH(TKB_Nhap!H43,PhanCong!$A$3:$A$18,0),MATCH($A43,PhanCong!$B$2:$I$2,0))),""))</f>
        <v/>
      </c>
      <c r="I43" s="36">
        <f>IF(TKB_Nhap!I43="","",IFERROR(T(INDEX(PhanCong!$B$3:$I$18,MATCH(TKB_Nhap!I43,PhanCong!$A$3:$A$18,0),MATCH($A43,PhanCong!$B$2:$I$2,0))),""))</f>
        <v/>
      </c>
      <c r="J43" s="36" t="n"/>
      <c r="L43" s="39" t="n"/>
      <c r="M43" s="39" t="n"/>
      <c r="N43" s="39" t="n"/>
      <c r="O43" s="39" t="n"/>
      <c r="P43" s="39" t="n"/>
      <c r="Q43" s="39" t="n"/>
      <c r="R43" s="39" t="n"/>
    </row>
    <row r="44" ht="15" customHeight="1">
      <c r="A44" s="36">
        <f>TKB_Nhap!A44</f>
        <v/>
      </c>
      <c r="B44" s="36">
        <f>TKB_Nhap!B44</f>
        <v/>
      </c>
      <c r="C44" s="36">
        <f>TKB_Nhap!C44</f>
        <v/>
      </c>
      <c r="D44" s="36">
        <f>IF(TKB_Nhap!D44="","",IFERROR(T(INDEX(PhanCong!$B$3:$I$18,MATCH(TKB_Nhap!D44,PhanCong!$A$3:$A$18,0),MATCH($A44,PhanCong!$B$2:$I$2,0))),""))</f>
        <v/>
      </c>
      <c r="E44" s="36">
        <f>IF(TKB_Nhap!E44="","",IFERROR(T(INDEX(PhanCong!$B$3:$I$18,MATCH(TKB_Nhap!E44,PhanCong!$A$3:$A$18,0),MATCH($A44,PhanCong!$B$2:$I$2,0))),""))</f>
        <v/>
      </c>
      <c r="F44" s="36">
        <f>IF(TKB_Nhap!F44="","",IFERROR(T(INDEX(PhanCong!$B$3:$I$18,MATCH(TKB_Nhap!F44,PhanCong!$A$3:$A$18,0),MATCH($A44,PhanCong!$B$2:$I$2,0))),""))</f>
        <v/>
      </c>
      <c r="G44" s="36">
        <f>IF(TKB_Nhap!G44="","",IFERROR(T(INDEX(PhanCong!$B$3:$I$18,MATCH(TKB_Nhap!G44,PhanCong!$A$3:$A$18,0),MATCH($A44,PhanCong!$B$2:$I$2,0))),""))</f>
        <v/>
      </c>
      <c r="H44" s="36">
        <f>IF(TKB_Nhap!H44="","",IFERROR(T(INDEX(PhanCong!$B$3:$I$18,MATCH(TKB_Nhap!H44,PhanCong!$A$3:$A$18,0),MATCH($A44,PhanCong!$B$2:$I$2,0))),""))</f>
        <v/>
      </c>
      <c r="I44" s="36">
        <f>IF(TKB_Nhap!I44="","",IFERROR(T(INDEX(PhanCong!$B$3:$I$18,MATCH(TKB_Nhap!I44,PhanCong!$A$3:$A$18,0),MATCH($A44,PhanCong!$B$2:$I$2,0))),""))</f>
        <v/>
      </c>
      <c r="J44" s="36" t="n"/>
      <c r="L44" s="39" t="n"/>
      <c r="M44" s="39" t="n"/>
      <c r="N44" s="39" t="n"/>
      <c r="O44" s="39" t="n"/>
      <c r="P44" s="39" t="n"/>
      <c r="Q44" s="39" t="n"/>
      <c r="R44" s="39" t="n"/>
    </row>
    <row r="45" ht="15" customHeight="1">
      <c r="A45" s="36">
        <f>TKB_Nhap!A45</f>
        <v/>
      </c>
      <c r="B45" s="36">
        <f>TKB_Nhap!B45</f>
        <v/>
      </c>
      <c r="C45" s="36">
        <f>TKB_Nhap!C45</f>
        <v/>
      </c>
      <c r="D45" s="36">
        <f>IF(TKB_Nhap!D45="","",IFERROR(T(INDEX(PhanCong!$B$3:$I$18,MATCH(TKB_Nhap!D45,PhanCong!$A$3:$A$18,0),MATCH($A45,PhanCong!$B$2:$I$2,0))),""))</f>
        <v/>
      </c>
      <c r="E45" s="36">
        <f>IF(TKB_Nhap!E45="","",IFERROR(T(INDEX(PhanCong!$B$3:$I$18,MATCH(TKB_Nhap!E45,PhanCong!$A$3:$A$18,0),MATCH($A45,PhanCong!$B$2:$I$2,0))),""))</f>
        <v/>
      </c>
      <c r="F45" s="36">
        <f>IF(TKB_Nhap!F45="","",IFERROR(T(INDEX(PhanCong!$B$3:$I$18,MATCH(TKB_Nhap!F45,PhanCong!$A$3:$A$18,0),MATCH($A45,PhanCong!$B$2:$I$2,0))),""))</f>
        <v/>
      </c>
      <c r="G45" s="36">
        <f>IF(TKB_Nhap!G45="","",IFERROR(T(INDEX(PhanCong!$B$3:$I$18,MATCH(TKB_Nhap!G45,PhanCong!$A$3:$A$18,0),MATCH($A45,PhanCong!$B$2:$I$2,0))),""))</f>
        <v/>
      </c>
      <c r="H45" s="36">
        <f>IF(TKB_Nhap!H45="","",IFERROR(T(INDEX(PhanCong!$B$3:$I$18,MATCH(TKB_Nhap!H45,PhanCong!$A$3:$A$18,0),MATCH($A45,PhanCong!$B$2:$I$2,0))),""))</f>
        <v/>
      </c>
      <c r="I45" s="36">
        <f>IF(TKB_Nhap!I45="","",IFERROR(T(INDEX(PhanCong!$B$3:$I$18,MATCH(TKB_Nhap!I45,PhanCong!$A$3:$A$18,0),MATCH($A45,PhanCong!$B$2:$I$2,0))),""))</f>
        <v/>
      </c>
      <c r="J45" s="36" t="n"/>
      <c r="L45" s="39" t="n"/>
      <c r="M45" s="39" t="n"/>
      <c r="N45" s="39" t="n"/>
      <c r="O45" s="39" t="n"/>
      <c r="P45" s="39" t="n"/>
      <c r="Q45" s="39" t="n"/>
      <c r="R45" s="39" t="n"/>
    </row>
    <row r="46" ht="15" customHeight="1">
      <c r="A46" s="36">
        <f>TKB_Nhap!A46</f>
        <v/>
      </c>
      <c r="B46" s="36">
        <f>TKB_Nhap!B46</f>
        <v/>
      </c>
      <c r="C46" s="36">
        <f>TKB_Nhap!C46</f>
        <v/>
      </c>
      <c r="D46" s="36">
        <f>IF(TKB_Nhap!D46="","",IFERROR(T(INDEX(PhanCong!$B$3:$I$18,MATCH(TKB_Nhap!D46,PhanCong!$A$3:$A$18,0),MATCH($A46,PhanCong!$B$2:$I$2,0))),""))</f>
        <v/>
      </c>
      <c r="E46" s="36">
        <f>IF(TKB_Nhap!E46="","",IFERROR(T(INDEX(PhanCong!$B$3:$I$18,MATCH(TKB_Nhap!E46,PhanCong!$A$3:$A$18,0),MATCH($A46,PhanCong!$B$2:$I$2,0))),""))</f>
        <v/>
      </c>
      <c r="F46" s="36">
        <f>IF(TKB_Nhap!F46="","",IFERROR(T(INDEX(PhanCong!$B$3:$I$18,MATCH(TKB_Nhap!F46,PhanCong!$A$3:$A$18,0),MATCH($A46,PhanCong!$B$2:$I$2,0))),""))</f>
        <v/>
      </c>
      <c r="G46" s="36">
        <f>IF(TKB_Nhap!G46="","",IFERROR(T(INDEX(PhanCong!$B$3:$I$18,MATCH(TKB_Nhap!G46,PhanCong!$A$3:$A$18,0),MATCH($A46,PhanCong!$B$2:$I$2,0))),""))</f>
        <v/>
      </c>
      <c r="H46" s="36">
        <f>IF(TKB_Nhap!H46="","",IFERROR(T(INDEX(PhanCong!$B$3:$I$18,MATCH(TKB_Nhap!H46,PhanCong!$A$3:$A$18,0),MATCH($A46,PhanCong!$B$2:$I$2,0))),""))</f>
        <v/>
      </c>
      <c r="I46" s="36">
        <f>IF(TKB_Nhap!I46="","",IFERROR(T(INDEX(PhanCong!$B$3:$I$18,MATCH(TKB_Nhap!I46,PhanCong!$A$3:$A$18,0),MATCH($A46,PhanCong!$B$2:$I$2,0))),""))</f>
        <v/>
      </c>
      <c r="J46" s="36" t="n"/>
      <c r="L46" s="39" t="n"/>
      <c r="M46" s="39" t="n"/>
      <c r="N46" s="39" t="n"/>
      <c r="O46" s="39" t="n"/>
      <c r="P46" s="39" t="n"/>
      <c r="Q46" s="39" t="n"/>
      <c r="R46" s="39" t="n"/>
    </row>
    <row r="47" ht="15" customHeight="1">
      <c r="A47" s="36">
        <f>TKB_Nhap!A47</f>
        <v/>
      </c>
      <c r="B47" s="36">
        <f>TKB_Nhap!B47</f>
        <v/>
      </c>
      <c r="C47" s="36">
        <f>TKB_Nhap!C47</f>
        <v/>
      </c>
      <c r="D47" s="36">
        <f>IF(TKB_Nhap!D47="","",IFERROR(T(INDEX(PhanCong!$B$3:$I$18,MATCH(TKB_Nhap!D47,PhanCong!$A$3:$A$18,0),MATCH($A47,PhanCong!$B$2:$I$2,0))),""))</f>
        <v/>
      </c>
      <c r="E47" s="36">
        <f>IF(TKB_Nhap!E47="","",IFERROR(T(INDEX(PhanCong!$B$3:$I$18,MATCH(TKB_Nhap!E47,PhanCong!$A$3:$A$18,0),MATCH($A47,PhanCong!$B$2:$I$2,0))),""))</f>
        <v/>
      </c>
      <c r="F47" s="36">
        <f>IF(TKB_Nhap!F47="","",IFERROR(T(INDEX(PhanCong!$B$3:$I$18,MATCH(TKB_Nhap!F47,PhanCong!$A$3:$A$18,0),MATCH($A47,PhanCong!$B$2:$I$2,0))),""))</f>
        <v/>
      </c>
      <c r="G47" s="36">
        <f>IF(TKB_Nhap!G47="","",IFERROR(T(INDEX(PhanCong!$B$3:$I$18,MATCH(TKB_Nhap!G47,PhanCong!$A$3:$A$18,0),MATCH($A47,PhanCong!$B$2:$I$2,0))),""))</f>
        <v/>
      </c>
      <c r="H47" s="36">
        <f>IF(TKB_Nhap!H47="","",IFERROR(T(INDEX(PhanCong!$B$3:$I$18,MATCH(TKB_Nhap!H47,PhanCong!$A$3:$A$18,0),MATCH($A47,PhanCong!$B$2:$I$2,0))),""))</f>
        <v/>
      </c>
      <c r="I47" s="36">
        <f>IF(TKB_Nhap!I47="","",IFERROR(T(INDEX(PhanCong!$B$3:$I$18,MATCH(TKB_Nhap!I47,PhanCong!$A$3:$A$18,0),MATCH($A47,PhanCong!$B$2:$I$2,0))),""))</f>
        <v/>
      </c>
      <c r="J47" s="36" t="n"/>
      <c r="L47" s="39" t="n"/>
      <c r="M47" s="39" t="n"/>
      <c r="N47" s="39" t="n"/>
      <c r="O47" s="39" t="n"/>
      <c r="P47" s="39" t="n"/>
      <c r="Q47" s="39" t="n"/>
      <c r="R47" s="39" t="n"/>
    </row>
    <row r="48" ht="15" customHeight="1">
      <c r="A48" s="36">
        <f>TKB_Nhap!A48</f>
        <v/>
      </c>
      <c r="B48" s="36">
        <f>TKB_Nhap!B48</f>
        <v/>
      </c>
      <c r="C48" s="36">
        <f>TKB_Nhap!C48</f>
        <v/>
      </c>
      <c r="D48" s="36">
        <f>IF(TKB_Nhap!D48="","",IFERROR(T(INDEX(PhanCong!$B$3:$I$18,MATCH(TKB_Nhap!D48,PhanCong!$A$3:$A$18,0),MATCH($A48,PhanCong!$B$2:$I$2,0))),""))</f>
        <v/>
      </c>
      <c r="E48" s="36">
        <f>IF(TKB_Nhap!E48="","",IFERROR(T(INDEX(PhanCong!$B$3:$I$18,MATCH(TKB_Nhap!E48,PhanCong!$A$3:$A$18,0),MATCH($A48,PhanCong!$B$2:$I$2,0))),""))</f>
        <v/>
      </c>
      <c r="F48" s="36">
        <f>IF(TKB_Nhap!F48="","",IFERROR(T(INDEX(PhanCong!$B$3:$I$18,MATCH(TKB_Nhap!F48,PhanCong!$A$3:$A$18,0),MATCH($A48,PhanCong!$B$2:$I$2,0))),""))</f>
        <v/>
      </c>
      <c r="G48" s="36">
        <f>IF(TKB_Nhap!G48="","",IFERROR(T(INDEX(PhanCong!$B$3:$I$18,MATCH(TKB_Nhap!G48,PhanCong!$A$3:$A$18,0),MATCH($A48,PhanCong!$B$2:$I$2,0))),""))</f>
        <v/>
      </c>
      <c r="H48" s="36">
        <f>IF(TKB_Nhap!H48="","",IFERROR(T(INDEX(PhanCong!$B$3:$I$18,MATCH(TKB_Nhap!H48,PhanCong!$A$3:$A$18,0),MATCH($A48,PhanCong!$B$2:$I$2,0))),""))</f>
        <v/>
      </c>
      <c r="I48" s="36">
        <f>IF(TKB_Nhap!I48="","",IFERROR(T(INDEX(PhanCong!$B$3:$I$18,MATCH(TKB_Nhap!I48,PhanCong!$A$3:$A$18,0),MATCH($A48,PhanCong!$B$2:$I$2,0))),""))</f>
        <v/>
      </c>
      <c r="J48" s="36" t="n"/>
      <c r="L48" s="39" t="n"/>
      <c r="M48" s="39" t="n"/>
      <c r="N48" s="39" t="n"/>
      <c r="O48" s="39" t="n"/>
      <c r="P48" s="39" t="n"/>
      <c r="Q48" s="39" t="n"/>
      <c r="R48" s="39" t="n"/>
    </row>
    <row r="49" ht="15" customHeight="1">
      <c r="A49" s="36">
        <f>TKB_Nhap!A49</f>
        <v/>
      </c>
      <c r="B49" s="36">
        <f>TKB_Nhap!B49</f>
        <v/>
      </c>
      <c r="C49" s="36">
        <f>TKB_Nhap!C49</f>
        <v/>
      </c>
      <c r="D49" s="36">
        <f>IF(TKB_Nhap!D49="","",IFERROR(T(INDEX(PhanCong!$B$3:$I$18,MATCH(TKB_Nhap!D49,PhanCong!$A$3:$A$18,0),MATCH($A49,PhanCong!$B$2:$I$2,0))),""))</f>
        <v/>
      </c>
      <c r="E49" s="36">
        <f>IF(TKB_Nhap!E49="","",IFERROR(T(INDEX(PhanCong!$B$3:$I$18,MATCH(TKB_Nhap!E49,PhanCong!$A$3:$A$18,0),MATCH($A49,PhanCong!$B$2:$I$2,0))),""))</f>
        <v/>
      </c>
      <c r="F49" s="36">
        <f>IF(TKB_Nhap!F49="","",IFERROR(T(INDEX(PhanCong!$B$3:$I$18,MATCH(TKB_Nhap!F49,PhanCong!$A$3:$A$18,0),MATCH($A49,PhanCong!$B$2:$I$2,0))),""))</f>
        <v/>
      </c>
      <c r="G49" s="36">
        <f>IF(TKB_Nhap!G49="","",IFERROR(T(INDEX(PhanCong!$B$3:$I$18,MATCH(TKB_Nhap!G49,PhanCong!$A$3:$A$18,0),MATCH($A49,PhanCong!$B$2:$I$2,0))),""))</f>
        <v/>
      </c>
      <c r="H49" s="36">
        <f>IF(TKB_Nhap!H49="","",IFERROR(T(INDEX(PhanCong!$B$3:$I$18,MATCH(TKB_Nhap!H49,PhanCong!$A$3:$A$18,0),MATCH($A49,PhanCong!$B$2:$I$2,0))),""))</f>
        <v/>
      </c>
      <c r="I49" s="36">
        <f>IF(TKB_Nhap!I49="","",IFERROR(T(INDEX(PhanCong!$B$3:$I$18,MATCH(TKB_Nhap!I49,PhanCong!$A$3:$A$18,0),MATCH($A49,PhanCong!$B$2:$I$2,0))),""))</f>
        <v/>
      </c>
      <c r="J49" s="36" t="n"/>
      <c r="L49" s="39" t="n"/>
      <c r="M49" s="39" t="n"/>
      <c r="N49" s="39" t="n"/>
      <c r="O49" s="39" t="n"/>
      <c r="P49" s="39" t="n"/>
      <c r="Q49" s="39" t="n"/>
      <c r="R49" s="39" t="n"/>
    </row>
    <row r="50" ht="15" customHeight="1">
      <c r="A50" s="30">
        <f>TKB_Nhap!A50</f>
        <v/>
      </c>
      <c r="B50" s="30">
        <f>TKB_Nhap!B50</f>
        <v/>
      </c>
      <c r="C50" s="30">
        <f>TKB_Nhap!C50</f>
        <v/>
      </c>
      <c r="D50" s="30">
        <f>IF(TKB_Nhap!D50="","",IFERROR(T(INDEX(PhanCong!$B$3:$I$18,MATCH(TKB_Nhap!D50,PhanCong!$A$3:$A$18,0),MATCH($A50,PhanCong!$B$2:$I$2,0))),""))</f>
        <v/>
      </c>
      <c r="E50" s="30">
        <f>IF(TKB_Nhap!E50="","",IFERROR(T(INDEX(PhanCong!$B$3:$I$18,MATCH(TKB_Nhap!E50,PhanCong!$A$3:$A$18,0),MATCH($A50,PhanCong!$B$2:$I$2,0))),""))</f>
        <v/>
      </c>
      <c r="F50" s="30">
        <f>IF(TKB_Nhap!F50="","",IFERROR(T(INDEX(PhanCong!$B$3:$I$18,MATCH(TKB_Nhap!F50,PhanCong!$A$3:$A$18,0),MATCH($A50,PhanCong!$B$2:$I$2,0))),""))</f>
        <v/>
      </c>
      <c r="G50" s="30">
        <f>IF(TKB_Nhap!G50="","",IFERROR(T(INDEX(PhanCong!$B$3:$I$18,MATCH(TKB_Nhap!G50,PhanCong!$A$3:$A$18,0),MATCH($A50,PhanCong!$B$2:$I$2,0))),""))</f>
        <v/>
      </c>
      <c r="H50" s="30">
        <f>IF(TKB_Nhap!H50="","",IFERROR(T(INDEX(PhanCong!$B$3:$I$18,MATCH(TKB_Nhap!H50,PhanCong!$A$3:$A$18,0),MATCH($A50,PhanCong!$B$2:$I$2,0))),""))</f>
        <v/>
      </c>
      <c r="I50" s="30">
        <f>IF(TKB_Nhap!I50="","",IFERROR(T(INDEX(PhanCong!$B$3:$I$18,MATCH(TKB_Nhap!I50,PhanCong!$A$3:$A$18,0),MATCH($A50,PhanCong!$B$2:$I$2,0))),""))</f>
        <v/>
      </c>
      <c r="J50" s="30" t="n"/>
      <c r="L50" s="39" t="n"/>
      <c r="M50" s="39" t="n"/>
      <c r="N50" s="39" t="n"/>
      <c r="O50" s="39" t="n"/>
      <c r="P50" s="39" t="n"/>
      <c r="Q50" s="39" t="n"/>
      <c r="R50" s="39" t="n"/>
    </row>
    <row r="51" ht="15" customHeight="1">
      <c r="A51" s="30">
        <f>TKB_Nhap!A51</f>
        <v/>
      </c>
      <c r="B51" s="30">
        <f>TKB_Nhap!B51</f>
        <v/>
      </c>
      <c r="C51" s="30">
        <f>TKB_Nhap!C51</f>
        <v/>
      </c>
      <c r="D51" s="30">
        <f>IF(TKB_Nhap!D51="","",IFERROR(T(INDEX(PhanCong!$B$3:$I$18,MATCH(TKB_Nhap!D51,PhanCong!$A$3:$A$18,0),MATCH($A51,PhanCong!$B$2:$I$2,0))),""))</f>
        <v/>
      </c>
      <c r="E51" s="30">
        <f>IF(TKB_Nhap!E51="","",IFERROR(T(INDEX(PhanCong!$B$3:$I$18,MATCH(TKB_Nhap!E51,PhanCong!$A$3:$A$18,0),MATCH($A51,PhanCong!$B$2:$I$2,0))),""))</f>
        <v/>
      </c>
      <c r="F51" s="30">
        <f>IF(TKB_Nhap!F51="","",IFERROR(T(INDEX(PhanCong!$B$3:$I$18,MATCH(TKB_Nhap!F51,PhanCong!$A$3:$A$18,0),MATCH($A51,PhanCong!$B$2:$I$2,0))),""))</f>
        <v/>
      </c>
      <c r="G51" s="30">
        <f>IF(TKB_Nhap!G51="","",IFERROR(T(INDEX(PhanCong!$B$3:$I$18,MATCH(TKB_Nhap!G51,PhanCong!$A$3:$A$18,0),MATCH($A51,PhanCong!$B$2:$I$2,0))),""))</f>
        <v/>
      </c>
      <c r="H51" s="30">
        <f>IF(TKB_Nhap!H51="","",IFERROR(T(INDEX(PhanCong!$B$3:$I$18,MATCH(TKB_Nhap!H51,PhanCong!$A$3:$A$18,0),MATCH($A51,PhanCong!$B$2:$I$2,0))),""))</f>
        <v/>
      </c>
      <c r="I51" s="30">
        <f>IF(TKB_Nhap!I51="","",IFERROR(T(INDEX(PhanCong!$B$3:$I$18,MATCH(TKB_Nhap!I51,PhanCong!$A$3:$A$18,0),MATCH($A51,PhanCong!$B$2:$I$2,0))),""))</f>
        <v/>
      </c>
      <c r="J51" s="30" t="n"/>
      <c r="L51" s="39" t="n"/>
      <c r="M51" s="39" t="n"/>
      <c r="N51" s="39" t="n"/>
      <c r="O51" s="39" t="n"/>
      <c r="P51" s="39" t="n"/>
      <c r="Q51" s="39" t="n"/>
      <c r="R51" s="39" t="n"/>
    </row>
    <row r="52" ht="15" customHeight="1">
      <c r="A52" s="30">
        <f>TKB_Nhap!A52</f>
        <v/>
      </c>
      <c r="B52" s="30">
        <f>TKB_Nhap!B52</f>
        <v/>
      </c>
      <c r="C52" s="30">
        <f>TKB_Nhap!C52</f>
        <v/>
      </c>
      <c r="D52" s="30">
        <f>IF(TKB_Nhap!D52="","",IFERROR(T(INDEX(PhanCong!$B$3:$I$18,MATCH(TKB_Nhap!D52,PhanCong!$A$3:$A$18,0),MATCH($A52,PhanCong!$B$2:$I$2,0))),""))</f>
        <v/>
      </c>
      <c r="E52" s="30">
        <f>IF(TKB_Nhap!E52="","",IFERROR(T(INDEX(PhanCong!$B$3:$I$18,MATCH(TKB_Nhap!E52,PhanCong!$A$3:$A$18,0),MATCH($A52,PhanCong!$B$2:$I$2,0))),""))</f>
        <v/>
      </c>
      <c r="F52" s="30">
        <f>IF(TKB_Nhap!F52="","",IFERROR(T(INDEX(PhanCong!$B$3:$I$18,MATCH(TKB_Nhap!F52,PhanCong!$A$3:$A$18,0),MATCH($A52,PhanCong!$B$2:$I$2,0))),""))</f>
        <v/>
      </c>
      <c r="G52" s="30">
        <f>IF(TKB_Nhap!G52="","",IFERROR(T(INDEX(PhanCong!$B$3:$I$18,MATCH(TKB_Nhap!G52,PhanCong!$A$3:$A$18,0),MATCH($A52,PhanCong!$B$2:$I$2,0))),""))</f>
        <v/>
      </c>
      <c r="H52" s="30">
        <f>IF(TKB_Nhap!H52="","",IFERROR(T(INDEX(PhanCong!$B$3:$I$18,MATCH(TKB_Nhap!H52,PhanCong!$A$3:$A$18,0),MATCH($A52,PhanCong!$B$2:$I$2,0))),""))</f>
        <v/>
      </c>
      <c r="I52" s="30">
        <f>IF(TKB_Nhap!I52="","",IFERROR(T(INDEX(PhanCong!$B$3:$I$18,MATCH(TKB_Nhap!I52,PhanCong!$A$3:$A$18,0),MATCH($A52,PhanCong!$B$2:$I$2,0))),""))</f>
        <v/>
      </c>
      <c r="J52" s="30" t="n"/>
      <c r="L52" s="39" t="n"/>
      <c r="M52" s="39" t="n"/>
      <c r="N52" s="39" t="n"/>
      <c r="O52" s="39" t="n"/>
      <c r="P52" s="39" t="n"/>
      <c r="Q52" s="39" t="n"/>
      <c r="R52" s="39" t="n"/>
    </row>
    <row r="53" ht="15" customHeight="1">
      <c r="A53" s="30">
        <f>TKB_Nhap!A53</f>
        <v/>
      </c>
      <c r="B53" s="30">
        <f>TKB_Nhap!B53</f>
        <v/>
      </c>
      <c r="C53" s="30">
        <f>TKB_Nhap!C53</f>
        <v/>
      </c>
      <c r="D53" s="30">
        <f>IF(TKB_Nhap!D53="","",IFERROR(T(INDEX(PhanCong!$B$3:$I$18,MATCH(TKB_Nhap!D53,PhanCong!$A$3:$A$18,0),MATCH($A53,PhanCong!$B$2:$I$2,0))),""))</f>
        <v/>
      </c>
      <c r="E53" s="30">
        <f>IF(TKB_Nhap!E53="","",IFERROR(T(INDEX(PhanCong!$B$3:$I$18,MATCH(TKB_Nhap!E53,PhanCong!$A$3:$A$18,0),MATCH($A53,PhanCong!$B$2:$I$2,0))),""))</f>
        <v/>
      </c>
      <c r="F53" s="30">
        <f>IF(TKB_Nhap!F53="","",IFERROR(T(INDEX(PhanCong!$B$3:$I$18,MATCH(TKB_Nhap!F53,PhanCong!$A$3:$A$18,0),MATCH($A53,PhanCong!$B$2:$I$2,0))),""))</f>
        <v/>
      </c>
      <c r="G53" s="30">
        <f>IF(TKB_Nhap!G53="","",IFERROR(T(INDEX(PhanCong!$B$3:$I$18,MATCH(TKB_Nhap!G53,PhanCong!$A$3:$A$18,0),MATCH($A53,PhanCong!$B$2:$I$2,0))),""))</f>
        <v/>
      </c>
      <c r="H53" s="30">
        <f>IF(TKB_Nhap!H53="","",IFERROR(T(INDEX(PhanCong!$B$3:$I$18,MATCH(TKB_Nhap!H53,PhanCong!$A$3:$A$18,0),MATCH($A53,PhanCong!$B$2:$I$2,0))),""))</f>
        <v/>
      </c>
      <c r="I53" s="30">
        <f>IF(TKB_Nhap!I53="","",IFERROR(T(INDEX(PhanCong!$B$3:$I$18,MATCH(TKB_Nhap!I53,PhanCong!$A$3:$A$18,0),MATCH($A53,PhanCong!$B$2:$I$2,0))),""))</f>
        <v/>
      </c>
      <c r="J53" s="30" t="n"/>
      <c r="L53" s="39" t="n"/>
      <c r="M53" s="39" t="n"/>
      <c r="N53" s="39" t="n"/>
      <c r="O53" s="39" t="n"/>
      <c r="P53" s="39" t="n"/>
      <c r="Q53" s="39" t="n"/>
      <c r="R53" s="39" t="n"/>
    </row>
    <row r="54" ht="15" customHeight="1">
      <c r="A54" s="30">
        <f>TKB_Nhap!A54</f>
        <v/>
      </c>
      <c r="B54" s="30">
        <f>TKB_Nhap!B54</f>
        <v/>
      </c>
      <c r="C54" s="30">
        <f>TKB_Nhap!C54</f>
        <v/>
      </c>
      <c r="D54" s="30">
        <f>IF(TKB_Nhap!D54="","",IFERROR(T(INDEX(PhanCong!$B$3:$I$18,MATCH(TKB_Nhap!D54,PhanCong!$A$3:$A$18,0),MATCH($A54,PhanCong!$B$2:$I$2,0))),""))</f>
        <v/>
      </c>
      <c r="E54" s="30">
        <f>IF(TKB_Nhap!E54="","",IFERROR(T(INDEX(PhanCong!$B$3:$I$18,MATCH(TKB_Nhap!E54,PhanCong!$A$3:$A$18,0),MATCH($A54,PhanCong!$B$2:$I$2,0))),""))</f>
        <v/>
      </c>
      <c r="F54" s="30">
        <f>IF(TKB_Nhap!F54="","",IFERROR(T(INDEX(PhanCong!$B$3:$I$18,MATCH(TKB_Nhap!F54,PhanCong!$A$3:$A$18,0),MATCH($A54,PhanCong!$B$2:$I$2,0))),""))</f>
        <v/>
      </c>
      <c r="G54" s="30">
        <f>IF(TKB_Nhap!G54="","",IFERROR(T(INDEX(PhanCong!$B$3:$I$18,MATCH(TKB_Nhap!G54,PhanCong!$A$3:$A$18,0),MATCH($A54,PhanCong!$B$2:$I$2,0))),""))</f>
        <v/>
      </c>
      <c r="H54" s="30">
        <f>IF(TKB_Nhap!H54="","",IFERROR(T(INDEX(PhanCong!$B$3:$I$18,MATCH(TKB_Nhap!H54,PhanCong!$A$3:$A$18,0),MATCH($A54,PhanCong!$B$2:$I$2,0))),""))</f>
        <v/>
      </c>
      <c r="I54" s="30">
        <f>IF(TKB_Nhap!I54="","",IFERROR(T(INDEX(PhanCong!$B$3:$I$18,MATCH(TKB_Nhap!I54,PhanCong!$A$3:$A$18,0),MATCH($A54,PhanCong!$B$2:$I$2,0))),""))</f>
        <v/>
      </c>
      <c r="J54" s="30" t="n"/>
      <c r="L54" s="39" t="n"/>
      <c r="M54" s="39" t="n"/>
      <c r="N54" s="39" t="n"/>
      <c r="O54" s="39" t="n"/>
      <c r="P54" s="39" t="n"/>
      <c r="Q54" s="39" t="n"/>
      <c r="R54" s="39" t="n"/>
    </row>
    <row r="55" ht="15" customHeight="1">
      <c r="A55" s="30">
        <f>TKB_Nhap!A55</f>
        <v/>
      </c>
      <c r="B55" s="30">
        <f>TKB_Nhap!B55</f>
        <v/>
      </c>
      <c r="C55" s="30">
        <f>TKB_Nhap!C55</f>
        <v/>
      </c>
      <c r="D55" s="30">
        <f>IF(TKB_Nhap!D55="","",IFERROR(T(INDEX(PhanCong!$B$3:$I$18,MATCH(TKB_Nhap!D55,PhanCong!$A$3:$A$18,0),MATCH($A55,PhanCong!$B$2:$I$2,0))),""))</f>
        <v/>
      </c>
      <c r="E55" s="30">
        <f>IF(TKB_Nhap!E55="","",IFERROR(T(INDEX(PhanCong!$B$3:$I$18,MATCH(TKB_Nhap!E55,PhanCong!$A$3:$A$18,0),MATCH($A55,PhanCong!$B$2:$I$2,0))),""))</f>
        <v/>
      </c>
      <c r="F55" s="30">
        <f>IF(TKB_Nhap!F55="","",IFERROR(T(INDEX(PhanCong!$B$3:$I$18,MATCH(TKB_Nhap!F55,PhanCong!$A$3:$A$18,0),MATCH($A55,PhanCong!$B$2:$I$2,0))),""))</f>
        <v/>
      </c>
      <c r="G55" s="30">
        <f>IF(TKB_Nhap!G55="","",IFERROR(T(INDEX(PhanCong!$B$3:$I$18,MATCH(TKB_Nhap!G55,PhanCong!$A$3:$A$18,0),MATCH($A55,PhanCong!$B$2:$I$2,0))),""))</f>
        <v/>
      </c>
      <c r="H55" s="30">
        <f>IF(TKB_Nhap!H55="","",IFERROR(T(INDEX(PhanCong!$B$3:$I$18,MATCH(TKB_Nhap!H55,PhanCong!$A$3:$A$18,0),MATCH($A55,PhanCong!$B$2:$I$2,0))),""))</f>
        <v/>
      </c>
      <c r="I55" s="30">
        <f>IF(TKB_Nhap!I55="","",IFERROR(T(INDEX(PhanCong!$B$3:$I$18,MATCH(TKB_Nhap!I55,PhanCong!$A$3:$A$18,0),MATCH($A55,PhanCong!$B$2:$I$2,0))),""))</f>
        <v/>
      </c>
      <c r="J55" s="30" t="n"/>
      <c r="L55" s="39" t="n"/>
      <c r="M55" s="39" t="n"/>
      <c r="N55" s="39" t="n"/>
      <c r="O55" s="39" t="n"/>
      <c r="P55" s="39" t="n"/>
      <c r="Q55" s="39" t="n"/>
      <c r="R55" s="39" t="n"/>
    </row>
    <row r="56" ht="15" customHeight="1">
      <c r="A56" s="30">
        <f>TKB_Nhap!A56</f>
        <v/>
      </c>
      <c r="B56" s="30">
        <f>TKB_Nhap!B56</f>
        <v/>
      </c>
      <c r="C56" s="30">
        <f>TKB_Nhap!C56</f>
        <v/>
      </c>
      <c r="D56" s="30">
        <f>IF(TKB_Nhap!D56="","",IFERROR(T(INDEX(PhanCong!$B$3:$I$18,MATCH(TKB_Nhap!D56,PhanCong!$A$3:$A$18,0),MATCH($A56,PhanCong!$B$2:$I$2,0))),""))</f>
        <v/>
      </c>
      <c r="E56" s="30">
        <f>IF(TKB_Nhap!E56="","",IFERROR(T(INDEX(PhanCong!$B$3:$I$18,MATCH(TKB_Nhap!E56,PhanCong!$A$3:$A$18,0),MATCH($A56,PhanCong!$B$2:$I$2,0))),""))</f>
        <v/>
      </c>
      <c r="F56" s="30">
        <f>IF(TKB_Nhap!F56="","",IFERROR(T(INDEX(PhanCong!$B$3:$I$18,MATCH(TKB_Nhap!F56,PhanCong!$A$3:$A$18,0),MATCH($A56,PhanCong!$B$2:$I$2,0))),""))</f>
        <v/>
      </c>
      <c r="G56" s="30">
        <f>IF(TKB_Nhap!G56="","",IFERROR(T(INDEX(PhanCong!$B$3:$I$18,MATCH(TKB_Nhap!G56,PhanCong!$A$3:$A$18,0),MATCH($A56,PhanCong!$B$2:$I$2,0))),""))</f>
        <v/>
      </c>
      <c r="H56" s="30">
        <f>IF(TKB_Nhap!H56="","",IFERROR(T(INDEX(PhanCong!$B$3:$I$18,MATCH(TKB_Nhap!H56,PhanCong!$A$3:$A$18,0),MATCH($A56,PhanCong!$B$2:$I$2,0))),""))</f>
        <v/>
      </c>
      <c r="I56" s="30">
        <f>IF(TKB_Nhap!I56="","",IFERROR(T(INDEX(PhanCong!$B$3:$I$18,MATCH(TKB_Nhap!I56,PhanCong!$A$3:$A$18,0),MATCH($A56,PhanCong!$B$2:$I$2,0))),""))</f>
        <v/>
      </c>
      <c r="J56" s="30" t="n"/>
      <c r="L56" s="39" t="n"/>
      <c r="M56" s="39" t="n"/>
      <c r="N56" s="39" t="n"/>
      <c r="O56" s="39" t="n"/>
      <c r="P56" s="39" t="n"/>
      <c r="Q56" s="39" t="n"/>
      <c r="R56" s="39" t="n"/>
    </row>
    <row r="57" ht="15" customHeight="1">
      <c r="A57" s="30">
        <f>TKB_Nhap!A57</f>
        <v/>
      </c>
      <c r="B57" s="30">
        <f>TKB_Nhap!B57</f>
        <v/>
      </c>
      <c r="C57" s="30">
        <f>TKB_Nhap!C57</f>
        <v/>
      </c>
      <c r="D57" s="30">
        <f>IF(TKB_Nhap!D57="","",IFERROR(T(INDEX(PhanCong!$B$3:$I$18,MATCH(TKB_Nhap!D57,PhanCong!$A$3:$A$18,0),MATCH($A57,PhanCong!$B$2:$I$2,0))),""))</f>
        <v/>
      </c>
      <c r="E57" s="30">
        <f>IF(TKB_Nhap!E57="","",IFERROR(T(INDEX(PhanCong!$B$3:$I$18,MATCH(TKB_Nhap!E57,PhanCong!$A$3:$A$18,0),MATCH($A57,PhanCong!$B$2:$I$2,0))),""))</f>
        <v/>
      </c>
      <c r="F57" s="30">
        <f>IF(TKB_Nhap!F57="","",IFERROR(T(INDEX(PhanCong!$B$3:$I$18,MATCH(TKB_Nhap!F57,PhanCong!$A$3:$A$18,0),MATCH($A57,PhanCong!$B$2:$I$2,0))),""))</f>
        <v/>
      </c>
      <c r="G57" s="30">
        <f>IF(TKB_Nhap!G57="","",IFERROR(T(INDEX(PhanCong!$B$3:$I$18,MATCH(TKB_Nhap!G57,PhanCong!$A$3:$A$18,0),MATCH($A57,PhanCong!$B$2:$I$2,0))),""))</f>
        <v/>
      </c>
      <c r="H57" s="30">
        <f>IF(TKB_Nhap!H57="","",IFERROR(T(INDEX(PhanCong!$B$3:$I$18,MATCH(TKB_Nhap!H57,PhanCong!$A$3:$A$18,0),MATCH($A57,PhanCong!$B$2:$I$2,0))),""))</f>
        <v/>
      </c>
      <c r="I57" s="30">
        <f>IF(TKB_Nhap!I57="","",IFERROR(T(INDEX(PhanCong!$B$3:$I$18,MATCH(TKB_Nhap!I57,PhanCong!$A$3:$A$18,0),MATCH($A57,PhanCong!$B$2:$I$2,0))),""))</f>
        <v/>
      </c>
      <c r="J57" s="30" t="n"/>
      <c r="L57" s="39" t="n"/>
      <c r="M57" s="39" t="n"/>
      <c r="N57" s="39" t="n"/>
      <c r="O57" s="39" t="n"/>
      <c r="P57" s="39" t="n"/>
      <c r="Q57" s="39" t="n"/>
      <c r="R57" s="39" t="n"/>
    </row>
    <row r="58" ht="15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L58" s="39" t="n"/>
      <c r="M58" s="39" t="n"/>
      <c r="N58" s="39" t="n"/>
      <c r="O58" s="39" t="n"/>
      <c r="P58" s="39" t="n"/>
      <c r="Q58" s="39" t="n"/>
      <c r="R58" s="39" t="n"/>
    </row>
    <row r="59" ht="15" customHeight="1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L59" s="39" t="n"/>
      <c r="M59" s="39" t="n"/>
      <c r="N59" s="39" t="n"/>
      <c r="O59" s="39" t="n"/>
      <c r="P59" s="39" t="n"/>
      <c r="Q59" s="39" t="n"/>
      <c r="R59" s="39" t="n"/>
    </row>
    <row r="60" ht="15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L60" s="39" t="n"/>
      <c r="M60" s="39" t="n"/>
      <c r="N60" s="39" t="n"/>
      <c r="O60" s="39" t="n"/>
      <c r="P60" s="39" t="n"/>
      <c r="Q60" s="39" t="n"/>
      <c r="R60" s="39" t="n"/>
    </row>
    <row r="61" ht="15" customHeight="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L61" s="39" t="n"/>
      <c r="M61" s="39" t="n"/>
      <c r="N61" s="39" t="n"/>
      <c r="O61" s="39" t="n"/>
      <c r="P61" s="39" t="n"/>
      <c r="Q61" s="39" t="n"/>
      <c r="R61" s="39" t="n"/>
    </row>
    <row r="62" ht="15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L62" s="39" t="n"/>
      <c r="M62" s="39" t="n"/>
      <c r="N62" s="39" t="n"/>
      <c r="O62" s="39" t="n"/>
      <c r="P62" s="39" t="n"/>
      <c r="Q62" s="39" t="n"/>
      <c r="R62" s="39" t="n"/>
    </row>
    <row r="63" ht="15" customHeight="1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L63" s="39" t="n"/>
      <c r="M63" s="39" t="n"/>
      <c r="N63" s="39" t="n"/>
      <c r="O63" s="39" t="n"/>
      <c r="P63" s="39" t="n"/>
      <c r="Q63" s="39" t="n"/>
      <c r="R63" s="39" t="n"/>
    </row>
    <row r="64" ht="15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L64" s="39" t="n"/>
      <c r="M64" s="39" t="n"/>
      <c r="N64" s="39" t="n"/>
      <c r="O64" s="39" t="n"/>
      <c r="P64" s="39" t="n"/>
      <c r="Q64" s="39" t="n"/>
      <c r="R64" s="39" t="n"/>
    </row>
    <row r="65" ht="15" customHeight="1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L65" s="39" t="n"/>
      <c r="M65" s="39" t="n"/>
      <c r="N65" s="39" t="n"/>
      <c r="O65" s="39" t="n"/>
      <c r="P65" s="39" t="n"/>
      <c r="Q65" s="39" t="n"/>
      <c r="R65" s="39" t="n"/>
    </row>
    <row r="66" ht="15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L66" s="39" t="n"/>
      <c r="M66" s="39" t="n"/>
      <c r="N66" s="39" t="n"/>
      <c r="O66" s="39" t="n"/>
      <c r="P66" s="39" t="n"/>
      <c r="Q66" s="39" t="n"/>
      <c r="R66" s="39" t="n"/>
    </row>
    <row r="67" ht="15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L67" s="39" t="n"/>
      <c r="M67" s="39" t="n"/>
      <c r="N67" s="39" t="n"/>
      <c r="O67" s="39" t="n"/>
      <c r="P67" s="39" t="n"/>
      <c r="Q67" s="39" t="n"/>
      <c r="R67" s="39" t="n"/>
    </row>
    <row r="68" ht="15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L68" s="39" t="n"/>
      <c r="M68" s="39" t="n"/>
      <c r="N68" s="39" t="n"/>
      <c r="O68" s="39" t="n"/>
      <c r="P68" s="39" t="n"/>
      <c r="Q68" s="39" t="n"/>
      <c r="R68" s="39" t="n"/>
    </row>
    <row r="69" ht="15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L69" s="39" t="n"/>
      <c r="M69" s="39" t="n"/>
      <c r="N69" s="39" t="n"/>
      <c r="O69" s="39" t="n"/>
      <c r="P69" s="39" t="n"/>
      <c r="Q69" s="39" t="n"/>
      <c r="R69" s="39" t="n"/>
    </row>
    <row r="70" ht="15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L70" s="39" t="n"/>
      <c r="M70" s="39" t="n"/>
      <c r="N70" s="39" t="n"/>
      <c r="O70" s="39" t="n"/>
      <c r="P70" s="39" t="n"/>
      <c r="Q70" s="39" t="n"/>
      <c r="R70" s="39" t="n"/>
    </row>
    <row r="71" ht="15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L71" s="39" t="n"/>
      <c r="M71" s="39" t="n"/>
      <c r="N71" s="39" t="n"/>
      <c r="O71" s="39" t="n"/>
      <c r="P71" s="39" t="n"/>
      <c r="Q71" s="39" t="n"/>
      <c r="R71" s="39" t="n"/>
    </row>
    <row r="72" ht="15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L72" s="39" t="n"/>
      <c r="M72" s="39" t="n"/>
      <c r="N72" s="39" t="n"/>
      <c r="O72" s="39" t="n"/>
      <c r="P72" s="39" t="n"/>
      <c r="Q72" s="39" t="n"/>
      <c r="R72" s="39" t="n"/>
    </row>
    <row r="73" ht="15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L73" s="39" t="n"/>
      <c r="M73" s="39" t="n"/>
      <c r="N73" s="39" t="n"/>
      <c r="O73" s="39" t="n"/>
      <c r="P73" s="39" t="n"/>
      <c r="Q73" s="39" t="n"/>
      <c r="R73" s="39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conditionalFormatting sqref="D2:J73">
    <cfRule type="expression" priority="2" dxfId="0">
      <formula>L2=1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J4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:J1"/>
    </sheetView>
  </sheetViews>
  <sheetFormatPr baseColWidth="8" defaultColWidth="8.7109375" defaultRowHeight="15"/>
  <cols>
    <col width="38" customWidth="1" min="1" max="1"/>
    <col width="38" customWidth="1" min="2" max="10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10" customWidth="1" min="10" max="10"/>
  </cols>
  <sheetData>
    <row r="1" ht="15.75" customHeight="1">
      <c r="A1" s="2" t="inlineStr">
        <is>
          <t>KIỂM TRA — Định mức theo TuanConfig!B2 (C/L). Chênh lệch=Đã xếp−Định mức (0=đạt)</t>
        </is>
      </c>
    </row>
    <row r="2" ht="15" customHeight="1"/>
    <row r="3" ht="15" customHeight="1">
      <c r="A3" s="28" t="inlineStr">
        <is>
          <t>Môn \ Lớp</t>
        </is>
      </c>
      <c r="B3" s="11" t="inlineStr">
        <is>
          <t>6A5</t>
        </is>
      </c>
      <c r="C3" s="11" t="inlineStr">
        <is>
          <t>6A6</t>
        </is>
      </c>
      <c r="D3" s="11" t="inlineStr">
        <is>
          <t>7A4</t>
        </is>
      </c>
      <c r="E3" s="11" t="inlineStr">
        <is>
          <t>7A5</t>
        </is>
      </c>
      <c r="F3" s="11" t="inlineStr">
        <is>
          <t>8A5</t>
        </is>
      </c>
      <c r="G3" s="11" t="inlineStr">
        <is>
          <t>8A6</t>
        </is>
      </c>
      <c r="H3" s="11" t="inlineStr">
        <is>
          <t>9A5</t>
        </is>
      </c>
      <c r="I3" s="11" t="inlineStr">
        <is>
          <t>9A6</t>
        </is>
      </c>
      <c r="J3" s="11" t="n"/>
    </row>
    <row r="4" ht="15" customHeight="1">
      <c r="A4" s="26" t="inlineStr">
        <is>
          <t>Toán học</t>
        </is>
      </c>
      <c r="B4" s="30">
        <f>SUMPRODUCT((TKB_Nhap!$A$2:$A$57=B$3)*(TKB_Nhap!$D$2:$J$57=$A4))-IFERROR(N(IF(TuanConfig!$B$2="C",INDEX(SoTiet!$B$3:$I$18,MATCH($A4,SoTiet!$A$3:$A$18,0),1),INDEX(SoTiet!$K$3:$R$18,MATCH($A4,SoTiet!$A$3:$A$18,0),1))),0)</f>
        <v/>
      </c>
      <c r="C4" s="30">
        <f>SUMPRODUCT((TKB_Nhap!$A$2:$A$57=C$3)*(TKB_Nhap!$D$2:$J$57=$A4))-IFERROR(N(IF(TuanConfig!$B$2="C",INDEX(SoTiet!$B$3:$I$18,MATCH($A4,SoTiet!$A$3:$A$18,0),2),INDEX(SoTiet!$K$3:$R$18,MATCH($A4,SoTiet!$A$3:$A$18,0),2))),0)</f>
        <v/>
      </c>
      <c r="D4" s="30">
        <f>SUMPRODUCT((TKB_Nhap!$A$2:$A$57=D$3)*(TKB_Nhap!$D$2:$J$57=$A4))-IFERROR(N(IF(TuanConfig!$B$2="C",INDEX(SoTiet!$B$3:$I$18,MATCH($A4,SoTiet!$A$3:$A$18,0),3),INDEX(SoTiet!$K$3:$R$18,MATCH($A4,SoTiet!$A$3:$A$18,0),3))),0)</f>
        <v/>
      </c>
      <c r="E4" s="30">
        <f>SUMPRODUCT((TKB_Nhap!$A$2:$A$57=E$3)*(TKB_Nhap!$D$2:$J$57=$A4))-IFERROR(N(IF(TuanConfig!$B$2="C",INDEX(SoTiet!$B$3:$I$18,MATCH($A4,SoTiet!$A$3:$A$18,0),4),INDEX(SoTiet!$K$3:$R$18,MATCH($A4,SoTiet!$A$3:$A$18,0),4))),0)</f>
        <v/>
      </c>
      <c r="F4" s="30">
        <f>SUMPRODUCT((TKB_Nhap!$A$2:$A$57=F$3)*(TKB_Nhap!$D$2:$J$57=$A4))-IFERROR(N(IF(TuanConfig!$B$2="C",INDEX(SoTiet!$B$3:$I$18,MATCH($A4,SoTiet!$A$3:$A$18,0),5),INDEX(SoTiet!$K$3:$R$18,MATCH($A4,SoTiet!$A$3:$A$18,0),5))),0)</f>
        <v/>
      </c>
      <c r="G4" s="30">
        <f>SUMPRODUCT((TKB_Nhap!$A$2:$A$57=G$3)*(TKB_Nhap!$D$2:$J$57=$A4))-IFERROR(N(IF(TuanConfig!$B$2="C",INDEX(SoTiet!$B$3:$I$18,MATCH($A4,SoTiet!$A$3:$A$18,0),6),INDEX(SoTiet!$K$3:$R$18,MATCH($A4,SoTiet!$A$3:$A$18,0),6))),0)</f>
        <v/>
      </c>
      <c r="H4" s="30">
        <f>SUMPRODUCT((TKB_Nhap!$A$2:$A$57=H$3)*(TKB_Nhap!$D$2:$J$57=$A4))-IFERROR(N(IF(TuanConfig!$B$2="C",INDEX(SoTiet!$B$3:$I$18,MATCH($A4,SoTiet!$A$3:$A$18,0),7),INDEX(SoTiet!$K$3:$R$18,MATCH($A4,SoTiet!$A$3:$A$18,0),7))),0)</f>
        <v/>
      </c>
      <c r="I4" s="30">
        <f>SUMPRODUCT((TKB_Nhap!$A$2:$A$57=I$3)*(TKB_Nhap!$D$2:$J$57=$A4))-IFERROR(N(IF(TuanConfig!$B$2="C",INDEX(SoTiet!$B$3:$I$18,MATCH($A4,SoTiet!$A$3:$A$18,0),8),INDEX(SoTiet!$K$3:$R$18,MATCH($A4,SoTiet!$A$3:$A$18,0),8))),0)</f>
        <v/>
      </c>
      <c r="J4" s="30" t="n"/>
    </row>
    <row r="5" ht="15" customHeight="1">
      <c r="A5" s="26" t="inlineStr">
        <is>
          <t>Ngữ văn</t>
        </is>
      </c>
      <c r="B5" s="30">
        <f>SUMPRODUCT((TKB_Nhap!$A$2:$A$57=B$3)*(TKB_Nhap!$D$2:$J$57=$A5))-IFERROR(N(IF(TuanConfig!$B$2="C",INDEX(SoTiet!$B$3:$I$18,MATCH($A5,SoTiet!$A$3:$A$18,0),1),INDEX(SoTiet!$K$3:$R$18,MATCH($A5,SoTiet!$A$3:$A$18,0),1))),0)</f>
        <v/>
      </c>
      <c r="C5" s="30">
        <f>SUMPRODUCT((TKB_Nhap!$A$2:$A$57=C$3)*(TKB_Nhap!$D$2:$J$57=$A5))-IFERROR(N(IF(TuanConfig!$B$2="C",INDEX(SoTiet!$B$3:$I$18,MATCH($A5,SoTiet!$A$3:$A$18,0),2),INDEX(SoTiet!$K$3:$R$18,MATCH($A5,SoTiet!$A$3:$A$18,0),2))),0)</f>
        <v/>
      </c>
      <c r="D5" s="30">
        <f>SUMPRODUCT((TKB_Nhap!$A$2:$A$57=D$3)*(TKB_Nhap!$D$2:$J$57=$A5))-IFERROR(N(IF(TuanConfig!$B$2="C",INDEX(SoTiet!$B$3:$I$18,MATCH($A5,SoTiet!$A$3:$A$18,0),3),INDEX(SoTiet!$K$3:$R$18,MATCH($A5,SoTiet!$A$3:$A$18,0),3))),0)</f>
        <v/>
      </c>
      <c r="E5" s="30">
        <f>SUMPRODUCT((TKB_Nhap!$A$2:$A$57=E$3)*(TKB_Nhap!$D$2:$J$57=$A5))-IFERROR(N(IF(TuanConfig!$B$2="C",INDEX(SoTiet!$B$3:$I$18,MATCH($A5,SoTiet!$A$3:$A$18,0),4),INDEX(SoTiet!$K$3:$R$18,MATCH($A5,SoTiet!$A$3:$A$18,0),4))),0)</f>
        <v/>
      </c>
      <c r="F5" s="30">
        <f>SUMPRODUCT((TKB_Nhap!$A$2:$A$57=F$3)*(TKB_Nhap!$D$2:$J$57=$A5))-IFERROR(N(IF(TuanConfig!$B$2="C",INDEX(SoTiet!$B$3:$I$18,MATCH($A5,SoTiet!$A$3:$A$18,0),5),INDEX(SoTiet!$K$3:$R$18,MATCH($A5,SoTiet!$A$3:$A$18,0),5))),0)</f>
        <v/>
      </c>
      <c r="G5" s="30">
        <f>SUMPRODUCT((TKB_Nhap!$A$2:$A$57=G$3)*(TKB_Nhap!$D$2:$J$57=$A5))-IFERROR(N(IF(TuanConfig!$B$2="C",INDEX(SoTiet!$B$3:$I$18,MATCH($A5,SoTiet!$A$3:$A$18,0),6),INDEX(SoTiet!$K$3:$R$18,MATCH($A5,SoTiet!$A$3:$A$18,0),6))),0)</f>
        <v/>
      </c>
      <c r="H5" s="30">
        <f>SUMPRODUCT((TKB_Nhap!$A$2:$A$57=H$3)*(TKB_Nhap!$D$2:$J$57=$A5))-IFERROR(N(IF(TuanConfig!$B$2="C",INDEX(SoTiet!$B$3:$I$18,MATCH($A5,SoTiet!$A$3:$A$18,0),7),INDEX(SoTiet!$K$3:$R$18,MATCH($A5,SoTiet!$A$3:$A$18,0),7))),0)</f>
        <v/>
      </c>
      <c r="I5" s="30">
        <f>SUMPRODUCT((TKB_Nhap!$A$2:$A$57=I$3)*(TKB_Nhap!$D$2:$J$57=$A5))-IFERROR(N(IF(TuanConfig!$B$2="C",INDEX(SoTiet!$B$3:$I$18,MATCH($A5,SoTiet!$A$3:$A$18,0),8),INDEX(SoTiet!$K$3:$R$18,MATCH($A5,SoTiet!$A$3:$A$18,0),8))),0)</f>
        <v/>
      </c>
      <c r="J5" s="30" t="n"/>
    </row>
    <row r="6" ht="15" customHeight="1">
      <c r="A6" s="26" t="inlineStr">
        <is>
          <t>Ngoại ngữ</t>
        </is>
      </c>
      <c r="B6" s="30">
        <f>SUMPRODUCT((TKB_Nhap!$A$2:$A$57=B$3)*(TKB_Nhap!$D$2:$J$57=$A6))-IFERROR(N(IF(TuanConfig!$B$2="C",INDEX(SoTiet!$B$3:$I$18,MATCH($A6,SoTiet!$A$3:$A$18,0),1),INDEX(SoTiet!$K$3:$R$18,MATCH($A6,SoTiet!$A$3:$A$18,0),1))),0)</f>
        <v/>
      </c>
      <c r="C6" s="30">
        <f>SUMPRODUCT((TKB_Nhap!$A$2:$A$57=C$3)*(TKB_Nhap!$D$2:$J$57=$A6))-IFERROR(N(IF(TuanConfig!$B$2="C",INDEX(SoTiet!$B$3:$I$18,MATCH($A6,SoTiet!$A$3:$A$18,0),2),INDEX(SoTiet!$K$3:$R$18,MATCH($A6,SoTiet!$A$3:$A$18,0),2))),0)</f>
        <v/>
      </c>
      <c r="D6" s="30">
        <f>SUMPRODUCT((TKB_Nhap!$A$2:$A$57=D$3)*(TKB_Nhap!$D$2:$J$57=$A6))-IFERROR(N(IF(TuanConfig!$B$2="C",INDEX(SoTiet!$B$3:$I$18,MATCH($A6,SoTiet!$A$3:$A$18,0),3),INDEX(SoTiet!$K$3:$R$18,MATCH($A6,SoTiet!$A$3:$A$18,0),3))),0)</f>
        <v/>
      </c>
      <c r="E6" s="30">
        <f>SUMPRODUCT((TKB_Nhap!$A$2:$A$57=E$3)*(TKB_Nhap!$D$2:$J$57=$A6))-IFERROR(N(IF(TuanConfig!$B$2="C",INDEX(SoTiet!$B$3:$I$18,MATCH($A6,SoTiet!$A$3:$A$18,0),4),INDEX(SoTiet!$K$3:$R$18,MATCH($A6,SoTiet!$A$3:$A$18,0),4))),0)</f>
        <v/>
      </c>
      <c r="F6" s="30">
        <f>SUMPRODUCT((TKB_Nhap!$A$2:$A$57=F$3)*(TKB_Nhap!$D$2:$J$57=$A6))-IFERROR(N(IF(TuanConfig!$B$2="C",INDEX(SoTiet!$B$3:$I$18,MATCH($A6,SoTiet!$A$3:$A$18,0),5),INDEX(SoTiet!$K$3:$R$18,MATCH($A6,SoTiet!$A$3:$A$18,0),5))),0)</f>
        <v/>
      </c>
      <c r="G6" s="30">
        <f>SUMPRODUCT((TKB_Nhap!$A$2:$A$57=G$3)*(TKB_Nhap!$D$2:$J$57=$A6))-IFERROR(N(IF(TuanConfig!$B$2="C",INDEX(SoTiet!$B$3:$I$18,MATCH($A6,SoTiet!$A$3:$A$18,0),6),INDEX(SoTiet!$K$3:$R$18,MATCH($A6,SoTiet!$A$3:$A$18,0),6))),0)</f>
        <v/>
      </c>
      <c r="H6" s="30">
        <f>SUMPRODUCT((TKB_Nhap!$A$2:$A$57=H$3)*(TKB_Nhap!$D$2:$J$57=$A6))-IFERROR(N(IF(TuanConfig!$B$2="C",INDEX(SoTiet!$B$3:$I$18,MATCH($A6,SoTiet!$A$3:$A$18,0),7),INDEX(SoTiet!$K$3:$R$18,MATCH($A6,SoTiet!$A$3:$A$18,0),7))),0)</f>
        <v/>
      </c>
      <c r="I6" s="30">
        <f>SUMPRODUCT((TKB_Nhap!$A$2:$A$57=I$3)*(TKB_Nhap!$D$2:$J$57=$A6))-IFERROR(N(IF(TuanConfig!$B$2="C",INDEX(SoTiet!$B$3:$I$18,MATCH($A6,SoTiet!$A$3:$A$18,0),8),INDEX(SoTiet!$K$3:$R$18,MATCH($A6,SoTiet!$A$3:$A$18,0),8))),0)</f>
        <v/>
      </c>
      <c r="J6" s="30" t="n"/>
    </row>
    <row r="7" ht="15" customHeight="1">
      <c r="A7" s="26" t="inlineStr">
        <is>
          <t>Khoa học tự nhiên (Vật lý)</t>
        </is>
      </c>
      <c r="B7" s="30">
        <f>SUMPRODUCT((TKB_Nhap!$A$2:$A$57=B$3)*(TKB_Nhap!$D$2:$J$57=$A7))-IFERROR(N(IF(TuanConfig!$B$2="C",INDEX(SoTiet!$B$3:$I$18,MATCH($A7,SoTiet!$A$3:$A$18,0),1),INDEX(SoTiet!$K$3:$R$18,MATCH($A7,SoTiet!$A$3:$A$18,0),1))),0)</f>
        <v/>
      </c>
      <c r="C7" s="30">
        <f>SUMPRODUCT((TKB_Nhap!$A$2:$A$57=C$3)*(TKB_Nhap!$D$2:$J$57=$A7))-IFERROR(N(IF(TuanConfig!$B$2="C",INDEX(SoTiet!$B$3:$I$18,MATCH($A7,SoTiet!$A$3:$A$18,0),2),INDEX(SoTiet!$K$3:$R$18,MATCH($A7,SoTiet!$A$3:$A$18,0),2))),0)</f>
        <v/>
      </c>
      <c r="D7" s="30">
        <f>SUMPRODUCT((TKB_Nhap!$A$2:$A$57=D$3)*(TKB_Nhap!$D$2:$J$57=$A7))-IFERROR(N(IF(TuanConfig!$B$2="C",INDEX(SoTiet!$B$3:$I$18,MATCH($A7,SoTiet!$A$3:$A$18,0),3),INDEX(SoTiet!$K$3:$R$18,MATCH($A7,SoTiet!$A$3:$A$18,0),3))),0)</f>
        <v/>
      </c>
      <c r="E7" s="30">
        <f>SUMPRODUCT((TKB_Nhap!$A$2:$A$57=E$3)*(TKB_Nhap!$D$2:$J$57=$A7))-IFERROR(N(IF(TuanConfig!$B$2="C",INDEX(SoTiet!$B$3:$I$18,MATCH($A7,SoTiet!$A$3:$A$18,0),4),INDEX(SoTiet!$K$3:$R$18,MATCH($A7,SoTiet!$A$3:$A$18,0),4))),0)</f>
        <v/>
      </c>
      <c r="F7" s="30">
        <f>SUMPRODUCT((TKB_Nhap!$A$2:$A$57=F$3)*(TKB_Nhap!$D$2:$J$57=$A7))-IFERROR(N(IF(TuanConfig!$B$2="C",INDEX(SoTiet!$B$3:$I$18,MATCH($A7,SoTiet!$A$3:$A$18,0),5),INDEX(SoTiet!$K$3:$R$18,MATCH($A7,SoTiet!$A$3:$A$18,0),5))),0)</f>
        <v/>
      </c>
      <c r="G7" s="30">
        <f>SUMPRODUCT((TKB_Nhap!$A$2:$A$57=G$3)*(TKB_Nhap!$D$2:$J$57=$A7))-IFERROR(N(IF(TuanConfig!$B$2="C",INDEX(SoTiet!$B$3:$I$18,MATCH($A7,SoTiet!$A$3:$A$18,0),6),INDEX(SoTiet!$K$3:$R$18,MATCH($A7,SoTiet!$A$3:$A$18,0),6))),0)</f>
        <v/>
      </c>
      <c r="H7" s="30">
        <f>SUMPRODUCT((TKB_Nhap!$A$2:$A$57=H$3)*(TKB_Nhap!$D$2:$J$57=$A7))-IFERROR(N(IF(TuanConfig!$B$2="C",INDEX(SoTiet!$B$3:$I$18,MATCH($A7,SoTiet!$A$3:$A$18,0),7),INDEX(SoTiet!$K$3:$R$18,MATCH($A7,SoTiet!$A$3:$A$18,0),7))),0)</f>
        <v/>
      </c>
      <c r="I7" s="30">
        <f>SUMPRODUCT((TKB_Nhap!$A$2:$A$57=I$3)*(TKB_Nhap!$D$2:$J$57=$A7))-IFERROR(N(IF(TuanConfig!$B$2="C",INDEX(SoTiet!$B$3:$I$18,MATCH($A7,SoTiet!$A$3:$A$18,0),8),INDEX(SoTiet!$K$3:$R$18,MATCH($A7,SoTiet!$A$3:$A$18,0),8))),0)</f>
        <v/>
      </c>
      <c r="J7" s="30" t="n"/>
    </row>
    <row r="8" ht="15" customHeight="1">
      <c r="A8" s="26" t="inlineStr">
        <is>
          <t>Khoa học tự nhiên (Hoá học)</t>
        </is>
      </c>
      <c r="B8" s="30">
        <f>SUMPRODUCT((TKB_Nhap!$A$2:$A$57=B$3)*(TKB_Nhap!$D$2:$J$57=$A8))-IFERROR(N(IF(TuanConfig!$B$2="C",INDEX(SoTiet!$B$3:$I$18,MATCH($A8,SoTiet!$A$3:$A$18,0),1),INDEX(SoTiet!$K$3:$R$18,MATCH($A8,SoTiet!$A$3:$A$18,0),1))),0)</f>
        <v/>
      </c>
      <c r="C8" s="30">
        <f>SUMPRODUCT((TKB_Nhap!$A$2:$A$57=C$3)*(TKB_Nhap!$D$2:$J$57=$A8))-IFERROR(N(IF(TuanConfig!$B$2="C",INDEX(SoTiet!$B$3:$I$18,MATCH($A8,SoTiet!$A$3:$A$18,0),2),INDEX(SoTiet!$K$3:$R$18,MATCH($A8,SoTiet!$A$3:$A$18,0),2))),0)</f>
        <v/>
      </c>
      <c r="D8" s="30">
        <f>SUMPRODUCT((TKB_Nhap!$A$2:$A$57=D$3)*(TKB_Nhap!$D$2:$J$57=$A8))-IFERROR(N(IF(TuanConfig!$B$2="C",INDEX(SoTiet!$B$3:$I$18,MATCH($A8,SoTiet!$A$3:$A$18,0),3),INDEX(SoTiet!$K$3:$R$18,MATCH($A8,SoTiet!$A$3:$A$18,0),3))),0)</f>
        <v/>
      </c>
      <c r="E8" s="30">
        <f>SUMPRODUCT((TKB_Nhap!$A$2:$A$57=E$3)*(TKB_Nhap!$D$2:$J$57=$A8))-IFERROR(N(IF(TuanConfig!$B$2="C",INDEX(SoTiet!$B$3:$I$18,MATCH($A8,SoTiet!$A$3:$A$18,0),4),INDEX(SoTiet!$K$3:$R$18,MATCH($A8,SoTiet!$A$3:$A$18,0),4))),0)</f>
        <v/>
      </c>
      <c r="F8" s="30">
        <f>SUMPRODUCT((TKB_Nhap!$A$2:$A$57=F$3)*(TKB_Nhap!$D$2:$J$57=$A8))-IFERROR(N(IF(TuanConfig!$B$2="C",INDEX(SoTiet!$B$3:$I$18,MATCH($A8,SoTiet!$A$3:$A$18,0),5),INDEX(SoTiet!$K$3:$R$18,MATCH($A8,SoTiet!$A$3:$A$18,0),5))),0)</f>
        <v/>
      </c>
      <c r="G8" s="30">
        <f>SUMPRODUCT((TKB_Nhap!$A$2:$A$57=G$3)*(TKB_Nhap!$D$2:$J$57=$A8))-IFERROR(N(IF(TuanConfig!$B$2="C",INDEX(SoTiet!$B$3:$I$18,MATCH($A8,SoTiet!$A$3:$A$18,0),6),INDEX(SoTiet!$K$3:$R$18,MATCH($A8,SoTiet!$A$3:$A$18,0),6))),0)</f>
        <v/>
      </c>
      <c r="H8" s="30">
        <f>SUMPRODUCT((TKB_Nhap!$A$2:$A$57=H$3)*(TKB_Nhap!$D$2:$J$57=$A8))-IFERROR(N(IF(TuanConfig!$B$2="C",INDEX(SoTiet!$B$3:$I$18,MATCH($A8,SoTiet!$A$3:$A$18,0),7),INDEX(SoTiet!$K$3:$R$18,MATCH($A8,SoTiet!$A$3:$A$18,0),7))),0)</f>
        <v/>
      </c>
      <c r="I8" s="30">
        <f>SUMPRODUCT((TKB_Nhap!$A$2:$A$57=I$3)*(TKB_Nhap!$D$2:$J$57=$A8))-IFERROR(N(IF(TuanConfig!$B$2="C",INDEX(SoTiet!$B$3:$I$18,MATCH($A8,SoTiet!$A$3:$A$18,0),8),INDEX(SoTiet!$K$3:$R$18,MATCH($A8,SoTiet!$A$3:$A$18,0),8))),0)</f>
        <v/>
      </c>
      <c r="J8" s="30" t="n"/>
    </row>
    <row r="9" ht="15" customHeight="1">
      <c r="A9" s="26" t="inlineStr">
        <is>
          <t>Khoa học tự nhiên (Sinh học)</t>
        </is>
      </c>
      <c r="B9" s="30">
        <f>SUMPRODUCT((TKB_Nhap!$A$2:$A$57=B$3)*(TKB_Nhap!$D$2:$J$57=$A9))-IFERROR(N(IF(TuanConfig!$B$2="C",INDEX(SoTiet!$B$3:$I$18,MATCH($A9,SoTiet!$A$3:$A$18,0),1),INDEX(SoTiet!$K$3:$R$18,MATCH($A9,SoTiet!$A$3:$A$18,0),1))),0)</f>
        <v/>
      </c>
      <c r="C9" s="30">
        <f>SUMPRODUCT((TKB_Nhap!$A$2:$A$57=C$3)*(TKB_Nhap!$D$2:$J$57=$A9))-IFERROR(N(IF(TuanConfig!$B$2="C",INDEX(SoTiet!$B$3:$I$18,MATCH($A9,SoTiet!$A$3:$A$18,0),2),INDEX(SoTiet!$K$3:$R$18,MATCH($A9,SoTiet!$A$3:$A$18,0),2))),0)</f>
        <v/>
      </c>
      <c r="D9" s="30">
        <f>SUMPRODUCT((TKB_Nhap!$A$2:$A$57=D$3)*(TKB_Nhap!$D$2:$J$57=$A9))-IFERROR(N(IF(TuanConfig!$B$2="C",INDEX(SoTiet!$B$3:$I$18,MATCH($A9,SoTiet!$A$3:$A$18,0),3),INDEX(SoTiet!$K$3:$R$18,MATCH($A9,SoTiet!$A$3:$A$18,0),3))),0)</f>
        <v/>
      </c>
      <c r="E9" s="30">
        <f>SUMPRODUCT((TKB_Nhap!$A$2:$A$57=E$3)*(TKB_Nhap!$D$2:$J$57=$A9))-IFERROR(N(IF(TuanConfig!$B$2="C",INDEX(SoTiet!$B$3:$I$18,MATCH($A9,SoTiet!$A$3:$A$18,0),4),INDEX(SoTiet!$K$3:$R$18,MATCH($A9,SoTiet!$A$3:$A$18,0),4))),0)</f>
        <v/>
      </c>
      <c r="F9" s="30">
        <f>SUMPRODUCT((TKB_Nhap!$A$2:$A$57=F$3)*(TKB_Nhap!$D$2:$J$57=$A9))-IFERROR(N(IF(TuanConfig!$B$2="C",INDEX(SoTiet!$B$3:$I$18,MATCH($A9,SoTiet!$A$3:$A$18,0),5),INDEX(SoTiet!$K$3:$R$18,MATCH($A9,SoTiet!$A$3:$A$18,0),5))),0)</f>
        <v/>
      </c>
      <c r="G9" s="30">
        <f>SUMPRODUCT((TKB_Nhap!$A$2:$A$57=G$3)*(TKB_Nhap!$D$2:$J$57=$A9))-IFERROR(N(IF(TuanConfig!$B$2="C",INDEX(SoTiet!$B$3:$I$18,MATCH($A9,SoTiet!$A$3:$A$18,0),6),INDEX(SoTiet!$K$3:$R$18,MATCH($A9,SoTiet!$A$3:$A$18,0),6))),0)</f>
        <v/>
      </c>
      <c r="H9" s="30">
        <f>SUMPRODUCT((TKB_Nhap!$A$2:$A$57=H$3)*(TKB_Nhap!$D$2:$J$57=$A9))-IFERROR(N(IF(TuanConfig!$B$2="C",INDEX(SoTiet!$B$3:$I$18,MATCH($A9,SoTiet!$A$3:$A$18,0),7),INDEX(SoTiet!$K$3:$R$18,MATCH($A9,SoTiet!$A$3:$A$18,0),7))),0)</f>
        <v/>
      </c>
      <c r="I9" s="30">
        <f>SUMPRODUCT((TKB_Nhap!$A$2:$A$57=I$3)*(TKB_Nhap!$D$2:$J$57=$A9))-IFERROR(N(IF(TuanConfig!$B$2="C",INDEX(SoTiet!$B$3:$I$18,MATCH($A9,SoTiet!$A$3:$A$18,0),8),INDEX(SoTiet!$K$3:$R$18,MATCH($A9,SoTiet!$A$3:$A$18,0),8))),0)</f>
        <v/>
      </c>
      <c r="J9" s="30" t="n"/>
    </row>
    <row r="10" ht="15" customHeight="1">
      <c r="A10" s="26" t="inlineStr">
        <is>
          <t>Lịch sử và địa lý (Lịch sử)</t>
        </is>
      </c>
      <c r="B10" s="30">
        <f>SUMPRODUCT((TKB_Nhap!$A$2:$A$57=B$3)*(TKB_Nhap!$D$2:$J$57=$A10))-IFERROR(N(IF(TuanConfig!$B$2="C",INDEX(SoTiet!$B$3:$I$18,MATCH($A10,SoTiet!$A$3:$A$18,0),1),INDEX(SoTiet!$K$3:$R$18,MATCH($A10,SoTiet!$A$3:$A$18,0),1))),0)</f>
        <v/>
      </c>
      <c r="C10" s="30">
        <f>SUMPRODUCT((TKB_Nhap!$A$2:$A$57=C$3)*(TKB_Nhap!$D$2:$J$57=$A10))-IFERROR(N(IF(TuanConfig!$B$2="C",INDEX(SoTiet!$B$3:$I$18,MATCH($A10,SoTiet!$A$3:$A$18,0),2),INDEX(SoTiet!$K$3:$R$18,MATCH($A10,SoTiet!$A$3:$A$18,0),2))),0)</f>
        <v/>
      </c>
      <c r="D10" s="30">
        <f>SUMPRODUCT((TKB_Nhap!$A$2:$A$57=D$3)*(TKB_Nhap!$D$2:$J$57=$A10))-IFERROR(N(IF(TuanConfig!$B$2="C",INDEX(SoTiet!$B$3:$I$18,MATCH($A10,SoTiet!$A$3:$A$18,0),3),INDEX(SoTiet!$K$3:$R$18,MATCH($A10,SoTiet!$A$3:$A$18,0),3))),0)</f>
        <v/>
      </c>
      <c r="E10" s="30">
        <f>SUMPRODUCT((TKB_Nhap!$A$2:$A$57=E$3)*(TKB_Nhap!$D$2:$J$57=$A10))-IFERROR(N(IF(TuanConfig!$B$2="C",INDEX(SoTiet!$B$3:$I$18,MATCH($A10,SoTiet!$A$3:$A$18,0),4),INDEX(SoTiet!$K$3:$R$18,MATCH($A10,SoTiet!$A$3:$A$18,0),4))),0)</f>
        <v/>
      </c>
      <c r="F10" s="30">
        <f>SUMPRODUCT((TKB_Nhap!$A$2:$A$57=F$3)*(TKB_Nhap!$D$2:$J$57=$A10))-IFERROR(N(IF(TuanConfig!$B$2="C",INDEX(SoTiet!$B$3:$I$18,MATCH($A10,SoTiet!$A$3:$A$18,0),5),INDEX(SoTiet!$K$3:$R$18,MATCH($A10,SoTiet!$A$3:$A$18,0),5))),0)</f>
        <v/>
      </c>
      <c r="G10" s="30">
        <f>SUMPRODUCT((TKB_Nhap!$A$2:$A$57=G$3)*(TKB_Nhap!$D$2:$J$57=$A10))-IFERROR(N(IF(TuanConfig!$B$2="C",INDEX(SoTiet!$B$3:$I$18,MATCH($A10,SoTiet!$A$3:$A$18,0),6),INDEX(SoTiet!$K$3:$R$18,MATCH($A10,SoTiet!$A$3:$A$18,0),6))),0)</f>
        <v/>
      </c>
      <c r="H10" s="30">
        <f>SUMPRODUCT((TKB_Nhap!$A$2:$A$57=H$3)*(TKB_Nhap!$D$2:$J$57=$A10))-IFERROR(N(IF(TuanConfig!$B$2="C",INDEX(SoTiet!$B$3:$I$18,MATCH($A10,SoTiet!$A$3:$A$18,0),7),INDEX(SoTiet!$K$3:$R$18,MATCH($A10,SoTiet!$A$3:$A$18,0),7))),0)</f>
        <v/>
      </c>
      <c r="I10" s="30">
        <f>SUMPRODUCT((TKB_Nhap!$A$2:$A$57=I$3)*(TKB_Nhap!$D$2:$J$57=$A10))-IFERROR(N(IF(TuanConfig!$B$2="C",INDEX(SoTiet!$B$3:$I$18,MATCH($A10,SoTiet!$A$3:$A$18,0),8),INDEX(SoTiet!$K$3:$R$18,MATCH($A10,SoTiet!$A$3:$A$18,0),8))),0)</f>
        <v/>
      </c>
      <c r="J10" s="30" t="n"/>
    </row>
    <row r="11" ht="15" customHeight="1">
      <c r="A11" s="26" t="inlineStr">
        <is>
          <t>Lịch sử và địa lý (Địa lý)</t>
        </is>
      </c>
      <c r="B11" s="30">
        <f>SUMPRODUCT((TKB_Nhap!$A$2:$A$57=B$3)*(TKB_Nhap!$D$2:$J$57=$A11))-IFERROR(N(IF(TuanConfig!$B$2="C",INDEX(SoTiet!$B$3:$I$18,MATCH($A11,SoTiet!$A$3:$A$18,0),1),INDEX(SoTiet!$K$3:$R$18,MATCH($A11,SoTiet!$A$3:$A$18,0),1))),0)</f>
        <v/>
      </c>
      <c r="C11" s="30">
        <f>SUMPRODUCT((TKB_Nhap!$A$2:$A$57=C$3)*(TKB_Nhap!$D$2:$J$57=$A11))-IFERROR(N(IF(TuanConfig!$B$2="C",INDEX(SoTiet!$B$3:$I$18,MATCH($A11,SoTiet!$A$3:$A$18,0),2),INDEX(SoTiet!$K$3:$R$18,MATCH($A11,SoTiet!$A$3:$A$18,0),2))),0)</f>
        <v/>
      </c>
      <c r="D11" s="30">
        <f>SUMPRODUCT((TKB_Nhap!$A$2:$A$57=D$3)*(TKB_Nhap!$D$2:$J$57=$A11))-IFERROR(N(IF(TuanConfig!$B$2="C",INDEX(SoTiet!$B$3:$I$18,MATCH($A11,SoTiet!$A$3:$A$18,0),3),INDEX(SoTiet!$K$3:$R$18,MATCH($A11,SoTiet!$A$3:$A$18,0),3))),0)</f>
        <v/>
      </c>
      <c r="E11" s="30">
        <f>SUMPRODUCT((TKB_Nhap!$A$2:$A$57=E$3)*(TKB_Nhap!$D$2:$J$57=$A11))-IFERROR(N(IF(TuanConfig!$B$2="C",INDEX(SoTiet!$B$3:$I$18,MATCH($A11,SoTiet!$A$3:$A$18,0),4),INDEX(SoTiet!$K$3:$R$18,MATCH($A11,SoTiet!$A$3:$A$18,0),4))),0)</f>
        <v/>
      </c>
      <c r="F11" s="30">
        <f>SUMPRODUCT((TKB_Nhap!$A$2:$A$57=F$3)*(TKB_Nhap!$D$2:$J$57=$A11))-IFERROR(N(IF(TuanConfig!$B$2="C",INDEX(SoTiet!$B$3:$I$18,MATCH($A11,SoTiet!$A$3:$A$18,0),5),INDEX(SoTiet!$K$3:$R$18,MATCH($A11,SoTiet!$A$3:$A$18,0),5))),0)</f>
        <v/>
      </c>
      <c r="G11" s="30">
        <f>SUMPRODUCT((TKB_Nhap!$A$2:$A$57=G$3)*(TKB_Nhap!$D$2:$J$57=$A11))-IFERROR(N(IF(TuanConfig!$B$2="C",INDEX(SoTiet!$B$3:$I$18,MATCH($A11,SoTiet!$A$3:$A$18,0),6),INDEX(SoTiet!$K$3:$R$18,MATCH($A11,SoTiet!$A$3:$A$18,0),6))),0)</f>
        <v/>
      </c>
      <c r="H11" s="30">
        <f>SUMPRODUCT((TKB_Nhap!$A$2:$A$57=H$3)*(TKB_Nhap!$D$2:$J$57=$A11))-IFERROR(N(IF(TuanConfig!$B$2="C",INDEX(SoTiet!$B$3:$I$18,MATCH($A11,SoTiet!$A$3:$A$18,0),7),INDEX(SoTiet!$K$3:$R$18,MATCH($A11,SoTiet!$A$3:$A$18,0),7))),0)</f>
        <v/>
      </c>
      <c r="I11" s="30">
        <f>SUMPRODUCT((TKB_Nhap!$A$2:$A$57=I$3)*(TKB_Nhap!$D$2:$J$57=$A11))-IFERROR(N(IF(TuanConfig!$B$2="C",INDEX(SoTiet!$B$3:$I$18,MATCH($A11,SoTiet!$A$3:$A$18,0),8),INDEX(SoTiet!$K$3:$R$18,MATCH($A11,SoTiet!$A$3:$A$18,0),8))),0)</f>
        <v/>
      </c>
      <c r="J11" s="30" t="n"/>
    </row>
    <row r="12" ht="15" customHeight="1">
      <c r="A12" s="26" t="inlineStr">
        <is>
          <t>Giáo dục công dân</t>
        </is>
      </c>
      <c r="B12" s="30">
        <f>SUMPRODUCT((TKB_Nhap!$A$2:$A$57=B$3)*(TKB_Nhap!$D$2:$J$57=$A12))-IFERROR(N(IF(TuanConfig!$B$2="C",INDEX(SoTiet!$B$3:$I$18,MATCH($A12,SoTiet!$A$3:$A$18,0),1),INDEX(SoTiet!$K$3:$R$18,MATCH($A12,SoTiet!$A$3:$A$18,0),1))),0)</f>
        <v/>
      </c>
      <c r="C12" s="30">
        <f>SUMPRODUCT((TKB_Nhap!$A$2:$A$57=C$3)*(TKB_Nhap!$D$2:$J$57=$A12))-IFERROR(N(IF(TuanConfig!$B$2="C",INDEX(SoTiet!$B$3:$I$18,MATCH($A12,SoTiet!$A$3:$A$18,0),2),INDEX(SoTiet!$K$3:$R$18,MATCH($A12,SoTiet!$A$3:$A$18,0),2))),0)</f>
        <v/>
      </c>
      <c r="D12" s="30">
        <f>SUMPRODUCT((TKB_Nhap!$A$2:$A$57=D$3)*(TKB_Nhap!$D$2:$J$57=$A12))-IFERROR(N(IF(TuanConfig!$B$2="C",INDEX(SoTiet!$B$3:$I$18,MATCH($A12,SoTiet!$A$3:$A$18,0),3),INDEX(SoTiet!$K$3:$R$18,MATCH($A12,SoTiet!$A$3:$A$18,0),3))),0)</f>
        <v/>
      </c>
      <c r="E12" s="30">
        <f>SUMPRODUCT((TKB_Nhap!$A$2:$A$57=E$3)*(TKB_Nhap!$D$2:$J$57=$A12))-IFERROR(N(IF(TuanConfig!$B$2="C",INDEX(SoTiet!$B$3:$I$18,MATCH($A12,SoTiet!$A$3:$A$18,0),4),INDEX(SoTiet!$K$3:$R$18,MATCH($A12,SoTiet!$A$3:$A$18,0),4))),0)</f>
        <v/>
      </c>
      <c r="F12" s="30">
        <f>SUMPRODUCT((TKB_Nhap!$A$2:$A$57=F$3)*(TKB_Nhap!$D$2:$J$57=$A12))-IFERROR(N(IF(TuanConfig!$B$2="C",INDEX(SoTiet!$B$3:$I$18,MATCH($A12,SoTiet!$A$3:$A$18,0),5),INDEX(SoTiet!$K$3:$R$18,MATCH($A12,SoTiet!$A$3:$A$18,0),5))),0)</f>
        <v/>
      </c>
      <c r="G12" s="30">
        <f>SUMPRODUCT((TKB_Nhap!$A$2:$A$57=G$3)*(TKB_Nhap!$D$2:$J$57=$A12))-IFERROR(N(IF(TuanConfig!$B$2="C",INDEX(SoTiet!$B$3:$I$18,MATCH($A12,SoTiet!$A$3:$A$18,0),6),INDEX(SoTiet!$K$3:$R$18,MATCH($A12,SoTiet!$A$3:$A$18,0),6))),0)</f>
        <v/>
      </c>
      <c r="H12" s="30">
        <f>SUMPRODUCT((TKB_Nhap!$A$2:$A$57=H$3)*(TKB_Nhap!$D$2:$J$57=$A12))-IFERROR(N(IF(TuanConfig!$B$2="C",INDEX(SoTiet!$B$3:$I$18,MATCH($A12,SoTiet!$A$3:$A$18,0),7),INDEX(SoTiet!$K$3:$R$18,MATCH($A12,SoTiet!$A$3:$A$18,0),7))),0)</f>
        <v/>
      </c>
      <c r="I12" s="30">
        <f>SUMPRODUCT((TKB_Nhap!$A$2:$A$57=I$3)*(TKB_Nhap!$D$2:$J$57=$A12))-IFERROR(N(IF(TuanConfig!$B$2="C",INDEX(SoTiet!$B$3:$I$18,MATCH($A12,SoTiet!$A$3:$A$18,0),8),INDEX(SoTiet!$K$3:$R$18,MATCH($A12,SoTiet!$A$3:$A$18,0),8))),0)</f>
        <v/>
      </c>
      <c r="J12" s="30" t="n"/>
    </row>
    <row r="13" ht="15" customHeight="1">
      <c r="A13" s="26" t="inlineStr">
        <is>
          <t>Công nghệ</t>
        </is>
      </c>
      <c r="B13" s="30">
        <f>SUMPRODUCT((TKB_Nhap!$A$2:$A$57=B$3)*(TKB_Nhap!$D$2:$J$57=$A13))-IFERROR(N(IF(TuanConfig!$B$2="C",INDEX(SoTiet!$B$3:$I$18,MATCH($A13,SoTiet!$A$3:$A$18,0),1),INDEX(SoTiet!$K$3:$R$18,MATCH($A13,SoTiet!$A$3:$A$18,0),1))),0)</f>
        <v/>
      </c>
      <c r="C13" s="30">
        <f>SUMPRODUCT((TKB_Nhap!$A$2:$A$57=C$3)*(TKB_Nhap!$D$2:$J$57=$A13))-IFERROR(N(IF(TuanConfig!$B$2="C",INDEX(SoTiet!$B$3:$I$18,MATCH($A13,SoTiet!$A$3:$A$18,0),2),INDEX(SoTiet!$K$3:$R$18,MATCH($A13,SoTiet!$A$3:$A$18,0),2))),0)</f>
        <v/>
      </c>
      <c r="D13" s="30">
        <f>SUMPRODUCT((TKB_Nhap!$A$2:$A$57=D$3)*(TKB_Nhap!$D$2:$J$57=$A13))-IFERROR(N(IF(TuanConfig!$B$2="C",INDEX(SoTiet!$B$3:$I$18,MATCH($A13,SoTiet!$A$3:$A$18,0),3),INDEX(SoTiet!$K$3:$R$18,MATCH($A13,SoTiet!$A$3:$A$18,0),3))),0)</f>
        <v/>
      </c>
      <c r="E13" s="30">
        <f>SUMPRODUCT((TKB_Nhap!$A$2:$A$57=E$3)*(TKB_Nhap!$D$2:$J$57=$A13))-IFERROR(N(IF(TuanConfig!$B$2="C",INDEX(SoTiet!$B$3:$I$18,MATCH($A13,SoTiet!$A$3:$A$18,0),4),INDEX(SoTiet!$K$3:$R$18,MATCH($A13,SoTiet!$A$3:$A$18,0),4))),0)</f>
        <v/>
      </c>
      <c r="F13" s="30">
        <f>SUMPRODUCT((TKB_Nhap!$A$2:$A$57=F$3)*(TKB_Nhap!$D$2:$J$57=$A13))-IFERROR(N(IF(TuanConfig!$B$2="C",INDEX(SoTiet!$B$3:$I$18,MATCH($A13,SoTiet!$A$3:$A$18,0),5),INDEX(SoTiet!$K$3:$R$18,MATCH($A13,SoTiet!$A$3:$A$18,0),5))),0)</f>
        <v/>
      </c>
      <c r="G13" s="30">
        <f>SUMPRODUCT((TKB_Nhap!$A$2:$A$57=G$3)*(TKB_Nhap!$D$2:$J$57=$A13))-IFERROR(N(IF(TuanConfig!$B$2="C",INDEX(SoTiet!$B$3:$I$18,MATCH($A13,SoTiet!$A$3:$A$18,0),6),INDEX(SoTiet!$K$3:$R$18,MATCH($A13,SoTiet!$A$3:$A$18,0),6))),0)</f>
        <v/>
      </c>
      <c r="H13" s="30">
        <f>SUMPRODUCT((TKB_Nhap!$A$2:$A$57=H$3)*(TKB_Nhap!$D$2:$J$57=$A13))-IFERROR(N(IF(TuanConfig!$B$2="C",INDEX(SoTiet!$B$3:$I$18,MATCH($A13,SoTiet!$A$3:$A$18,0),7),INDEX(SoTiet!$K$3:$R$18,MATCH($A13,SoTiet!$A$3:$A$18,0),7))),0)</f>
        <v/>
      </c>
      <c r="I13" s="30">
        <f>SUMPRODUCT((TKB_Nhap!$A$2:$A$57=I$3)*(TKB_Nhap!$D$2:$J$57=$A13))-IFERROR(N(IF(TuanConfig!$B$2="C",INDEX(SoTiet!$B$3:$I$18,MATCH($A13,SoTiet!$A$3:$A$18,0),8),INDEX(SoTiet!$K$3:$R$18,MATCH($A13,SoTiet!$A$3:$A$18,0),8))),0)</f>
        <v/>
      </c>
      <c r="J13" s="30" t="n"/>
    </row>
    <row r="14" ht="15" customHeight="1">
      <c r="A14" s="26" t="inlineStr">
        <is>
          <t>Tin</t>
        </is>
      </c>
      <c r="B14" s="30">
        <f>SUMPRODUCT((TKB_Nhap!$A$2:$A$57=B$3)*(TKB_Nhap!$D$2:$J$57=$A14))-IFERROR(N(IF(TuanConfig!$B$2="C",INDEX(SoTiet!$B$3:$I$18,MATCH($A14,SoTiet!$A$3:$A$18,0),1),INDEX(SoTiet!$K$3:$R$18,MATCH($A14,SoTiet!$A$3:$A$18,0),1))),0)</f>
        <v/>
      </c>
      <c r="C14" s="30">
        <f>SUMPRODUCT((TKB_Nhap!$A$2:$A$57=C$3)*(TKB_Nhap!$D$2:$J$57=$A14))-IFERROR(N(IF(TuanConfig!$B$2="C",INDEX(SoTiet!$B$3:$I$18,MATCH($A14,SoTiet!$A$3:$A$18,0),2),INDEX(SoTiet!$K$3:$R$18,MATCH($A14,SoTiet!$A$3:$A$18,0),2))),0)</f>
        <v/>
      </c>
      <c r="D14" s="30">
        <f>SUMPRODUCT((TKB_Nhap!$A$2:$A$57=D$3)*(TKB_Nhap!$D$2:$J$57=$A14))-IFERROR(N(IF(TuanConfig!$B$2="C",INDEX(SoTiet!$B$3:$I$18,MATCH($A14,SoTiet!$A$3:$A$18,0),3),INDEX(SoTiet!$K$3:$R$18,MATCH($A14,SoTiet!$A$3:$A$18,0),3))),0)</f>
        <v/>
      </c>
      <c r="E14" s="30">
        <f>SUMPRODUCT((TKB_Nhap!$A$2:$A$57=E$3)*(TKB_Nhap!$D$2:$J$57=$A14))-IFERROR(N(IF(TuanConfig!$B$2="C",INDEX(SoTiet!$B$3:$I$18,MATCH($A14,SoTiet!$A$3:$A$18,0),4),INDEX(SoTiet!$K$3:$R$18,MATCH($A14,SoTiet!$A$3:$A$18,0),4))),0)</f>
        <v/>
      </c>
      <c r="F14" s="30">
        <f>SUMPRODUCT((TKB_Nhap!$A$2:$A$57=F$3)*(TKB_Nhap!$D$2:$J$57=$A14))-IFERROR(N(IF(TuanConfig!$B$2="C",INDEX(SoTiet!$B$3:$I$18,MATCH($A14,SoTiet!$A$3:$A$18,0),5),INDEX(SoTiet!$K$3:$R$18,MATCH($A14,SoTiet!$A$3:$A$18,0),5))),0)</f>
        <v/>
      </c>
      <c r="G14" s="30">
        <f>SUMPRODUCT((TKB_Nhap!$A$2:$A$57=G$3)*(TKB_Nhap!$D$2:$J$57=$A14))-IFERROR(N(IF(TuanConfig!$B$2="C",INDEX(SoTiet!$B$3:$I$18,MATCH($A14,SoTiet!$A$3:$A$18,0),6),INDEX(SoTiet!$K$3:$R$18,MATCH($A14,SoTiet!$A$3:$A$18,0),6))),0)</f>
        <v/>
      </c>
      <c r="H14" s="30">
        <f>SUMPRODUCT((TKB_Nhap!$A$2:$A$57=H$3)*(TKB_Nhap!$D$2:$J$57=$A14))-IFERROR(N(IF(TuanConfig!$B$2="C",INDEX(SoTiet!$B$3:$I$18,MATCH($A14,SoTiet!$A$3:$A$18,0),7),INDEX(SoTiet!$K$3:$R$18,MATCH($A14,SoTiet!$A$3:$A$18,0),7))),0)</f>
        <v/>
      </c>
      <c r="I14" s="30">
        <f>SUMPRODUCT((TKB_Nhap!$A$2:$A$57=I$3)*(TKB_Nhap!$D$2:$J$57=$A14))-IFERROR(N(IF(TuanConfig!$B$2="C",INDEX(SoTiet!$B$3:$I$18,MATCH($A14,SoTiet!$A$3:$A$18,0),8),INDEX(SoTiet!$K$3:$R$18,MATCH($A14,SoTiet!$A$3:$A$18,0),8))),0)</f>
        <v/>
      </c>
      <c r="J14" s="30" t="n"/>
    </row>
    <row r="15" ht="15" customHeight="1">
      <c r="A15" s="26" t="inlineStr">
        <is>
          <t>Giáo dục thể chất</t>
        </is>
      </c>
      <c r="B15" s="30">
        <f>SUMPRODUCT((TKB_Nhap!$A$2:$A$57=B$3)*(TKB_Nhap!$D$2:$J$57=$A15))-IFERROR(N(IF(TuanConfig!$B$2="C",INDEX(SoTiet!$B$3:$I$18,MATCH($A15,SoTiet!$A$3:$A$18,0),1),INDEX(SoTiet!$K$3:$R$18,MATCH($A15,SoTiet!$A$3:$A$18,0),1))),0)</f>
        <v/>
      </c>
      <c r="C15" s="30">
        <f>SUMPRODUCT((TKB_Nhap!$A$2:$A$57=C$3)*(TKB_Nhap!$D$2:$J$57=$A15))-IFERROR(N(IF(TuanConfig!$B$2="C",INDEX(SoTiet!$B$3:$I$18,MATCH($A15,SoTiet!$A$3:$A$18,0),2),INDEX(SoTiet!$K$3:$R$18,MATCH($A15,SoTiet!$A$3:$A$18,0),2))),0)</f>
        <v/>
      </c>
      <c r="D15" s="30">
        <f>SUMPRODUCT((TKB_Nhap!$A$2:$A$57=D$3)*(TKB_Nhap!$D$2:$J$57=$A15))-IFERROR(N(IF(TuanConfig!$B$2="C",INDEX(SoTiet!$B$3:$I$18,MATCH($A15,SoTiet!$A$3:$A$18,0),3),INDEX(SoTiet!$K$3:$R$18,MATCH($A15,SoTiet!$A$3:$A$18,0),3))),0)</f>
        <v/>
      </c>
      <c r="E15" s="30">
        <f>SUMPRODUCT((TKB_Nhap!$A$2:$A$57=E$3)*(TKB_Nhap!$D$2:$J$57=$A15))-IFERROR(N(IF(TuanConfig!$B$2="C",INDEX(SoTiet!$B$3:$I$18,MATCH($A15,SoTiet!$A$3:$A$18,0),4),INDEX(SoTiet!$K$3:$R$18,MATCH($A15,SoTiet!$A$3:$A$18,0),4))),0)</f>
        <v/>
      </c>
      <c r="F15" s="30">
        <f>SUMPRODUCT((TKB_Nhap!$A$2:$A$57=F$3)*(TKB_Nhap!$D$2:$J$57=$A15))-IFERROR(N(IF(TuanConfig!$B$2="C",INDEX(SoTiet!$B$3:$I$18,MATCH($A15,SoTiet!$A$3:$A$18,0),5),INDEX(SoTiet!$K$3:$R$18,MATCH($A15,SoTiet!$A$3:$A$18,0),5))),0)</f>
        <v/>
      </c>
      <c r="G15" s="30">
        <f>SUMPRODUCT((TKB_Nhap!$A$2:$A$57=G$3)*(TKB_Nhap!$D$2:$J$57=$A15))-IFERROR(N(IF(TuanConfig!$B$2="C",INDEX(SoTiet!$B$3:$I$18,MATCH($A15,SoTiet!$A$3:$A$18,0),6),INDEX(SoTiet!$K$3:$R$18,MATCH($A15,SoTiet!$A$3:$A$18,0),6))),0)</f>
        <v/>
      </c>
      <c r="H15" s="30">
        <f>SUMPRODUCT((TKB_Nhap!$A$2:$A$57=H$3)*(TKB_Nhap!$D$2:$J$57=$A15))-IFERROR(N(IF(TuanConfig!$B$2="C",INDEX(SoTiet!$B$3:$I$18,MATCH($A15,SoTiet!$A$3:$A$18,0),7),INDEX(SoTiet!$K$3:$R$18,MATCH($A15,SoTiet!$A$3:$A$18,0),7))),0)</f>
        <v/>
      </c>
      <c r="I15" s="30">
        <f>SUMPRODUCT((TKB_Nhap!$A$2:$A$57=I$3)*(TKB_Nhap!$D$2:$J$57=$A15))-IFERROR(N(IF(TuanConfig!$B$2="C",INDEX(SoTiet!$B$3:$I$18,MATCH($A15,SoTiet!$A$3:$A$18,0),8),INDEX(SoTiet!$K$3:$R$18,MATCH($A15,SoTiet!$A$3:$A$18,0),8))),0)</f>
        <v/>
      </c>
      <c r="J15" s="30" t="n"/>
    </row>
    <row r="16" ht="15" customHeight="1">
      <c r="A16" s="26" t="inlineStr">
        <is>
          <t>Nội dung giáo dục của địa phương</t>
        </is>
      </c>
      <c r="B16" s="30">
        <f>SUMPRODUCT((TKB_Nhap!$A$2:$A$57=B$3)*(TKB_Nhap!$D$2:$J$57=$A16))-IFERROR(N(IF(TuanConfig!$B$2="C",INDEX(SoTiet!$B$3:$I$18,MATCH($A16,SoTiet!$A$3:$A$18,0),1),INDEX(SoTiet!$K$3:$R$18,MATCH($A16,SoTiet!$A$3:$A$18,0),1))),0)</f>
        <v/>
      </c>
      <c r="C16" s="30">
        <f>SUMPRODUCT((TKB_Nhap!$A$2:$A$57=C$3)*(TKB_Nhap!$D$2:$J$57=$A16))-IFERROR(N(IF(TuanConfig!$B$2="C",INDEX(SoTiet!$B$3:$I$18,MATCH($A16,SoTiet!$A$3:$A$18,0),2),INDEX(SoTiet!$K$3:$R$18,MATCH($A16,SoTiet!$A$3:$A$18,0),2))),0)</f>
        <v/>
      </c>
      <c r="D16" s="30">
        <f>SUMPRODUCT((TKB_Nhap!$A$2:$A$57=D$3)*(TKB_Nhap!$D$2:$J$57=$A16))-IFERROR(N(IF(TuanConfig!$B$2="C",INDEX(SoTiet!$B$3:$I$18,MATCH($A16,SoTiet!$A$3:$A$18,0),3),INDEX(SoTiet!$K$3:$R$18,MATCH($A16,SoTiet!$A$3:$A$18,0),3))),0)</f>
        <v/>
      </c>
      <c r="E16" s="30">
        <f>SUMPRODUCT((TKB_Nhap!$A$2:$A$57=E$3)*(TKB_Nhap!$D$2:$J$57=$A16))-IFERROR(N(IF(TuanConfig!$B$2="C",INDEX(SoTiet!$B$3:$I$18,MATCH($A16,SoTiet!$A$3:$A$18,0),4),INDEX(SoTiet!$K$3:$R$18,MATCH($A16,SoTiet!$A$3:$A$18,0),4))),0)</f>
        <v/>
      </c>
      <c r="F16" s="30">
        <f>SUMPRODUCT((TKB_Nhap!$A$2:$A$57=F$3)*(TKB_Nhap!$D$2:$J$57=$A16))-IFERROR(N(IF(TuanConfig!$B$2="C",INDEX(SoTiet!$B$3:$I$18,MATCH($A16,SoTiet!$A$3:$A$18,0),5),INDEX(SoTiet!$K$3:$R$18,MATCH($A16,SoTiet!$A$3:$A$18,0),5))),0)</f>
        <v/>
      </c>
      <c r="G16" s="30">
        <f>SUMPRODUCT((TKB_Nhap!$A$2:$A$57=G$3)*(TKB_Nhap!$D$2:$J$57=$A16))-IFERROR(N(IF(TuanConfig!$B$2="C",INDEX(SoTiet!$B$3:$I$18,MATCH($A16,SoTiet!$A$3:$A$18,0),6),INDEX(SoTiet!$K$3:$R$18,MATCH($A16,SoTiet!$A$3:$A$18,0),6))),0)</f>
        <v/>
      </c>
      <c r="H16" s="30">
        <f>SUMPRODUCT((TKB_Nhap!$A$2:$A$57=H$3)*(TKB_Nhap!$D$2:$J$57=$A16))-IFERROR(N(IF(TuanConfig!$B$2="C",INDEX(SoTiet!$B$3:$I$18,MATCH($A16,SoTiet!$A$3:$A$18,0),7),INDEX(SoTiet!$K$3:$R$18,MATCH($A16,SoTiet!$A$3:$A$18,0),7))),0)</f>
        <v/>
      </c>
      <c r="I16" s="30">
        <f>SUMPRODUCT((TKB_Nhap!$A$2:$A$57=I$3)*(TKB_Nhap!$D$2:$J$57=$A16))-IFERROR(N(IF(TuanConfig!$B$2="C",INDEX(SoTiet!$B$3:$I$18,MATCH($A16,SoTiet!$A$3:$A$18,0),8),INDEX(SoTiet!$K$3:$R$18,MATCH($A16,SoTiet!$A$3:$A$18,0),8))),0)</f>
        <v/>
      </c>
      <c r="J16" s="30" t="n"/>
    </row>
    <row r="17" ht="15" customHeight="1">
      <c r="A17" s="26" t="inlineStr">
        <is>
          <t>Hoạt động trải nghiệm, hướng nghiệp</t>
        </is>
      </c>
      <c r="B17" s="30">
        <f>SUMPRODUCT((TKB_Nhap!$A$2:$A$57=B$3)*(TKB_Nhap!$D$2:$J$57=$A17))-IFERROR(N(IF(TuanConfig!$B$2="C",INDEX(SoTiet!$B$3:$I$18,MATCH($A17,SoTiet!$A$3:$A$18,0),1),INDEX(SoTiet!$K$3:$R$18,MATCH($A17,SoTiet!$A$3:$A$18,0),1))),0)</f>
        <v/>
      </c>
      <c r="C17" s="30">
        <f>SUMPRODUCT((TKB_Nhap!$A$2:$A$57=C$3)*(TKB_Nhap!$D$2:$J$57=$A17))-IFERROR(N(IF(TuanConfig!$B$2="C",INDEX(SoTiet!$B$3:$I$18,MATCH($A17,SoTiet!$A$3:$A$18,0),2),INDEX(SoTiet!$K$3:$R$18,MATCH($A17,SoTiet!$A$3:$A$18,0),2))),0)</f>
        <v/>
      </c>
      <c r="D17" s="30">
        <f>SUMPRODUCT((TKB_Nhap!$A$2:$A$57=D$3)*(TKB_Nhap!$D$2:$J$57=$A17))-IFERROR(N(IF(TuanConfig!$B$2="C",INDEX(SoTiet!$B$3:$I$18,MATCH($A17,SoTiet!$A$3:$A$18,0),3),INDEX(SoTiet!$K$3:$R$18,MATCH($A17,SoTiet!$A$3:$A$18,0),3))),0)</f>
        <v/>
      </c>
      <c r="E17" s="30">
        <f>SUMPRODUCT((TKB_Nhap!$A$2:$A$57=E$3)*(TKB_Nhap!$D$2:$J$57=$A17))-IFERROR(N(IF(TuanConfig!$B$2="C",INDEX(SoTiet!$B$3:$I$18,MATCH($A17,SoTiet!$A$3:$A$18,0),4),INDEX(SoTiet!$K$3:$R$18,MATCH($A17,SoTiet!$A$3:$A$18,0),4))),0)</f>
        <v/>
      </c>
      <c r="F17" s="30">
        <f>SUMPRODUCT((TKB_Nhap!$A$2:$A$57=F$3)*(TKB_Nhap!$D$2:$J$57=$A17))-IFERROR(N(IF(TuanConfig!$B$2="C",INDEX(SoTiet!$B$3:$I$18,MATCH($A17,SoTiet!$A$3:$A$18,0),5),INDEX(SoTiet!$K$3:$R$18,MATCH($A17,SoTiet!$A$3:$A$18,0),5))),0)</f>
        <v/>
      </c>
      <c r="G17" s="30">
        <f>SUMPRODUCT((TKB_Nhap!$A$2:$A$57=G$3)*(TKB_Nhap!$D$2:$J$57=$A17))-IFERROR(N(IF(TuanConfig!$B$2="C",INDEX(SoTiet!$B$3:$I$18,MATCH($A17,SoTiet!$A$3:$A$18,0),6),INDEX(SoTiet!$K$3:$R$18,MATCH($A17,SoTiet!$A$3:$A$18,0),6))),0)</f>
        <v/>
      </c>
      <c r="H17" s="30">
        <f>SUMPRODUCT((TKB_Nhap!$A$2:$A$57=H$3)*(TKB_Nhap!$D$2:$J$57=$A17))-IFERROR(N(IF(TuanConfig!$B$2="C",INDEX(SoTiet!$B$3:$I$18,MATCH($A17,SoTiet!$A$3:$A$18,0),7),INDEX(SoTiet!$K$3:$R$18,MATCH($A17,SoTiet!$A$3:$A$18,0),7))),0)</f>
        <v/>
      </c>
      <c r="I17" s="30">
        <f>SUMPRODUCT((TKB_Nhap!$A$2:$A$57=I$3)*(TKB_Nhap!$D$2:$J$57=$A17))-IFERROR(N(IF(TuanConfig!$B$2="C",INDEX(SoTiet!$B$3:$I$18,MATCH($A17,SoTiet!$A$3:$A$18,0),8),INDEX(SoTiet!$K$3:$R$18,MATCH($A17,SoTiet!$A$3:$A$18,0),8))),0)</f>
        <v/>
      </c>
      <c r="J17" s="30" t="n"/>
    </row>
    <row r="18" ht="15" customHeight="1">
      <c r="A18" s="26" t="inlineStr">
        <is>
          <t>Nghệ thuật (Nhạc)</t>
        </is>
      </c>
      <c r="B18" s="30">
        <f>SUMPRODUCT((TKB_Nhap!$A$2:$A$57=B$3)*(TKB_Nhap!$D$2:$J$57=$A18))-IFERROR(N(IF(TuanConfig!$B$2="C",INDEX(SoTiet!$B$3:$I$18,MATCH($A18,SoTiet!$A$3:$A$18,0),1),INDEX(SoTiet!$K$3:$R$18,MATCH($A18,SoTiet!$A$3:$A$18,0),1))),0)</f>
        <v/>
      </c>
      <c r="C18" s="30">
        <f>SUMPRODUCT((TKB_Nhap!$A$2:$A$57=C$3)*(TKB_Nhap!$D$2:$J$57=$A18))-IFERROR(N(IF(TuanConfig!$B$2="C",INDEX(SoTiet!$B$3:$I$18,MATCH($A18,SoTiet!$A$3:$A$18,0),2),INDEX(SoTiet!$K$3:$R$18,MATCH($A18,SoTiet!$A$3:$A$18,0),2))),0)</f>
        <v/>
      </c>
      <c r="D18" s="30">
        <f>SUMPRODUCT((TKB_Nhap!$A$2:$A$57=D$3)*(TKB_Nhap!$D$2:$J$57=$A18))-IFERROR(N(IF(TuanConfig!$B$2="C",INDEX(SoTiet!$B$3:$I$18,MATCH($A18,SoTiet!$A$3:$A$18,0),3),INDEX(SoTiet!$K$3:$R$18,MATCH($A18,SoTiet!$A$3:$A$18,0),3))),0)</f>
        <v/>
      </c>
      <c r="E18" s="30">
        <f>SUMPRODUCT((TKB_Nhap!$A$2:$A$57=E$3)*(TKB_Nhap!$D$2:$J$57=$A18))-IFERROR(N(IF(TuanConfig!$B$2="C",INDEX(SoTiet!$B$3:$I$18,MATCH($A18,SoTiet!$A$3:$A$18,0),4),INDEX(SoTiet!$K$3:$R$18,MATCH($A18,SoTiet!$A$3:$A$18,0),4))),0)</f>
        <v/>
      </c>
      <c r="F18" s="30">
        <f>SUMPRODUCT((TKB_Nhap!$A$2:$A$57=F$3)*(TKB_Nhap!$D$2:$J$57=$A18))-IFERROR(N(IF(TuanConfig!$B$2="C",INDEX(SoTiet!$B$3:$I$18,MATCH($A18,SoTiet!$A$3:$A$18,0),5),INDEX(SoTiet!$K$3:$R$18,MATCH($A18,SoTiet!$A$3:$A$18,0),5))),0)</f>
        <v/>
      </c>
      <c r="G18" s="30">
        <f>SUMPRODUCT((TKB_Nhap!$A$2:$A$57=G$3)*(TKB_Nhap!$D$2:$J$57=$A18))-IFERROR(N(IF(TuanConfig!$B$2="C",INDEX(SoTiet!$B$3:$I$18,MATCH($A18,SoTiet!$A$3:$A$18,0),6),INDEX(SoTiet!$K$3:$R$18,MATCH($A18,SoTiet!$A$3:$A$18,0),6))),0)</f>
        <v/>
      </c>
      <c r="H18" s="30">
        <f>SUMPRODUCT((TKB_Nhap!$A$2:$A$57=H$3)*(TKB_Nhap!$D$2:$J$57=$A18))-IFERROR(N(IF(TuanConfig!$B$2="C",INDEX(SoTiet!$B$3:$I$18,MATCH($A18,SoTiet!$A$3:$A$18,0),7),INDEX(SoTiet!$K$3:$R$18,MATCH($A18,SoTiet!$A$3:$A$18,0),7))),0)</f>
        <v/>
      </c>
      <c r="I18" s="30">
        <f>SUMPRODUCT((TKB_Nhap!$A$2:$A$57=I$3)*(TKB_Nhap!$D$2:$J$57=$A18))-IFERROR(N(IF(TuanConfig!$B$2="C",INDEX(SoTiet!$B$3:$I$18,MATCH($A18,SoTiet!$A$3:$A$18,0),8),INDEX(SoTiet!$K$3:$R$18,MATCH($A18,SoTiet!$A$3:$A$18,0),8))),0)</f>
        <v/>
      </c>
      <c r="J18" s="30" t="n"/>
    </row>
    <row r="19" ht="15" customHeight="1">
      <c r="A19" s="26" t="inlineStr">
        <is>
          <t>Nghệ thuật (Mỹ thuật)</t>
        </is>
      </c>
      <c r="B19" s="30">
        <f>SUMPRODUCT((TKB_Nhap!$A$2:$A$57=B$3)*(TKB_Nhap!$D$2:$J$57=$A19))-IFERROR(N(IF(TuanConfig!$B$2="C",INDEX(SoTiet!$B$3:$I$18,MATCH($A19,SoTiet!$A$3:$A$18,0),1),INDEX(SoTiet!$K$3:$R$18,MATCH($A19,SoTiet!$A$3:$A$18,0),1))),0)</f>
        <v/>
      </c>
      <c r="C19" s="30">
        <f>SUMPRODUCT((TKB_Nhap!$A$2:$A$57=C$3)*(TKB_Nhap!$D$2:$J$57=$A19))-IFERROR(N(IF(TuanConfig!$B$2="C",INDEX(SoTiet!$B$3:$I$18,MATCH($A19,SoTiet!$A$3:$A$18,0),2),INDEX(SoTiet!$K$3:$R$18,MATCH($A19,SoTiet!$A$3:$A$18,0),2))),0)</f>
        <v/>
      </c>
      <c r="D19" s="30">
        <f>SUMPRODUCT((TKB_Nhap!$A$2:$A$57=D$3)*(TKB_Nhap!$D$2:$J$57=$A19))-IFERROR(N(IF(TuanConfig!$B$2="C",INDEX(SoTiet!$B$3:$I$18,MATCH($A19,SoTiet!$A$3:$A$18,0),3),INDEX(SoTiet!$K$3:$R$18,MATCH($A19,SoTiet!$A$3:$A$18,0),3))),0)</f>
        <v/>
      </c>
      <c r="E19" s="30">
        <f>SUMPRODUCT((TKB_Nhap!$A$2:$A$57=E$3)*(TKB_Nhap!$D$2:$J$57=$A19))-IFERROR(N(IF(TuanConfig!$B$2="C",INDEX(SoTiet!$B$3:$I$18,MATCH($A19,SoTiet!$A$3:$A$18,0),4),INDEX(SoTiet!$K$3:$R$18,MATCH($A19,SoTiet!$A$3:$A$18,0),4))),0)</f>
        <v/>
      </c>
      <c r="F19" s="30">
        <f>SUMPRODUCT((TKB_Nhap!$A$2:$A$57=F$3)*(TKB_Nhap!$D$2:$J$57=$A19))-IFERROR(N(IF(TuanConfig!$B$2="C",INDEX(SoTiet!$B$3:$I$18,MATCH($A19,SoTiet!$A$3:$A$18,0),5),INDEX(SoTiet!$K$3:$R$18,MATCH($A19,SoTiet!$A$3:$A$18,0),5))),0)</f>
        <v/>
      </c>
      <c r="G19" s="30">
        <f>SUMPRODUCT((TKB_Nhap!$A$2:$A$57=G$3)*(TKB_Nhap!$D$2:$J$57=$A19))-IFERROR(N(IF(TuanConfig!$B$2="C",INDEX(SoTiet!$B$3:$I$18,MATCH($A19,SoTiet!$A$3:$A$18,0),6),INDEX(SoTiet!$K$3:$R$18,MATCH($A19,SoTiet!$A$3:$A$18,0),6))),0)</f>
        <v/>
      </c>
      <c r="H19" s="30">
        <f>SUMPRODUCT((TKB_Nhap!$A$2:$A$57=H$3)*(TKB_Nhap!$D$2:$J$57=$A19))-IFERROR(N(IF(TuanConfig!$B$2="C",INDEX(SoTiet!$B$3:$I$18,MATCH($A19,SoTiet!$A$3:$A$18,0),7),INDEX(SoTiet!$K$3:$R$18,MATCH($A19,SoTiet!$A$3:$A$18,0),7))),0)</f>
        <v/>
      </c>
      <c r="I19" s="30">
        <f>SUMPRODUCT((TKB_Nhap!$A$2:$A$57=I$3)*(TKB_Nhap!$D$2:$J$57=$A19))-IFERROR(N(IF(TuanConfig!$B$2="C",INDEX(SoTiet!$B$3:$I$18,MATCH($A19,SoTiet!$A$3:$A$18,0),8),INDEX(SoTiet!$K$3:$R$18,MATCH($A19,SoTiet!$A$3:$A$18,0),8))),0)</f>
        <v/>
      </c>
      <c r="J19" s="30" t="n"/>
    </row>
    <row r="20" ht="15" customHeight="1">
      <c r="A20" s="15" t="inlineStr">
        <is>
          <t>TỔNG</t>
        </is>
      </c>
      <c r="B20" s="11">
        <f>SUM(B4:B19)</f>
        <v/>
      </c>
      <c r="C20" s="11">
        <f>SUM(C4:C19)</f>
        <v/>
      </c>
      <c r="D20" s="11">
        <f>SUM(D4:D19)</f>
        <v/>
      </c>
      <c r="E20" s="11">
        <f>SUM(E4:E19)</f>
        <v/>
      </c>
      <c r="F20" s="11">
        <f>SUM(F4:F19)</f>
        <v/>
      </c>
      <c r="G20" s="11">
        <f>SUM(G4:G19)</f>
        <v/>
      </c>
      <c r="H20" s="11">
        <f>SUM(H4:H19)</f>
        <v/>
      </c>
      <c r="I20" s="11">
        <f>SUM(I4:I19)</f>
        <v/>
      </c>
      <c r="J20" s="11" t="n"/>
    </row>
    <row r="21" ht="15" customHeight="1">
      <c r="A21" s="5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5" customHeight="1">
      <c r="A22" s="5" t="n"/>
      <c r="B22" s="31" t="n"/>
    </row>
    <row r="23" ht="15" customHeight="1">
      <c r="A23" s="5" t="n"/>
      <c r="B23" s="12" t="n"/>
      <c r="C23" s="40" t="n"/>
    </row>
    <row r="24" ht="15" customHeight="1"/>
    <row r="25" ht="15" customHeight="1">
      <c r="A25" s="41" t="n"/>
    </row>
    <row r="26" ht="15" customHeight="1">
      <c r="A26" s="5" t="n"/>
      <c r="B26" s="5" t="n"/>
    </row>
    <row r="27" ht="15" customHeight="1">
      <c r="A27" s="4" t="n"/>
      <c r="B27" s="19" t="n"/>
    </row>
    <row r="28" ht="15" customHeight="1">
      <c r="A28" s="4" t="n"/>
      <c r="B28" s="19" t="n"/>
    </row>
    <row r="29" ht="15" customHeight="1">
      <c r="A29" s="4" t="n"/>
      <c r="B29" s="19" t="n"/>
    </row>
    <row r="30" ht="15" customHeight="1">
      <c r="A30" s="4" t="n"/>
      <c r="B30" s="19" t="n"/>
    </row>
    <row r="31" ht="15" customHeight="1">
      <c r="A31" s="4" t="n"/>
      <c r="B31" s="19" t="n"/>
    </row>
    <row r="32" ht="15" customHeight="1">
      <c r="A32" s="4" t="n"/>
      <c r="B32" s="19" t="n"/>
    </row>
    <row r="33" ht="15" customHeight="1">
      <c r="A33" s="4" t="n"/>
      <c r="B33" s="19" t="n"/>
    </row>
    <row r="34" ht="15" customHeight="1">
      <c r="A34" s="4" t="n"/>
      <c r="B34" s="19" t="n"/>
    </row>
    <row r="35" ht="15" customHeight="1">
      <c r="A35" s="4" t="n"/>
      <c r="B35" s="19" t="n"/>
    </row>
    <row r="36" ht="15" customHeight="1">
      <c r="A36" s="4" t="n"/>
      <c r="B36" s="19" t="n"/>
    </row>
    <row r="37" ht="15" customHeight="1">
      <c r="A37" s="4" t="n"/>
      <c r="B37" s="19" t="n"/>
    </row>
    <row r="38" ht="15" customHeight="1">
      <c r="A38" s="4" t="n"/>
      <c r="B38" s="19" t="n"/>
    </row>
    <row r="39" ht="15" customHeight="1">
      <c r="A39" s="4" t="n"/>
      <c r="B39" s="19" t="n"/>
    </row>
    <row r="40" ht="15" customHeight="1">
      <c r="A40" s="4" t="n"/>
      <c r="B40" s="19" t="n"/>
    </row>
    <row r="41" ht="15" customHeight="1">
      <c r="A41" s="4" t="n"/>
      <c r="B41" s="19" t="n"/>
    </row>
    <row r="42" ht="15" customHeight="1">
      <c r="A42" s="4" t="n"/>
      <c r="B42" s="19" t="n"/>
    </row>
    <row r="43" ht="15" customHeight="1">
      <c r="A43" s="4" t="n"/>
      <c r="B43" s="19" t="n"/>
    </row>
    <row r="44" ht="15" customHeight="1">
      <c r="A44" s="4" t="n"/>
      <c r="B44" s="19" t="n"/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conditionalFormatting sqref="B22:B23">
    <cfRule type="expression" priority="3" dxfId="0">
      <formula>B22&gt;0</formula>
    </cfRule>
  </conditionalFormatting>
  <conditionalFormatting sqref="B4:I20">
    <cfRule type="expression" priority="9" dxfId="0">
      <formula>B4&lt;&gt;0</formula>
    </cfRule>
  </conditionalFormatting>
  <conditionalFormatting sqref="B4:J21">
    <cfRule type="expression" priority="2" dxfId="0">
      <formula>B4&lt;&gt;0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161"/>
  <sheetViews>
    <sheetView zoomScaleNormal="100" workbookViewId="0">
      <selection activeCell="A1" sqref="A1"/>
    </sheetView>
  </sheetViews>
  <sheetFormatPr baseColWidth="8" defaultColWidth="8.7109375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D1" t="inlineStr">
        <is>
          <t>Thứ 2</t>
        </is>
      </c>
      <c r="E1" t="inlineStr">
        <is>
          <t>Thứ 3</t>
        </is>
      </c>
      <c r="F1" t="inlineStr">
        <is>
          <t>Thứ 4</t>
        </is>
      </c>
      <c r="G1" t="inlineStr">
        <is>
          <t>Thứ 5</t>
        </is>
      </c>
      <c r="H1" t="inlineStr">
        <is>
          <t>Thứ 6</t>
        </is>
      </c>
      <c r="I1" t="inlineStr">
        <is>
          <t>Thứ 7</t>
        </is>
      </c>
      <c r="J1" t="inlineStr">
        <is>
          <t>Chủ Nhật</t>
        </is>
      </c>
    </row>
    <row r="2" ht="15" customHeight="1">
      <c r="A2" t="inlineStr">
        <is>
          <t>6A7</t>
        </is>
      </c>
      <c r="B2" t="inlineStr">
        <is>
          <t>S</t>
        </is>
      </c>
      <c r="C2" t="n">
        <v>1</v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 ht="15" customHeight="1">
      <c r="A3" t="inlineStr">
        <is>
          <t>6A7</t>
        </is>
      </c>
      <c r="B3" t="inlineStr">
        <is>
          <t>S</t>
        </is>
      </c>
      <c r="C3" t="n">
        <v>2</v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</row>
    <row r="4" ht="15" customHeight="1">
      <c r="A4" t="inlineStr">
        <is>
          <t>6A7</t>
        </is>
      </c>
      <c r="B4" t="inlineStr">
        <is>
          <t>S</t>
        </is>
      </c>
      <c r="C4" t="n">
        <v>3</v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 ht="15" customHeight="1">
      <c r="A5" t="inlineStr">
        <is>
          <t>6A7</t>
        </is>
      </c>
      <c r="B5" t="inlineStr">
        <is>
          <t>S</t>
        </is>
      </c>
      <c r="C5" t="n">
        <v>4</v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 ht="15" customHeight="1">
      <c r="A6" t="inlineStr">
        <is>
          <t>6A7</t>
        </is>
      </c>
      <c r="B6" t="inlineStr">
        <is>
          <t>S</t>
        </is>
      </c>
      <c r="C6" t="n">
        <v>5</v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</row>
    <row r="7" ht="15" customHeight="1">
      <c r="A7" t="inlineStr">
        <is>
          <t>6A7</t>
        </is>
      </c>
      <c r="B7" t="inlineStr">
        <is>
          <t>C</t>
        </is>
      </c>
      <c r="C7" t="n">
        <v>1</v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</row>
    <row r="8" ht="15" customHeight="1">
      <c r="A8" t="inlineStr">
        <is>
          <t>6A7</t>
        </is>
      </c>
      <c r="B8" t="inlineStr">
        <is>
          <t>C</t>
        </is>
      </c>
      <c r="C8" t="n">
        <v>2</v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</row>
    <row r="9" ht="15" customHeight="1">
      <c r="A9" t="inlineStr">
        <is>
          <t>6A7</t>
        </is>
      </c>
      <c r="B9" t="inlineStr">
        <is>
          <t>C</t>
        </is>
      </c>
      <c r="C9" t="n">
        <v>3</v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 ht="15" customHeight="1">
      <c r="A10" t="inlineStr">
        <is>
          <t>6A8</t>
        </is>
      </c>
      <c r="B10" t="inlineStr">
        <is>
          <t>S</t>
        </is>
      </c>
      <c r="C10" t="n">
        <v>1</v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</row>
    <row r="11" ht="15" customHeight="1">
      <c r="A11" t="inlineStr">
        <is>
          <t>6A8</t>
        </is>
      </c>
      <c r="B11" t="inlineStr">
        <is>
          <t>S</t>
        </is>
      </c>
      <c r="C11" t="n">
        <v>2</v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 ht="15" customHeight="1">
      <c r="A12" t="inlineStr">
        <is>
          <t>6A8</t>
        </is>
      </c>
      <c r="B12" t="inlineStr">
        <is>
          <t>S</t>
        </is>
      </c>
      <c r="C12" t="n">
        <v>3</v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 ht="15" customHeight="1">
      <c r="A13" t="inlineStr">
        <is>
          <t>6A8</t>
        </is>
      </c>
      <c r="B13" t="inlineStr">
        <is>
          <t>S</t>
        </is>
      </c>
      <c r="C13" t="n">
        <v>4</v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</row>
    <row r="14" ht="15" customHeight="1">
      <c r="A14" t="inlineStr">
        <is>
          <t>6A8</t>
        </is>
      </c>
      <c r="B14" t="inlineStr">
        <is>
          <t>S</t>
        </is>
      </c>
      <c r="C14" t="n">
        <v>5</v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</row>
    <row r="15" ht="15" customHeight="1">
      <c r="A15" t="inlineStr">
        <is>
          <t>6A8</t>
        </is>
      </c>
      <c r="B15" t="inlineStr">
        <is>
          <t>C</t>
        </is>
      </c>
      <c r="C15" t="n">
        <v>1</v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</row>
    <row r="16" ht="15" customHeight="1">
      <c r="A16" t="inlineStr">
        <is>
          <t>6A8</t>
        </is>
      </c>
      <c r="B16" t="inlineStr">
        <is>
          <t>C</t>
        </is>
      </c>
      <c r="C16" t="n">
        <v>2</v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 ht="15" customHeight="1">
      <c r="A17" t="inlineStr">
        <is>
          <t>6A8</t>
        </is>
      </c>
      <c r="B17" t="inlineStr">
        <is>
          <t>C</t>
        </is>
      </c>
      <c r="C17" t="n">
        <v>3</v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</row>
    <row r="18" ht="15" customHeight="1">
      <c r="A18" t="inlineStr">
        <is>
          <t>6A9</t>
        </is>
      </c>
      <c r="B18" t="inlineStr">
        <is>
          <t>S</t>
        </is>
      </c>
      <c r="C18" t="n">
        <v>1</v>
      </c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 ht="15" customHeight="1">
      <c r="A19" t="inlineStr">
        <is>
          <t>6A9</t>
        </is>
      </c>
      <c r="B19" t="inlineStr">
        <is>
          <t>S</t>
        </is>
      </c>
      <c r="C19" t="n">
        <v>2</v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 ht="15" customHeight="1">
      <c r="A20" t="inlineStr">
        <is>
          <t>6A9</t>
        </is>
      </c>
      <c r="B20" t="inlineStr">
        <is>
          <t>S</t>
        </is>
      </c>
      <c r="C20" t="n">
        <v>3</v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</row>
    <row r="21" ht="15" customHeight="1">
      <c r="A21" t="inlineStr">
        <is>
          <t>6A9</t>
        </is>
      </c>
      <c r="B21" t="inlineStr">
        <is>
          <t>S</t>
        </is>
      </c>
      <c r="C21" t="n">
        <v>4</v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</row>
    <row r="22" ht="15" customHeight="1">
      <c r="A22" t="inlineStr">
        <is>
          <t>6A9</t>
        </is>
      </c>
      <c r="B22" t="inlineStr">
        <is>
          <t>S</t>
        </is>
      </c>
      <c r="C22" t="n">
        <v>5</v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</row>
    <row r="23" ht="15" customHeight="1">
      <c r="A23" t="inlineStr">
        <is>
          <t>6A9</t>
        </is>
      </c>
      <c r="B23" t="inlineStr">
        <is>
          <t>C</t>
        </is>
      </c>
      <c r="C23" t="n">
        <v>1</v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 ht="15" customHeight="1">
      <c r="A24" t="inlineStr">
        <is>
          <t>6A9</t>
        </is>
      </c>
      <c r="B24" t="inlineStr">
        <is>
          <t>C</t>
        </is>
      </c>
      <c r="C24" t="n">
        <v>2</v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</row>
    <row r="25" ht="15" customHeight="1">
      <c r="A25" t="inlineStr">
        <is>
          <t>6A9</t>
        </is>
      </c>
      <c r="B25" t="inlineStr">
        <is>
          <t>C</t>
        </is>
      </c>
      <c r="C25" t="n">
        <v>3</v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 ht="15" customHeight="1">
      <c r="A26" t="inlineStr">
        <is>
          <t>6A10</t>
        </is>
      </c>
      <c r="B26" t="inlineStr">
        <is>
          <t>S</t>
        </is>
      </c>
      <c r="C26" t="n">
        <v>1</v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</row>
    <row r="27" ht="15" customHeight="1">
      <c r="A27" t="inlineStr">
        <is>
          <t>6A10</t>
        </is>
      </c>
      <c r="B27" t="inlineStr">
        <is>
          <t>S</t>
        </is>
      </c>
      <c r="C27" t="n">
        <v>2</v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</row>
    <row r="28" ht="15" customHeight="1">
      <c r="A28" t="inlineStr">
        <is>
          <t>6A10</t>
        </is>
      </c>
      <c r="B28" t="inlineStr">
        <is>
          <t>S</t>
        </is>
      </c>
      <c r="C28" t="n">
        <v>3</v>
      </c>
      <c r="D28" t="inlineStr">
        <is>
          <t>x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</row>
    <row r="29" ht="15" customHeight="1">
      <c r="A29" t="inlineStr">
        <is>
          <t>6A10</t>
        </is>
      </c>
      <c r="B29" t="inlineStr">
        <is>
          <t>S</t>
        </is>
      </c>
      <c r="C29" t="n">
        <v>4</v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</row>
    <row r="30" ht="15" customHeight="1">
      <c r="A30" t="inlineStr">
        <is>
          <t>6A10</t>
        </is>
      </c>
      <c r="B30" t="inlineStr">
        <is>
          <t>S</t>
        </is>
      </c>
      <c r="C30" t="n">
        <v>5</v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 ht="15" customHeight="1">
      <c r="A31" t="inlineStr">
        <is>
          <t>6A10</t>
        </is>
      </c>
      <c r="B31" t="inlineStr">
        <is>
          <t>C</t>
        </is>
      </c>
      <c r="C31" t="n">
        <v>1</v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</row>
    <row r="32" ht="15" customHeight="1">
      <c r="A32" t="inlineStr">
        <is>
          <t>6A10</t>
        </is>
      </c>
      <c r="B32" t="inlineStr">
        <is>
          <t>C</t>
        </is>
      </c>
      <c r="C32" t="n">
        <v>2</v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 ht="15" customHeight="1">
      <c r="A33" t="inlineStr">
        <is>
          <t>6A10</t>
        </is>
      </c>
      <c r="B33" t="inlineStr">
        <is>
          <t>C</t>
        </is>
      </c>
      <c r="C33" t="n">
        <v>3</v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 ht="15" customHeight="1">
      <c r="A34" t="inlineStr">
        <is>
          <t>6A11</t>
        </is>
      </c>
      <c r="B34" t="inlineStr">
        <is>
          <t>S</t>
        </is>
      </c>
      <c r="C34" t="n">
        <v>1</v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</row>
    <row r="35" ht="15" customHeight="1">
      <c r="A35" t="inlineStr">
        <is>
          <t>6A11</t>
        </is>
      </c>
      <c r="B35" t="inlineStr">
        <is>
          <t>S</t>
        </is>
      </c>
      <c r="C35" t="n">
        <v>2</v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</row>
    <row r="36" ht="15" customHeight="1">
      <c r="A36" t="inlineStr">
        <is>
          <t>6A11</t>
        </is>
      </c>
      <c r="B36" t="inlineStr">
        <is>
          <t>S</t>
        </is>
      </c>
      <c r="C36" t="n">
        <v>3</v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</row>
    <row r="37" ht="15" customHeight="1">
      <c r="A37" t="inlineStr">
        <is>
          <t>6A11</t>
        </is>
      </c>
      <c r="B37" t="inlineStr">
        <is>
          <t>S</t>
        </is>
      </c>
      <c r="C37" t="n">
        <v>4</v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</row>
    <row r="38" ht="15" customHeight="1">
      <c r="A38" t="inlineStr">
        <is>
          <t>6A11</t>
        </is>
      </c>
      <c r="B38" t="inlineStr">
        <is>
          <t>S</t>
        </is>
      </c>
      <c r="C38" t="n">
        <v>5</v>
      </c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</row>
    <row r="39" ht="15" customHeight="1">
      <c r="A39" t="inlineStr">
        <is>
          <t>6A11</t>
        </is>
      </c>
      <c r="B39" t="inlineStr">
        <is>
          <t>C</t>
        </is>
      </c>
      <c r="C39" t="n">
        <v>1</v>
      </c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</row>
    <row r="40" ht="15" customHeight="1">
      <c r="A40" t="inlineStr">
        <is>
          <t>6A11</t>
        </is>
      </c>
      <c r="B40" t="inlineStr">
        <is>
          <t>C</t>
        </is>
      </c>
      <c r="C40" t="n">
        <v>2</v>
      </c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</row>
    <row r="41" ht="15" customHeight="1">
      <c r="A41" t="inlineStr">
        <is>
          <t>6A11</t>
        </is>
      </c>
      <c r="B41" t="inlineStr">
        <is>
          <t>C</t>
        </is>
      </c>
      <c r="C41" t="n">
        <v>3</v>
      </c>
      <c r="D41" t="inlineStr">
        <is>
          <t>x</t>
        </is>
      </c>
      <c r="E41" t="inlineStr">
        <is>
          <t>x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</row>
    <row r="42" ht="15" customHeight="1">
      <c r="A42" t="inlineStr">
        <is>
          <t>7A7</t>
        </is>
      </c>
      <c r="B42" t="inlineStr">
        <is>
          <t>S</t>
        </is>
      </c>
      <c r="C42" t="n">
        <v>1</v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</row>
    <row r="43" ht="15" customHeight="1">
      <c r="A43" t="inlineStr">
        <is>
          <t>7A7</t>
        </is>
      </c>
      <c r="B43" t="inlineStr">
        <is>
          <t>S</t>
        </is>
      </c>
      <c r="C43" t="n">
        <v>2</v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</row>
    <row r="44" ht="15" customHeight="1">
      <c r="A44" t="inlineStr">
        <is>
          <t>7A7</t>
        </is>
      </c>
      <c r="B44" t="inlineStr">
        <is>
          <t>S</t>
        </is>
      </c>
      <c r="C44" t="n">
        <v>3</v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</row>
    <row r="45" ht="15" customHeight="1">
      <c r="A45" t="inlineStr">
        <is>
          <t>7A7</t>
        </is>
      </c>
      <c r="B45" t="inlineStr">
        <is>
          <t>S</t>
        </is>
      </c>
      <c r="C45" t="n">
        <v>4</v>
      </c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</row>
    <row r="46" ht="15" customHeight="1">
      <c r="A46" t="inlineStr">
        <is>
          <t>7A7</t>
        </is>
      </c>
      <c r="B46" t="inlineStr">
        <is>
          <t>S</t>
        </is>
      </c>
      <c r="C46" t="n">
        <v>5</v>
      </c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 ht="15" customHeight="1">
      <c r="A47" t="inlineStr">
        <is>
          <t>7A7</t>
        </is>
      </c>
      <c r="B47" t="inlineStr">
        <is>
          <t>C</t>
        </is>
      </c>
      <c r="C47" t="n">
        <v>1</v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</row>
    <row r="48" ht="15" customHeight="1">
      <c r="A48" t="inlineStr">
        <is>
          <t>7A7</t>
        </is>
      </c>
      <c r="B48" t="inlineStr">
        <is>
          <t>C</t>
        </is>
      </c>
      <c r="C48" t="n">
        <v>2</v>
      </c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</row>
    <row r="49" ht="15" customHeight="1">
      <c r="A49" t="inlineStr">
        <is>
          <t>7A7</t>
        </is>
      </c>
      <c r="B49" t="inlineStr">
        <is>
          <t>C</t>
        </is>
      </c>
      <c r="C49" t="n">
        <v>3</v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</row>
    <row r="50" ht="15" customHeight="1">
      <c r="A50" t="inlineStr">
        <is>
          <t>7A8</t>
        </is>
      </c>
      <c r="B50" t="inlineStr">
        <is>
          <t>S</t>
        </is>
      </c>
      <c r="C50" t="n">
        <v>1</v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</row>
    <row r="51" ht="15" customHeight="1">
      <c r="A51" t="inlineStr">
        <is>
          <t>7A8</t>
        </is>
      </c>
      <c r="B51" t="inlineStr">
        <is>
          <t>S</t>
        </is>
      </c>
      <c r="C51" t="n">
        <v>2</v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</row>
    <row r="52" ht="15" customHeight="1">
      <c r="A52" t="inlineStr">
        <is>
          <t>7A8</t>
        </is>
      </c>
      <c r="B52" t="inlineStr">
        <is>
          <t>S</t>
        </is>
      </c>
      <c r="C52" t="n">
        <v>3</v>
      </c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</row>
    <row r="53" ht="15" customHeight="1">
      <c r="A53" t="inlineStr">
        <is>
          <t>7A8</t>
        </is>
      </c>
      <c r="B53" t="inlineStr">
        <is>
          <t>S</t>
        </is>
      </c>
      <c r="C53" t="n">
        <v>4</v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</row>
    <row r="54" ht="15" customHeight="1">
      <c r="A54" t="inlineStr">
        <is>
          <t>7A8</t>
        </is>
      </c>
      <c r="B54" t="inlineStr">
        <is>
          <t>S</t>
        </is>
      </c>
      <c r="C54" t="n">
        <v>5</v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 ht="15" customHeight="1">
      <c r="A55" t="inlineStr">
        <is>
          <t>7A8</t>
        </is>
      </c>
      <c r="B55" t="inlineStr">
        <is>
          <t>C</t>
        </is>
      </c>
      <c r="C55" t="n">
        <v>1</v>
      </c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</row>
    <row r="56" ht="15" customHeight="1">
      <c r="A56" t="inlineStr">
        <is>
          <t>7A8</t>
        </is>
      </c>
      <c r="B56" t="inlineStr">
        <is>
          <t>C</t>
        </is>
      </c>
      <c r="C56" t="n">
        <v>2</v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</row>
    <row r="57" ht="15" customHeight="1">
      <c r="A57" t="inlineStr">
        <is>
          <t>7A8</t>
        </is>
      </c>
      <c r="B57" t="inlineStr">
        <is>
          <t>C</t>
        </is>
      </c>
      <c r="C57" t="n">
        <v>3</v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</row>
    <row r="58" ht="15" customHeight="1">
      <c r="A58" t="inlineStr">
        <is>
          <t>7A9</t>
        </is>
      </c>
      <c r="B58" t="inlineStr">
        <is>
          <t>S</t>
        </is>
      </c>
      <c r="C58" t="n">
        <v>1</v>
      </c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</row>
    <row r="59" ht="15" customHeight="1">
      <c r="A59" t="inlineStr">
        <is>
          <t>7A9</t>
        </is>
      </c>
      <c r="B59" t="inlineStr">
        <is>
          <t>S</t>
        </is>
      </c>
      <c r="C59" t="n">
        <v>2</v>
      </c>
      <c r="D59" t="inlineStr">
        <is>
          <t>x</t>
        </is>
      </c>
      <c r="E59" t="inlineStr">
        <is>
          <t>x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</row>
    <row r="60" ht="15" customHeight="1">
      <c r="A60" t="inlineStr">
        <is>
          <t>7A9</t>
        </is>
      </c>
      <c r="B60" t="inlineStr">
        <is>
          <t>S</t>
        </is>
      </c>
      <c r="C60" t="n">
        <v>3</v>
      </c>
      <c r="D60" t="inlineStr">
        <is>
          <t>x</t>
        </is>
      </c>
      <c r="E60" t="inlineStr">
        <is>
          <t>x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</row>
    <row r="61" ht="15" customHeight="1">
      <c r="A61" t="inlineStr">
        <is>
          <t>7A9</t>
        </is>
      </c>
      <c r="B61" t="inlineStr">
        <is>
          <t>S</t>
        </is>
      </c>
      <c r="C61" t="n">
        <v>4</v>
      </c>
      <c r="D61" t="inlineStr">
        <is>
          <t>x</t>
        </is>
      </c>
      <c r="E61" t="inlineStr">
        <is>
          <t>x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</row>
    <row r="62" ht="15" customHeight="1">
      <c r="A62" t="inlineStr">
        <is>
          <t>7A9</t>
        </is>
      </c>
      <c r="B62" t="inlineStr">
        <is>
          <t>S</t>
        </is>
      </c>
      <c r="C62" t="n">
        <v>5</v>
      </c>
      <c r="D62" t="inlineStr">
        <is>
          <t>x</t>
        </is>
      </c>
      <c r="E62" t="inlineStr">
        <is>
          <t>x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</row>
    <row r="63" ht="15" customHeight="1">
      <c r="A63" t="inlineStr">
        <is>
          <t>7A9</t>
        </is>
      </c>
      <c r="B63" t="inlineStr">
        <is>
          <t>C</t>
        </is>
      </c>
      <c r="C63" t="n">
        <v>1</v>
      </c>
      <c r="D63" t="inlineStr">
        <is>
          <t>x</t>
        </is>
      </c>
      <c r="E63" t="inlineStr">
        <is>
          <t>x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</row>
    <row r="64" ht="15" customHeight="1">
      <c r="A64" t="inlineStr">
        <is>
          <t>7A9</t>
        </is>
      </c>
      <c r="B64" t="inlineStr">
        <is>
          <t>C</t>
        </is>
      </c>
      <c r="C64" t="n">
        <v>2</v>
      </c>
      <c r="D64" t="inlineStr">
        <is>
          <t>x</t>
        </is>
      </c>
      <c r="E64" t="inlineStr">
        <is>
          <t>x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</row>
    <row r="65" ht="15" customHeight="1">
      <c r="A65" t="inlineStr">
        <is>
          <t>7A9</t>
        </is>
      </c>
      <c r="B65" t="inlineStr">
        <is>
          <t>C</t>
        </is>
      </c>
      <c r="C65" t="n">
        <v>3</v>
      </c>
      <c r="D65" t="inlineStr">
        <is>
          <t>x</t>
        </is>
      </c>
      <c r="E65" t="inlineStr">
        <is>
          <t>x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</row>
    <row r="66" ht="15" customHeight="1">
      <c r="A66" t="inlineStr">
        <is>
          <t>7A10</t>
        </is>
      </c>
      <c r="B66" t="inlineStr">
        <is>
          <t>S</t>
        </is>
      </c>
      <c r="C66" t="n">
        <v>1</v>
      </c>
      <c r="D66" t="inlineStr">
        <is>
          <t>x</t>
        </is>
      </c>
      <c r="E66" t="inlineStr">
        <is>
          <t>x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</row>
    <row r="67" ht="15" customHeight="1">
      <c r="A67" t="inlineStr">
        <is>
          <t>7A10</t>
        </is>
      </c>
      <c r="B67" t="inlineStr">
        <is>
          <t>S</t>
        </is>
      </c>
      <c r="C67" t="n">
        <v>2</v>
      </c>
      <c r="D67" t="inlineStr">
        <is>
          <t>x</t>
        </is>
      </c>
      <c r="E67" t="inlineStr">
        <is>
          <t>x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</row>
    <row r="68" ht="15" customHeight="1">
      <c r="A68" t="inlineStr">
        <is>
          <t>7A10</t>
        </is>
      </c>
      <c r="B68" t="inlineStr">
        <is>
          <t>S</t>
        </is>
      </c>
      <c r="C68" t="n">
        <v>3</v>
      </c>
      <c r="D68" t="inlineStr">
        <is>
          <t>x</t>
        </is>
      </c>
      <c r="E68" t="inlineStr">
        <is>
          <t>x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</row>
    <row r="69" ht="15" customHeight="1">
      <c r="A69" t="inlineStr">
        <is>
          <t>7A10</t>
        </is>
      </c>
      <c r="B69" t="inlineStr">
        <is>
          <t>S</t>
        </is>
      </c>
      <c r="C69" t="n">
        <v>4</v>
      </c>
      <c r="D69" t="inlineStr">
        <is>
          <t>x</t>
        </is>
      </c>
      <c r="E69" t="inlineStr">
        <is>
          <t>x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</row>
    <row r="70" ht="15" customHeight="1">
      <c r="A70" t="inlineStr">
        <is>
          <t>7A10</t>
        </is>
      </c>
      <c r="B70" t="inlineStr">
        <is>
          <t>S</t>
        </is>
      </c>
      <c r="C70" t="n">
        <v>5</v>
      </c>
      <c r="D70" t="inlineStr">
        <is>
          <t>x</t>
        </is>
      </c>
      <c r="E70" t="inlineStr">
        <is>
          <t>x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</row>
    <row r="71" ht="15" customHeight="1">
      <c r="A71" t="inlineStr">
        <is>
          <t>7A10</t>
        </is>
      </c>
      <c r="B71" t="inlineStr">
        <is>
          <t>C</t>
        </is>
      </c>
      <c r="C71" t="n">
        <v>1</v>
      </c>
      <c r="D71" t="inlineStr">
        <is>
          <t>x</t>
        </is>
      </c>
      <c r="E71" t="inlineStr">
        <is>
          <t>x</t>
        </is>
      </c>
      <c r="F71" t="inlineStr">
        <is>
          <t>x</t>
        </is>
      </c>
      <c r="G71" t="inlineStr">
        <is>
          <t>x</t>
        </is>
      </c>
      <c r="H71" t="inlineStr">
        <is>
          <t>x</t>
        </is>
      </c>
    </row>
    <row r="72" ht="15" customHeight="1">
      <c r="A72" t="inlineStr">
        <is>
          <t>7A10</t>
        </is>
      </c>
      <c r="B72" t="inlineStr">
        <is>
          <t>C</t>
        </is>
      </c>
      <c r="C72" t="n">
        <v>2</v>
      </c>
      <c r="D72" t="inlineStr">
        <is>
          <t>x</t>
        </is>
      </c>
      <c r="E72" t="inlineStr">
        <is>
          <t>x</t>
        </is>
      </c>
      <c r="F72" t="inlineStr">
        <is>
          <t>x</t>
        </is>
      </c>
      <c r="G72" t="inlineStr">
        <is>
          <t>x</t>
        </is>
      </c>
      <c r="H72" t="inlineStr">
        <is>
          <t>x</t>
        </is>
      </c>
    </row>
    <row r="73" ht="15" customHeight="1">
      <c r="A73" t="inlineStr">
        <is>
          <t>7A10</t>
        </is>
      </c>
      <c r="B73" t="inlineStr">
        <is>
          <t>C</t>
        </is>
      </c>
      <c r="C73" t="n">
        <v>3</v>
      </c>
      <c r="D73" t="inlineStr">
        <is>
          <t>x</t>
        </is>
      </c>
      <c r="E73" t="inlineStr">
        <is>
          <t>x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</row>
    <row r="74">
      <c r="A74" t="inlineStr">
        <is>
          <t>7A11</t>
        </is>
      </c>
      <c r="B74" t="inlineStr">
        <is>
          <t>S</t>
        </is>
      </c>
      <c r="C74" t="n">
        <v>1</v>
      </c>
      <c r="D74" t="inlineStr">
        <is>
          <t>x</t>
        </is>
      </c>
      <c r="E74" t="inlineStr">
        <is>
          <t>x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</row>
    <row r="75">
      <c r="A75" t="inlineStr">
        <is>
          <t>7A11</t>
        </is>
      </c>
      <c r="B75" t="inlineStr">
        <is>
          <t>S</t>
        </is>
      </c>
      <c r="C75" t="n">
        <v>2</v>
      </c>
      <c r="D75" t="inlineStr">
        <is>
          <t>x</t>
        </is>
      </c>
      <c r="E75" t="inlineStr">
        <is>
          <t>x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</row>
    <row r="76">
      <c r="A76" t="inlineStr">
        <is>
          <t>7A11</t>
        </is>
      </c>
      <c r="B76" t="inlineStr">
        <is>
          <t>S</t>
        </is>
      </c>
      <c r="C76" t="n">
        <v>3</v>
      </c>
      <c r="D76" t="inlineStr">
        <is>
          <t>x</t>
        </is>
      </c>
      <c r="E76" t="inlineStr">
        <is>
          <t>x</t>
        </is>
      </c>
      <c r="F76" t="inlineStr">
        <is>
          <t>x</t>
        </is>
      </c>
      <c r="G76" t="inlineStr">
        <is>
          <t>x</t>
        </is>
      </c>
      <c r="H76" t="inlineStr">
        <is>
          <t>x</t>
        </is>
      </c>
    </row>
    <row r="77">
      <c r="A77" t="inlineStr">
        <is>
          <t>7A11</t>
        </is>
      </c>
      <c r="B77" t="inlineStr">
        <is>
          <t>S</t>
        </is>
      </c>
      <c r="C77" t="n">
        <v>4</v>
      </c>
      <c r="D77" t="inlineStr">
        <is>
          <t>x</t>
        </is>
      </c>
      <c r="E77" t="inlineStr">
        <is>
          <t>x</t>
        </is>
      </c>
      <c r="F77" t="inlineStr">
        <is>
          <t>x</t>
        </is>
      </c>
      <c r="G77" t="inlineStr">
        <is>
          <t>x</t>
        </is>
      </c>
      <c r="H77" t="inlineStr">
        <is>
          <t>x</t>
        </is>
      </c>
    </row>
    <row r="78">
      <c r="A78" t="inlineStr">
        <is>
          <t>7A11</t>
        </is>
      </c>
      <c r="B78" t="inlineStr">
        <is>
          <t>S</t>
        </is>
      </c>
      <c r="C78" t="n">
        <v>5</v>
      </c>
      <c r="D78" t="inlineStr">
        <is>
          <t>x</t>
        </is>
      </c>
      <c r="E78" t="inlineStr">
        <is>
          <t>x</t>
        </is>
      </c>
      <c r="F78" t="inlineStr">
        <is>
          <t>x</t>
        </is>
      </c>
      <c r="G78" t="inlineStr">
        <is>
          <t>x</t>
        </is>
      </c>
      <c r="H78" t="inlineStr">
        <is>
          <t>x</t>
        </is>
      </c>
    </row>
    <row r="79">
      <c r="A79" t="inlineStr">
        <is>
          <t>7A11</t>
        </is>
      </c>
      <c r="B79" t="inlineStr">
        <is>
          <t>C</t>
        </is>
      </c>
      <c r="C79" t="n">
        <v>1</v>
      </c>
      <c r="D79" t="inlineStr">
        <is>
          <t>x</t>
        </is>
      </c>
      <c r="E79" t="inlineStr">
        <is>
          <t>x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</row>
    <row r="80">
      <c r="A80" t="inlineStr">
        <is>
          <t>7A11</t>
        </is>
      </c>
      <c r="B80" t="inlineStr">
        <is>
          <t>C</t>
        </is>
      </c>
      <c r="C80" t="n">
        <v>2</v>
      </c>
      <c r="D80" t="inlineStr">
        <is>
          <t>x</t>
        </is>
      </c>
      <c r="E80" t="inlineStr">
        <is>
          <t>x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</row>
    <row r="81">
      <c r="A81" t="inlineStr">
        <is>
          <t>7A11</t>
        </is>
      </c>
      <c r="B81" t="inlineStr">
        <is>
          <t>C</t>
        </is>
      </c>
      <c r="C81" t="n">
        <v>3</v>
      </c>
      <c r="D81" t="inlineStr">
        <is>
          <t>x</t>
        </is>
      </c>
      <c r="E81" t="inlineStr">
        <is>
          <t>x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</row>
    <row r="82">
      <c r="A82" t="inlineStr">
        <is>
          <t>8A7</t>
        </is>
      </c>
      <c r="B82" t="inlineStr">
        <is>
          <t>S</t>
        </is>
      </c>
      <c r="C82" t="n">
        <v>1</v>
      </c>
      <c r="D82" t="inlineStr">
        <is>
          <t>x</t>
        </is>
      </c>
      <c r="E82" t="inlineStr">
        <is>
          <t>x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</row>
    <row r="83">
      <c r="A83" t="inlineStr">
        <is>
          <t>8A7</t>
        </is>
      </c>
      <c r="B83" t="inlineStr">
        <is>
          <t>S</t>
        </is>
      </c>
      <c r="C83" t="n">
        <v>2</v>
      </c>
      <c r="D83" t="inlineStr">
        <is>
          <t>x</t>
        </is>
      </c>
      <c r="E83" t="inlineStr">
        <is>
          <t>x</t>
        </is>
      </c>
      <c r="F83" t="inlineStr">
        <is>
          <t>x</t>
        </is>
      </c>
      <c r="G83" t="inlineStr">
        <is>
          <t>x</t>
        </is>
      </c>
      <c r="H83" t="inlineStr">
        <is>
          <t>x</t>
        </is>
      </c>
    </row>
    <row r="84">
      <c r="A84" t="inlineStr">
        <is>
          <t>8A7</t>
        </is>
      </c>
      <c r="B84" t="inlineStr">
        <is>
          <t>S</t>
        </is>
      </c>
      <c r="C84" t="n">
        <v>3</v>
      </c>
      <c r="D84" t="inlineStr">
        <is>
          <t>x</t>
        </is>
      </c>
      <c r="E84" t="inlineStr">
        <is>
          <t>x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</row>
    <row r="85">
      <c r="A85" t="inlineStr">
        <is>
          <t>8A7</t>
        </is>
      </c>
      <c r="B85" t="inlineStr">
        <is>
          <t>S</t>
        </is>
      </c>
      <c r="C85" t="n">
        <v>4</v>
      </c>
      <c r="D85" t="inlineStr">
        <is>
          <t>x</t>
        </is>
      </c>
      <c r="E85" t="inlineStr">
        <is>
          <t>x</t>
        </is>
      </c>
      <c r="F85" t="inlineStr">
        <is>
          <t>x</t>
        </is>
      </c>
      <c r="G85" t="inlineStr">
        <is>
          <t>x</t>
        </is>
      </c>
      <c r="H85" t="inlineStr">
        <is>
          <t>x</t>
        </is>
      </c>
    </row>
    <row r="86">
      <c r="A86" t="inlineStr">
        <is>
          <t>8A7</t>
        </is>
      </c>
      <c r="B86" t="inlineStr">
        <is>
          <t>S</t>
        </is>
      </c>
      <c r="C86" t="n">
        <v>5</v>
      </c>
      <c r="D86" t="inlineStr">
        <is>
          <t>x</t>
        </is>
      </c>
      <c r="E86" t="inlineStr">
        <is>
          <t>x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</row>
    <row r="87">
      <c r="A87" t="inlineStr">
        <is>
          <t>8A7</t>
        </is>
      </c>
      <c r="B87" t="inlineStr">
        <is>
          <t>C</t>
        </is>
      </c>
      <c r="C87" t="n">
        <v>1</v>
      </c>
      <c r="D87" t="inlineStr">
        <is>
          <t>x</t>
        </is>
      </c>
      <c r="E87" t="inlineStr">
        <is>
          <t>x</t>
        </is>
      </c>
      <c r="F87" t="inlineStr">
        <is>
          <t>x</t>
        </is>
      </c>
      <c r="G87" t="inlineStr">
        <is>
          <t>x</t>
        </is>
      </c>
      <c r="H87" t="inlineStr">
        <is>
          <t>x</t>
        </is>
      </c>
    </row>
    <row r="88">
      <c r="A88" t="inlineStr">
        <is>
          <t>8A7</t>
        </is>
      </c>
      <c r="B88" t="inlineStr">
        <is>
          <t>C</t>
        </is>
      </c>
      <c r="C88" t="n">
        <v>2</v>
      </c>
      <c r="D88" t="inlineStr">
        <is>
          <t>x</t>
        </is>
      </c>
      <c r="E88" t="inlineStr">
        <is>
          <t>x</t>
        </is>
      </c>
      <c r="F88" t="inlineStr">
        <is>
          <t>x</t>
        </is>
      </c>
      <c r="G88" t="inlineStr">
        <is>
          <t>x</t>
        </is>
      </c>
      <c r="H88" t="inlineStr">
        <is>
          <t>x</t>
        </is>
      </c>
    </row>
    <row r="89">
      <c r="A89" t="inlineStr">
        <is>
          <t>8A7</t>
        </is>
      </c>
      <c r="B89" t="inlineStr">
        <is>
          <t>C</t>
        </is>
      </c>
      <c r="C89" t="n">
        <v>3</v>
      </c>
      <c r="D89" t="inlineStr">
        <is>
          <t>x</t>
        </is>
      </c>
      <c r="E89" t="inlineStr">
        <is>
          <t>x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</row>
    <row r="90">
      <c r="A90" t="inlineStr">
        <is>
          <t>8A8</t>
        </is>
      </c>
      <c r="B90" t="inlineStr">
        <is>
          <t>S</t>
        </is>
      </c>
      <c r="C90" t="n">
        <v>1</v>
      </c>
      <c r="D90" t="inlineStr">
        <is>
          <t>x</t>
        </is>
      </c>
      <c r="E90" t="inlineStr">
        <is>
          <t>x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</row>
    <row r="91">
      <c r="A91" t="inlineStr">
        <is>
          <t>8A8</t>
        </is>
      </c>
      <c r="B91" t="inlineStr">
        <is>
          <t>S</t>
        </is>
      </c>
      <c r="C91" t="n">
        <v>2</v>
      </c>
      <c r="D91" t="inlineStr">
        <is>
          <t>x</t>
        </is>
      </c>
      <c r="E91" t="inlineStr">
        <is>
          <t>x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</row>
    <row r="92">
      <c r="A92" t="inlineStr">
        <is>
          <t>8A8</t>
        </is>
      </c>
      <c r="B92" t="inlineStr">
        <is>
          <t>S</t>
        </is>
      </c>
      <c r="C92" t="n">
        <v>3</v>
      </c>
      <c r="D92" t="inlineStr">
        <is>
          <t>x</t>
        </is>
      </c>
      <c r="E92" t="inlineStr">
        <is>
          <t>x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</row>
    <row r="93">
      <c r="A93" t="inlineStr">
        <is>
          <t>8A8</t>
        </is>
      </c>
      <c r="B93" t="inlineStr">
        <is>
          <t>S</t>
        </is>
      </c>
      <c r="C93" t="n">
        <v>4</v>
      </c>
      <c r="D93" t="inlineStr">
        <is>
          <t>x</t>
        </is>
      </c>
      <c r="E93" t="inlineStr">
        <is>
          <t>x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</row>
    <row r="94">
      <c r="A94" t="inlineStr">
        <is>
          <t>8A8</t>
        </is>
      </c>
      <c r="B94" t="inlineStr">
        <is>
          <t>S</t>
        </is>
      </c>
      <c r="C94" t="n">
        <v>5</v>
      </c>
      <c r="D94" t="inlineStr">
        <is>
          <t>x</t>
        </is>
      </c>
      <c r="E94" t="inlineStr">
        <is>
          <t>x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</row>
    <row r="95">
      <c r="A95" t="inlineStr">
        <is>
          <t>8A8</t>
        </is>
      </c>
      <c r="B95" t="inlineStr">
        <is>
          <t>C</t>
        </is>
      </c>
      <c r="C95" t="n">
        <v>1</v>
      </c>
      <c r="D95" t="inlineStr">
        <is>
          <t>x</t>
        </is>
      </c>
      <c r="E95" t="inlineStr">
        <is>
          <t>x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</row>
    <row r="96">
      <c r="A96" t="inlineStr">
        <is>
          <t>8A8</t>
        </is>
      </c>
      <c r="B96" t="inlineStr">
        <is>
          <t>C</t>
        </is>
      </c>
      <c r="C96" t="n">
        <v>2</v>
      </c>
      <c r="D96" t="inlineStr">
        <is>
          <t>x</t>
        </is>
      </c>
      <c r="E96" t="inlineStr">
        <is>
          <t>x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</row>
    <row r="97">
      <c r="A97" t="inlineStr">
        <is>
          <t>8A8</t>
        </is>
      </c>
      <c r="B97" t="inlineStr">
        <is>
          <t>C</t>
        </is>
      </c>
      <c r="C97" t="n">
        <v>3</v>
      </c>
      <c r="D97" t="inlineStr">
        <is>
          <t>x</t>
        </is>
      </c>
      <c r="E97" t="inlineStr">
        <is>
          <t>x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</row>
    <row r="98">
      <c r="A98" t="inlineStr">
        <is>
          <t>8A9</t>
        </is>
      </c>
      <c r="B98" t="inlineStr">
        <is>
          <t>S</t>
        </is>
      </c>
      <c r="C98" t="n">
        <v>1</v>
      </c>
      <c r="D98" t="inlineStr">
        <is>
          <t>x</t>
        </is>
      </c>
      <c r="E98" t="inlineStr">
        <is>
          <t>x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</row>
    <row r="99">
      <c r="A99" t="inlineStr">
        <is>
          <t>8A9</t>
        </is>
      </c>
      <c r="B99" t="inlineStr">
        <is>
          <t>S</t>
        </is>
      </c>
      <c r="C99" t="n">
        <v>2</v>
      </c>
      <c r="D99" t="inlineStr">
        <is>
          <t>x</t>
        </is>
      </c>
      <c r="E99" t="inlineStr">
        <is>
          <t>x</t>
        </is>
      </c>
      <c r="F99" t="inlineStr">
        <is>
          <t>x</t>
        </is>
      </c>
      <c r="G99" t="inlineStr">
        <is>
          <t>x</t>
        </is>
      </c>
      <c r="H99" t="inlineStr">
        <is>
          <t>x</t>
        </is>
      </c>
    </row>
    <row r="100">
      <c r="A100" t="inlineStr">
        <is>
          <t>8A9</t>
        </is>
      </c>
      <c r="B100" t="inlineStr">
        <is>
          <t>S</t>
        </is>
      </c>
      <c r="C100" t="n">
        <v>3</v>
      </c>
      <c r="D100" t="inlineStr">
        <is>
          <t>x</t>
        </is>
      </c>
      <c r="E100" t="inlineStr">
        <is>
          <t>x</t>
        </is>
      </c>
      <c r="F100" t="inlineStr">
        <is>
          <t>x</t>
        </is>
      </c>
      <c r="G100" t="inlineStr">
        <is>
          <t>x</t>
        </is>
      </c>
      <c r="H100" t="inlineStr">
        <is>
          <t>x</t>
        </is>
      </c>
    </row>
    <row r="101">
      <c r="A101" t="inlineStr">
        <is>
          <t>8A9</t>
        </is>
      </c>
      <c r="B101" t="inlineStr">
        <is>
          <t>S</t>
        </is>
      </c>
      <c r="C101" t="n">
        <v>4</v>
      </c>
      <c r="D101" t="inlineStr">
        <is>
          <t>x</t>
        </is>
      </c>
      <c r="E101" t="inlineStr">
        <is>
          <t>x</t>
        </is>
      </c>
      <c r="F101" t="inlineStr">
        <is>
          <t>x</t>
        </is>
      </c>
      <c r="G101" t="inlineStr">
        <is>
          <t>x</t>
        </is>
      </c>
      <c r="H101" t="inlineStr">
        <is>
          <t>x</t>
        </is>
      </c>
    </row>
    <row r="102">
      <c r="A102" t="inlineStr">
        <is>
          <t>8A9</t>
        </is>
      </c>
      <c r="B102" t="inlineStr">
        <is>
          <t>S</t>
        </is>
      </c>
      <c r="C102" t="n">
        <v>5</v>
      </c>
      <c r="D102" t="inlineStr">
        <is>
          <t>x</t>
        </is>
      </c>
      <c r="E102" t="inlineStr">
        <is>
          <t>x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</row>
    <row r="103">
      <c r="A103" t="inlineStr">
        <is>
          <t>8A9</t>
        </is>
      </c>
      <c r="B103" t="inlineStr">
        <is>
          <t>C</t>
        </is>
      </c>
      <c r="C103" t="n">
        <v>1</v>
      </c>
      <c r="D103" t="inlineStr">
        <is>
          <t>x</t>
        </is>
      </c>
      <c r="E103" t="inlineStr">
        <is>
          <t>x</t>
        </is>
      </c>
      <c r="F103" t="inlineStr">
        <is>
          <t>x</t>
        </is>
      </c>
      <c r="G103" t="inlineStr">
        <is>
          <t>x</t>
        </is>
      </c>
      <c r="H103" t="inlineStr">
        <is>
          <t>x</t>
        </is>
      </c>
    </row>
    <row r="104">
      <c r="A104" t="inlineStr">
        <is>
          <t>8A9</t>
        </is>
      </c>
      <c r="B104" t="inlineStr">
        <is>
          <t>C</t>
        </is>
      </c>
      <c r="C104" t="n">
        <v>2</v>
      </c>
      <c r="D104" t="inlineStr">
        <is>
          <t>x</t>
        </is>
      </c>
      <c r="E104" t="inlineStr">
        <is>
          <t>x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</row>
    <row r="105">
      <c r="A105" t="inlineStr">
        <is>
          <t>8A9</t>
        </is>
      </c>
      <c r="B105" t="inlineStr">
        <is>
          <t>C</t>
        </is>
      </c>
      <c r="C105" t="n">
        <v>3</v>
      </c>
      <c r="D105" t="inlineStr">
        <is>
          <t>x</t>
        </is>
      </c>
      <c r="E105" t="inlineStr">
        <is>
          <t>x</t>
        </is>
      </c>
      <c r="F105" t="inlineStr">
        <is>
          <t>x</t>
        </is>
      </c>
      <c r="G105" t="inlineStr">
        <is>
          <t>x</t>
        </is>
      </c>
      <c r="H105" t="inlineStr">
        <is>
          <t>x</t>
        </is>
      </c>
    </row>
    <row r="106">
      <c r="A106" t="inlineStr">
        <is>
          <t>8A10</t>
        </is>
      </c>
      <c r="B106" t="inlineStr">
        <is>
          <t>S</t>
        </is>
      </c>
      <c r="C106" t="n">
        <v>1</v>
      </c>
      <c r="D106" t="inlineStr">
        <is>
          <t>x</t>
        </is>
      </c>
      <c r="E106" t="inlineStr">
        <is>
          <t>x</t>
        </is>
      </c>
      <c r="F106" t="inlineStr">
        <is>
          <t>x</t>
        </is>
      </c>
      <c r="G106" t="inlineStr">
        <is>
          <t>x</t>
        </is>
      </c>
      <c r="H106" t="inlineStr">
        <is>
          <t>x</t>
        </is>
      </c>
    </row>
    <row r="107">
      <c r="A107" t="inlineStr">
        <is>
          <t>8A10</t>
        </is>
      </c>
      <c r="B107" t="inlineStr">
        <is>
          <t>S</t>
        </is>
      </c>
      <c r="C107" t="n">
        <v>2</v>
      </c>
      <c r="D107" t="inlineStr">
        <is>
          <t>x</t>
        </is>
      </c>
      <c r="E107" t="inlineStr">
        <is>
          <t>x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</row>
    <row r="108">
      <c r="A108" t="inlineStr">
        <is>
          <t>8A10</t>
        </is>
      </c>
      <c r="B108" t="inlineStr">
        <is>
          <t>S</t>
        </is>
      </c>
      <c r="C108" t="n">
        <v>3</v>
      </c>
      <c r="D108" t="inlineStr">
        <is>
          <t>x</t>
        </is>
      </c>
      <c r="E108" t="inlineStr">
        <is>
          <t>x</t>
        </is>
      </c>
      <c r="F108" t="inlineStr">
        <is>
          <t>x</t>
        </is>
      </c>
      <c r="G108" t="inlineStr">
        <is>
          <t>x</t>
        </is>
      </c>
      <c r="H108" t="inlineStr">
        <is>
          <t>x</t>
        </is>
      </c>
    </row>
    <row r="109">
      <c r="A109" t="inlineStr">
        <is>
          <t>8A10</t>
        </is>
      </c>
      <c r="B109" t="inlineStr">
        <is>
          <t>S</t>
        </is>
      </c>
      <c r="C109" t="n">
        <v>4</v>
      </c>
      <c r="D109" t="inlineStr">
        <is>
          <t>x</t>
        </is>
      </c>
      <c r="E109" t="inlineStr">
        <is>
          <t>x</t>
        </is>
      </c>
      <c r="F109" t="inlineStr">
        <is>
          <t>x</t>
        </is>
      </c>
      <c r="G109" t="inlineStr">
        <is>
          <t>x</t>
        </is>
      </c>
      <c r="H109" t="inlineStr">
        <is>
          <t>x</t>
        </is>
      </c>
    </row>
    <row r="110">
      <c r="A110" t="inlineStr">
        <is>
          <t>8A10</t>
        </is>
      </c>
      <c r="B110" t="inlineStr">
        <is>
          <t>S</t>
        </is>
      </c>
      <c r="C110" t="n">
        <v>5</v>
      </c>
      <c r="D110" t="inlineStr">
        <is>
          <t>x</t>
        </is>
      </c>
      <c r="E110" t="inlineStr">
        <is>
          <t>x</t>
        </is>
      </c>
      <c r="F110" t="inlineStr">
        <is>
          <t>x</t>
        </is>
      </c>
      <c r="G110" t="inlineStr">
        <is>
          <t>x</t>
        </is>
      </c>
      <c r="H110" t="inlineStr">
        <is>
          <t>x</t>
        </is>
      </c>
    </row>
    <row r="111">
      <c r="A111" t="inlineStr">
        <is>
          <t>8A10</t>
        </is>
      </c>
      <c r="B111" t="inlineStr">
        <is>
          <t>C</t>
        </is>
      </c>
      <c r="C111" t="n">
        <v>1</v>
      </c>
      <c r="D111" t="inlineStr">
        <is>
          <t>x</t>
        </is>
      </c>
      <c r="E111" t="inlineStr">
        <is>
          <t>x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</row>
    <row r="112">
      <c r="A112" t="inlineStr">
        <is>
          <t>8A10</t>
        </is>
      </c>
      <c r="B112" t="inlineStr">
        <is>
          <t>C</t>
        </is>
      </c>
      <c r="C112" t="n">
        <v>2</v>
      </c>
      <c r="D112" t="inlineStr">
        <is>
          <t>x</t>
        </is>
      </c>
      <c r="E112" t="inlineStr">
        <is>
          <t>x</t>
        </is>
      </c>
      <c r="F112" t="inlineStr">
        <is>
          <t>x</t>
        </is>
      </c>
      <c r="G112" t="inlineStr">
        <is>
          <t>x</t>
        </is>
      </c>
      <c r="H112" t="inlineStr">
        <is>
          <t>x</t>
        </is>
      </c>
    </row>
    <row r="113">
      <c r="A113" t="inlineStr">
        <is>
          <t>8A10</t>
        </is>
      </c>
      <c r="B113" t="inlineStr">
        <is>
          <t>C</t>
        </is>
      </c>
      <c r="C113" t="n">
        <v>3</v>
      </c>
      <c r="D113" t="inlineStr">
        <is>
          <t>x</t>
        </is>
      </c>
      <c r="E113" t="inlineStr">
        <is>
          <t>x</t>
        </is>
      </c>
      <c r="F113" t="inlineStr">
        <is>
          <t>x</t>
        </is>
      </c>
      <c r="G113" t="inlineStr">
        <is>
          <t>x</t>
        </is>
      </c>
      <c r="H113" t="inlineStr">
        <is>
          <t>x</t>
        </is>
      </c>
    </row>
    <row r="114">
      <c r="A114" t="inlineStr">
        <is>
          <t>8A11</t>
        </is>
      </c>
      <c r="B114" t="inlineStr">
        <is>
          <t>S</t>
        </is>
      </c>
      <c r="C114" t="n">
        <v>1</v>
      </c>
      <c r="D114" t="inlineStr">
        <is>
          <t>x</t>
        </is>
      </c>
      <c r="E114" t="inlineStr">
        <is>
          <t>x</t>
        </is>
      </c>
      <c r="F114" t="inlineStr">
        <is>
          <t>x</t>
        </is>
      </c>
      <c r="G114" t="inlineStr">
        <is>
          <t>x</t>
        </is>
      </c>
      <c r="H114" t="inlineStr">
        <is>
          <t>x</t>
        </is>
      </c>
    </row>
    <row r="115">
      <c r="A115" t="inlineStr">
        <is>
          <t>8A11</t>
        </is>
      </c>
      <c r="B115" t="inlineStr">
        <is>
          <t>S</t>
        </is>
      </c>
      <c r="C115" t="n">
        <v>2</v>
      </c>
      <c r="D115" t="inlineStr">
        <is>
          <t>x</t>
        </is>
      </c>
      <c r="E115" t="inlineStr">
        <is>
          <t>x</t>
        </is>
      </c>
      <c r="F115" t="inlineStr">
        <is>
          <t>x</t>
        </is>
      </c>
      <c r="G115" t="inlineStr">
        <is>
          <t>x</t>
        </is>
      </c>
      <c r="H115" t="inlineStr">
        <is>
          <t>x</t>
        </is>
      </c>
    </row>
    <row r="116">
      <c r="A116" t="inlineStr">
        <is>
          <t>8A11</t>
        </is>
      </c>
      <c r="B116" t="inlineStr">
        <is>
          <t>S</t>
        </is>
      </c>
      <c r="C116" t="n">
        <v>3</v>
      </c>
      <c r="D116" t="inlineStr">
        <is>
          <t>x</t>
        </is>
      </c>
      <c r="E116" t="inlineStr">
        <is>
          <t>x</t>
        </is>
      </c>
      <c r="F116" t="inlineStr">
        <is>
          <t>x</t>
        </is>
      </c>
      <c r="G116" t="inlineStr">
        <is>
          <t>x</t>
        </is>
      </c>
      <c r="H116" t="inlineStr">
        <is>
          <t>x</t>
        </is>
      </c>
    </row>
    <row r="117">
      <c r="A117" t="inlineStr">
        <is>
          <t>8A11</t>
        </is>
      </c>
      <c r="B117" t="inlineStr">
        <is>
          <t>S</t>
        </is>
      </c>
      <c r="C117" t="n">
        <v>4</v>
      </c>
      <c r="D117" t="inlineStr">
        <is>
          <t>x</t>
        </is>
      </c>
      <c r="E117" t="inlineStr">
        <is>
          <t>x</t>
        </is>
      </c>
      <c r="F117" t="inlineStr">
        <is>
          <t>x</t>
        </is>
      </c>
      <c r="G117" t="inlineStr">
        <is>
          <t>x</t>
        </is>
      </c>
      <c r="H117" t="inlineStr">
        <is>
          <t>x</t>
        </is>
      </c>
    </row>
    <row r="118">
      <c r="A118" t="inlineStr">
        <is>
          <t>8A11</t>
        </is>
      </c>
      <c r="B118" t="inlineStr">
        <is>
          <t>S</t>
        </is>
      </c>
      <c r="C118" t="n">
        <v>5</v>
      </c>
      <c r="D118" t="inlineStr">
        <is>
          <t>x</t>
        </is>
      </c>
      <c r="E118" t="inlineStr">
        <is>
          <t>x</t>
        </is>
      </c>
      <c r="F118" t="inlineStr">
        <is>
          <t>x</t>
        </is>
      </c>
      <c r="G118" t="inlineStr">
        <is>
          <t>x</t>
        </is>
      </c>
      <c r="H118" t="inlineStr">
        <is>
          <t>x</t>
        </is>
      </c>
    </row>
    <row r="119">
      <c r="A119" t="inlineStr">
        <is>
          <t>8A11</t>
        </is>
      </c>
      <c r="B119" t="inlineStr">
        <is>
          <t>C</t>
        </is>
      </c>
      <c r="C119" t="n">
        <v>1</v>
      </c>
      <c r="D119" t="inlineStr">
        <is>
          <t>x</t>
        </is>
      </c>
      <c r="E119" t="inlineStr">
        <is>
          <t>x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</row>
    <row r="120">
      <c r="A120" t="inlineStr">
        <is>
          <t>8A11</t>
        </is>
      </c>
      <c r="B120" t="inlineStr">
        <is>
          <t>C</t>
        </is>
      </c>
      <c r="C120" t="n">
        <v>2</v>
      </c>
      <c r="D120" t="inlineStr">
        <is>
          <t>x</t>
        </is>
      </c>
      <c r="E120" t="inlineStr">
        <is>
          <t>x</t>
        </is>
      </c>
      <c r="F120" t="inlineStr">
        <is>
          <t>x</t>
        </is>
      </c>
      <c r="G120" t="inlineStr">
        <is>
          <t>x</t>
        </is>
      </c>
      <c r="H120" t="inlineStr">
        <is>
          <t>x</t>
        </is>
      </c>
    </row>
    <row r="121">
      <c r="A121" t="inlineStr">
        <is>
          <t>8A11</t>
        </is>
      </c>
      <c r="B121" t="inlineStr">
        <is>
          <t>C</t>
        </is>
      </c>
      <c r="C121" t="n">
        <v>3</v>
      </c>
      <c r="D121" t="inlineStr">
        <is>
          <t>x</t>
        </is>
      </c>
      <c r="E121" t="inlineStr">
        <is>
          <t>x</t>
        </is>
      </c>
      <c r="F121" t="inlineStr">
        <is>
          <t>x</t>
        </is>
      </c>
      <c r="G121" t="inlineStr">
        <is>
          <t>x</t>
        </is>
      </c>
      <c r="H121" t="inlineStr">
        <is>
          <t>x</t>
        </is>
      </c>
    </row>
    <row r="122">
      <c r="A122" t="inlineStr">
        <is>
          <t>9A8</t>
        </is>
      </c>
      <c r="B122" t="inlineStr">
        <is>
          <t>S</t>
        </is>
      </c>
      <c r="C122" t="n">
        <v>1</v>
      </c>
      <c r="D122" t="inlineStr">
        <is>
          <t>x</t>
        </is>
      </c>
      <c r="E122" t="inlineStr">
        <is>
          <t>x</t>
        </is>
      </c>
      <c r="F122" t="inlineStr">
        <is>
          <t>x</t>
        </is>
      </c>
      <c r="G122" t="inlineStr">
        <is>
          <t>x</t>
        </is>
      </c>
      <c r="H122" t="inlineStr">
        <is>
          <t>x</t>
        </is>
      </c>
    </row>
    <row r="123">
      <c r="A123" t="inlineStr">
        <is>
          <t>9A8</t>
        </is>
      </c>
      <c r="B123" t="inlineStr">
        <is>
          <t>S</t>
        </is>
      </c>
      <c r="C123" t="n">
        <v>2</v>
      </c>
      <c r="D123" t="inlineStr">
        <is>
          <t>x</t>
        </is>
      </c>
      <c r="E123" t="inlineStr">
        <is>
          <t>x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</row>
    <row r="124">
      <c r="A124" t="inlineStr">
        <is>
          <t>9A8</t>
        </is>
      </c>
      <c r="B124" t="inlineStr">
        <is>
          <t>S</t>
        </is>
      </c>
      <c r="C124" t="n">
        <v>3</v>
      </c>
      <c r="D124" t="inlineStr">
        <is>
          <t>x</t>
        </is>
      </c>
      <c r="E124" t="inlineStr">
        <is>
          <t>x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</row>
    <row r="125">
      <c r="A125" t="inlineStr">
        <is>
          <t>9A8</t>
        </is>
      </c>
      <c r="B125" t="inlineStr">
        <is>
          <t>S</t>
        </is>
      </c>
      <c r="C125" t="n">
        <v>4</v>
      </c>
      <c r="D125" t="inlineStr">
        <is>
          <t>x</t>
        </is>
      </c>
      <c r="E125" t="inlineStr">
        <is>
          <t>x</t>
        </is>
      </c>
      <c r="F125" t="inlineStr">
        <is>
          <t>x</t>
        </is>
      </c>
      <c r="G125" t="inlineStr">
        <is>
          <t>x</t>
        </is>
      </c>
      <c r="H125" t="inlineStr">
        <is>
          <t>x</t>
        </is>
      </c>
    </row>
    <row r="126">
      <c r="A126" t="inlineStr">
        <is>
          <t>9A8</t>
        </is>
      </c>
      <c r="B126" t="inlineStr">
        <is>
          <t>S</t>
        </is>
      </c>
      <c r="C126" t="n">
        <v>5</v>
      </c>
      <c r="D126" t="inlineStr">
        <is>
          <t>x</t>
        </is>
      </c>
      <c r="E126" t="inlineStr">
        <is>
          <t>x</t>
        </is>
      </c>
      <c r="F126" t="inlineStr">
        <is>
          <t>x</t>
        </is>
      </c>
      <c r="G126" t="inlineStr">
        <is>
          <t>x</t>
        </is>
      </c>
      <c r="H126" t="inlineStr">
        <is>
          <t>x</t>
        </is>
      </c>
    </row>
    <row r="127">
      <c r="A127" t="inlineStr">
        <is>
          <t>9A8</t>
        </is>
      </c>
      <c r="B127" t="inlineStr">
        <is>
          <t>C</t>
        </is>
      </c>
      <c r="C127" t="n">
        <v>1</v>
      </c>
      <c r="D127" t="inlineStr">
        <is>
          <t>x</t>
        </is>
      </c>
      <c r="E127" t="inlineStr">
        <is>
          <t>x</t>
        </is>
      </c>
      <c r="F127" t="inlineStr">
        <is>
          <t>x</t>
        </is>
      </c>
      <c r="G127" t="inlineStr">
        <is>
          <t>x</t>
        </is>
      </c>
      <c r="H127" t="inlineStr">
        <is>
          <t>x</t>
        </is>
      </c>
    </row>
    <row r="128">
      <c r="A128" t="inlineStr">
        <is>
          <t>9A8</t>
        </is>
      </c>
      <c r="B128" t="inlineStr">
        <is>
          <t>C</t>
        </is>
      </c>
      <c r="C128" t="n">
        <v>2</v>
      </c>
      <c r="D128" t="inlineStr">
        <is>
          <t>x</t>
        </is>
      </c>
      <c r="E128" t="inlineStr">
        <is>
          <t>x</t>
        </is>
      </c>
      <c r="F128" t="inlineStr">
        <is>
          <t>x</t>
        </is>
      </c>
      <c r="G128" t="inlineStr">
        <is>
          <t>x</t>
        </is>
      </c>
      <c r="H128" t="inlineStr">
        <is>
          <t>x</t>
        </is>
      </c>
    </row>
    <row r="129">
      <c r="A129" t="inlineStr">
        <is>
          <t>9A8</t>
        </is>
      </c>
      <c r="B129" t="inlineStr">
        <is>
          <t>C</t>
        </is>
      </c>
      <c r="C129" t="n">
        <v>3</v>
      </c>
      <c r="D129" t="inlineStr">
        <is>
          <t>x</t>
        </is>
      </c>
      <c r="E129" t="inlineStr">
        <is>
          <t>x</t>
        </is>
      </c>
      <c r="F129" t="inlineStr">
        <is>
          <t>x</t>
        </is>
      </c>
      <c r="G129" t="inlineStr">
        <is>
          <t>x</t>
        </is>
      </c>
      <c r="H129" t="inlineStr">
        <is>
          <t>x</t>
        </is>
      </c>
    </row>
    <row r="130">
      <c r="A130" t="inlineStr">
        <is>
          <t>9A9</t>
        </is>
      </c>
      <c r="B130" t="inlineStr">
        <is>
          <t>S</t>
        </is>
      </c>
      <c r="C130" t="n">
        <v>1</v>
      </c>
      <c r="D130" t="inlineStr">
        <is>
          <t>x</t>
        </is>
      </c>
      <c r="E130" t="inlineStr">
        <is>
          <t>x</t>
        </is>
      </c>
      <c r="F130" t="inlineStr">
        <is>
          <t>x</t>
        </is>
      </c>
      <c r="G130" t="inlineStr">
        <is>
          <t>x</t>
        </is>
      </c>
      <c r="H130" t="inlineStr">
        <is>
          <t>x</t>
        </is>
      </c>
    </row>
    <row r="131">
      <c r="A131" t="inlineStr">
        <is>
          <t>9A9</t>
        </is>
      </c>
      <c r="B131" t="inlineStr">
        <is>
          <t>S</t>
        </is>
      </c>
      <c r="C131" t="n">
        <v>2</v>
      </c>
      <c r="D131" t="inlineStr">
        <is>
          <t>x</t>
        </is>
      </c>
      <c r="E131" t="inlineStr">
        <is>
          <t>x</t>
        </is>
      </c>
      <c r="F131" t="inlineStr">
        <is>
          <t>x</t>
        </is>
      </c>
      <c r="G131" t="inlineStr">
        <is>
          <t>x</t>
        </is>
      </c>
      <c r="H131" t="inlineStr">
        <is>
          <t>x</t>
        </is>
      </c>
    </row>
    <row r="132">
      <c r="A132" t="inlineStr">
        <is>
          <t>9A9</t>
        </is>
      </c>
      <c r="B132" t="inlineStr">
        <is>
          <t>S</t>
        </is>
      </c>
      <c r="C132" t="n">
        <v>3</v>
      </c>
      <c r="D132" t="inlineStr">
        <is>
          <t>x</t>
        </is>
      </c>
      <c r="E132" t="inlineStr">
        <is>
          <t>x</t>
        </is>
      </c>
      <c r="F132" t="inlineStr">
        <is>
          <t>x</t>
        </is>
      </c>
      <c r="G132" t="inlineStr">
        <is>
          <t>x</t>
        </is>
      </c>
      <c r="H132" t="inlineStr">
        <is>
          <t>x</t>
        </is>
      </c>
    </row>
    <row r="133">
      <c r="A133" t="inlineStr">
        <is>
          <t>9A9</t>
        </is>
      </c>
      <c r="B133" t="inlineStr">
        <is>
          <t>S</t>
        </is>
      </c>
      <c r="C133" t="n">
        <v>4</v>
      </c>
      <c r="D133" t="inlineStr">
        <is>
          <t>x</t>
        </is>
      </c>
      <c r="E133" t="inlineStr">
        <is>
          <t>x</t>
        </is>
      </c>
      <c r="F133" t="inlineStr">
        <is>
          <t>x</t>
        </is>
      </c>
      <c r="G133" t="inlineStr">
        <is>
          <t>x</t>
        </is>
      </c>
      <c r="H133" t="inlineStr">
        <is>
          <t>x</t>
        </is>
      </c>
    </row>
    <row r="134">
      <c r="A134" t="inlineStr">
        <is>
          <t>9A9</t>
        </is>
      </c>
      <c r="B134" t="inlineStr">
        <is>
          <t>S</t>
        </is>
      </c>
      <c r="C134" t="n">
        <v>5</v>
      </c>
      <c r="D134" t="inlineStr">
        <is>
          <t>x</t>
        </is>
      </c>
      <c r="E134" t="inlineStr">
        <is>
          <t>x</t>
        </is>
      </c>
      <c r="F134" t="inlineStr">
        <is>
          <t>x</t>
        </is>
      </c>
      <c r="G134" t="inlineStr">
        <is>
          <t>x</t>
        </is>
      </c>
      <c r="H134" t="inlineStr">
        <is>
          <t>x</t>
        </is>
      </c>
    </row>
    <row r="135">
      <c r="A135" t="inlineStr">
        <is>
          <t>9A9</t>
        </is>
      </c>
      <c r="B135" t="inlineStr">
        <is>
          <t>C</t>
        </is>
      </c>
      <c r="C135" t="n">
        <v>1</v>
      </c>
      <c r="D135" t="inlineStr">
        <is>
          <t>x</t>
        </is>
      </c>
      <c r="E135" t="inlineStr">
        <is>
          <t>x</t>
        </is>
      </c>
      <c r="F135" t="inlineStr">
        <is>
          <t>x</t>
        </is>
      </c>
      <c r="G135" t="inlineStr">
        <is>
          <t>x</t>
        </is>
      </c>
      <c r="H135" t="inlineStr">
        <is>
          <t>x</t>
        </is>
      </c>
    </row>
    <row r="136">
      <c r="A136" t="inlineStr">
        <is>
          <t>9A9</t>
        </is>
      </c>
      <c r="B136" t="inlineStr">
        <is>
          <t>C</t>
        </is>
      </c>
      <c r="C136" t="n">
        <v>2</v>
      </c>
      <c r="D136" t="inlineStr">
        <is>
          <t>x</t>
        </is>
      </c>
      <c r="E136" t="inlineStr">
        <is>
          <t>x</t>
        </is>
      </c>
      <c r="F136" t="inlineStr">
        <is>
          <t>x</t>
        </is>
      </c>
      <c r="G136" t="inlineStr">
        <is>
          <t>x</t>
        </is>
      </c>
      <c r="H136" t="inlineStr">
        <is>
          <t>x</t>
        </is>
      </c>
    </row>
    <row r="137">
      <c r="A137" t="inlineStr">
        <is>
          <t>9A9</t>
        </is>
      </c>
      <c r="B137" t="inlineStr">
        <is>
          <t>C</t>
        </is>
      </c>
      <c r="C137" t="n">
        <v>3</v>
      </c>
      <c r="D137" t="inlineStr">
        <is>
          <t>x</t>
        </is>
      </c>
      <c r="E137" t="inlineStr">
        <is>
          <t>x</t>
        </is>
      </c>
      <c r="F137" t="inlineStr">
        <is>
          <t>x</t>
        </is>
      </c>
      <c r="G137" t="inlineStr">
        <is>
          <t>x</t>
        </is>
      </c>
      <c r="H137" t="inlineStr">
        <is>
          <t>x</t>
        </is>
      </c>
    </row>
    <row r="138">
      <c r="A138" t="inlineStr">
        <is>
          <t>9A10</t>
        </is>
      </c>
      <c r="B138" t="inlineStr">
        <is>
          <t>S</t>
        </is>
      </c>
      <c r="C138" t="n">
        <v>1</v>
      </c>
      <c r="D138" t="inlineStr">
        <is>
          <t>x</t>
        </is>
      </c>
      <c r="E138" t="inlineStr">
        <is>
          <t>x</t>
        </is>
      </c>
      <c r="F138" t="inlineStr">
        <is>
          <t>x</t>
        </is>
      </c>
      <c r="G138" t="inlineStr">
        <is>
          <t>x</t>
        </is>
      </c>
      <c r="H138" t="inlineStr">
        <is>
          <t>x</t>
        </is>
      </c>
    </row>
    <row r="139">
      <c r="A139" t="inlineStr">
        <is>
          <t>9A10</t>
        </is>
      </c>
      <c r="B139" t="inlineStr">
        <is>
          <t>S</t>
        </is>
      </c>
      <c r="C139" t="n">
        <v>2</v>
      </c>
      <c r="D139" t="inlineStr">
        <is>
          <t>x</t>
        </is>
      </c>
      <c r="E139" t="inlineStr">
        <is>
          <t>x</t>
        </is>
      </c>
      <c r="F139" t="inlineStr">
        <is>
          <t>x</t>
        </is>
      </c>
      <c r="G139" t="inlineStr">
        <is>
          <t>x</t>
        </is>
      </c>
      <c r="H139" t="inlineStr">
        <is>
          <t>x</t>
        </is>
      </c>
    </row>
    <row r="140">
      <c r="A140" t="inlineStr">
        <is>
          <t>9A10</t>
        </is>
      </c>
      <c r="B140" t="inlineStr">
        <is>
          <t>S</t>
        </is>
      </c>
      <c r="C140" t="n">
        <v>3</v>
      </c>
      <c r="D140" t="inlineStr">
        <is>
          <t>x</t>
        </is>
      </c>
      <c r="E140" t="inlineStr">
        <is>
          <t>x</t>
        </is>
      </c>
      <c r="F140" t="inlineStr">
        <is>
          <t>x</t>
        </is>
      </c>
      <c r="G140" t="inlineStr">
        <is>
          <t>x</t>
        </is>
      </c>
      <c r="H140" t="inlineStr">
        <is>
          <t>x</t>
        </is>
      </c>
    </row>
    <row r="141">
      <c r="A141" t="inlineStr">
        <is>
          <t>9A10</t>
        </is>
      </c>
      <c r="B141" t="inlineStr">
        <is>
          <t>S</t>
        </is>
      </c>
      <c r="C141" t="n">
        <v>4</v>
      </c>
      <c r="D141" t="inlineStr">
        <is>
          <t>x</t>
        </is>
      </c>
      <c r="E141" t="inlineStr">
        <is>
          <t>x</t>
        </is>
      </c>
      <c r="F141" t="inlineStr">
        <is>
          <t>x</t>
        </is>
      </c>
      <c r="G141" t="inlineStr">
        <is>
          <t>x</t>
        </is>
      </c>
      <c r="H141" t="inlineStr">
        <is>
          <t>x</t>
        </is>
      </c>
    </row>
    <row r="142">
      <c r="A142" t="inlineStr">
        <is>
          <t>9A10</t>
        </is>
      </c>
      <c r="B142" t="inlineStr">
        <is>
          <t>S</t>
        </is>
      </c>
      <c r="C142" t="n">
        <v>5</v>
      </c>
      <c r="D142" t="inlineStr">
        <is>
          <t>x</t>
        </is>
      </c>
      <c r="E142" t="inlineStr">
        <is>
          <t>x</t>
        </is>
      </c>
      <c r="F142" t="inlineStr">
        <is>
          <t>x</t>
        </is>
      </c>
      <c r="G142" t="inlineStr">
        <is>
          <t>x</t>
        </is>
      </c>
      <c r="H142" t="inlineStr">
        <is>
          <t>x</t>
        </is>
      </c>
    </row>
    <row r="143">
      <c r="A143" t="inlineStr">
        <is>
          <t>9A10</t>
        </is>
      </c>
      <c r="B143" t="inlineStr">
        <is>
          <t>C</t>
        </is>
      </c>
      <c r="C143" t="n">
        <v>1</v>
      </c>
      <c r="D143" t="inlineStr">
        <is>
          <t>x</t>
        </is>
      </c>
      <c r="E143" t="inlineStr">
        <is>
          <t>x</t>
        </is>
      </c>
      <c r="F143" t="inlineStr">
        <is>
          <t>x</t>
        </is>
      </c>
      <c r="G143" t="inlineStr">
        <is>
          <t>x</t>
        </is>
      </c>
      <c r="H143" t="inlineStr">
        <is>
          <t>x</t>
        </is>
      </c>
    </row>
    <row r="144">
      <c r="A144" t="inlineStr">
        <is>
          <t>9A10</t>
        </is>
      </c>
      <c r="B144" t="inlineStr">
        <is>
          <t>C</t>
        </is>
      </c>
      <c r="C144" t="n">
        <v>2</v>
      </c>
      <c r="D144" t="inlineStr">
        <is>
          <t>x</t>
        </is>
      </c>
      <c r="E144" t="inlineStr">
        <is>
          <t>x</t>
        </is>
      </c>
      <c r="F144" t="inlineStr">
        <is>
          <t>x</t>
        </is>
      </c>
      <c r="G144" t="inlineStr">
        <is>
          <t>x</t>
        </is>
      </c>
      <c r="H144" t="inlineStr">
        <is>
          <t>x</t>
        </is>
      </c>
    </row>
    <row r="145">
      <c r="A145" t="inlineStr">
        <is>
          <t>9A10</t>
        </is>
      </c>
      <c r="B145" t="inlineStr">
        <is>
          <t>C</t>
        </is>
      </c>
      <c r="C145" t="n">
        <v>3</v>
      </c>
      <c r="D145" t="inlineStr">
        <is>
          <t>x</t>
        </is>
      </c>
      <c r="E145" t="inlineStr">
        <is>
          <t>x</t>
        </is>
      </c>
      <c r="F145" t="inlineStr">
        <is>
          <t>x</t>
        </is>
      </c>
      <c r="G145" t="inlineStr">
        <is>
          <t>x</t>
        </is>
      </c>
      <c r="H145" t="inlineStr">
        <is>
          <t>x</t>
        </is>
      </c>
    </row>
    <row r="146">
      <c r="A146" t="inlineStr">
        <is>
          <t>9A11</t>
        </is>
      </c>
      <c r="B146" t="inlineStr">
        <is>
          <t>S</t>
        </is>
      </c>
      <c r="C146" t="n">
        <v>1</v>
      </c>
      <c r="D146" t="inlineStr">
        <is>
          <t>x</t>
        </is>
      </c>
      <c r="E146" t="inlineStr">
        <is>
          <t>x</t>
        </is>
      </c>
      <c r="F146" t="inlineStr">
        <is>
          <t>x</t>
        </is>
      </c>
      <c r="G146" t="inlineStr">
        <is>
          <t>x</t>
        </is>
      </c>
      <c r="H146" t="inlineStr">
        <is>
          <t>x</t>
        </is>
      </c>
    </row>
    <row r="147">
      <c r="A147" t="inlineStr">
        <is>
          <t>9A11</t>
        </is>
      </c>
      <c r="B147" t="inlineStr">
        <is>
          <t>S</t>
        </is>
      </c>
      <c r="C147" t="n">
        <v>2</v>
      </c>
      <c r="D147" t="inlineStr">
        <is>
          <t>x</t>
        </is>
      </c>
      <c r="E147" t="inlineStr">
        <is>
          <t>x</t>
        </is>
      </c>
      <c r="F147" t="inlineStr">
        <is>
          <t>x</t>
        </is>
      </c>
      <c r="G147" t="inlineStr">
        <is>
          <t>x</t>
        </is>
      </c>
      <c r="H147" t="inlineStr">
        <is>
          <t>x</t>
        </is>
      </c>
    </row>
    <row r="148">
      <c r="A148" t="inlineStr">
        <is>
          <t>9A11</t>
        </is>
      </c>
      <c r="B148" t="inlineStr">
        <is>
          <t>S</t>
        </is>
      </c>
      <c r="C148" t="n">
        <v>3</v>
      </c>
      <c r="D148" t="inlineStr">
        <is>
          <t>x</t>
        </is>
      </c>
      <c r="E148" t="inlineStr">
        <is>
          <t>x</t>
        </is>
      </c>
      <c r="F148" t="inlineStr">
        <is>
          <t>x</t>
        </is>
      </c>
      <c r="G148" t="inlineStr">
        <is>
          <t>x</t>
        </is>
      </c>
      <c r="H148" t="inlineStr">
        <is>
          <t>x</t>
        </is>
      </c>
    </row>
    <row r="149">
      <c r="A149" t="inlineStr">
        <is>
          <t>9A11</t>
        </is>
      </c>
      <c r="B149" t="inlineStr">
        <is>
          <t>S</t>
        </is>
      </c>
      <c r="C149" t="n">
        <v>4</v>
      </c>
      <c r="D149" t="inlineStr">
        <is>
          <t>x</t>
        </is>
      </c>
      <c r="E149" t="inlineStr">
        <is>
          <t>x</t>
        </is>
      </c>
      <c r="F149" t="inlineStr">
        <is>
          <t>x</t>
        </is>
      </c>
      <c r="G149" t="inlineStr">
        <is>
          <t>x</t>
        </is>
      </c>
      <c r="H149" t="inlineStr">
        <is>
          <t>x</t>
        </is>
      </c>
    </row>
    <row r="150">
      <c r="A150" t="inlineStr">
        <is>
          <t>9A11</t>
        </is>
      </c>
      <c r="B150" t="inlineStr">
        <is>
          <t>S</t>
        </is>
      </c>
      <c r="C150" t="n">
        <v>5</v>
      </c>
      <c r="D150" t="inlineStr">
        <is>
          <t>x</t>
        </is>
      </c>
      <c r="E150" t="inlineStr">
        <is>
          <t>x</t>
        </is>
      </c>
      <c r="F150" t="inlineStr">
        <is>
          <t>x</t>
        </is>
      </c>
      <c r="G150" t="inlineStr">
        <is>
          <t>x</t>
        </is>
      </c>
      <c r="H150" t="inlineStr">
        <is>
          <t>x</t>
        </is>
      </c>
    </row>
    <row r="151">
      <c r="A151" t="inlineStr">
        <is>
          <t>9A11</t>
        </is>
      </c>
      <c r="B151" t="inlineStr">
        <is>
          <t>C</t>
        </is>
      </c>
      <c r="C151" t="n">
        <v>1</v>
      </c>
      <c r="D151" t="inlineStr">
        <is>
          <t>x</t>
        </is>
      </c>
      <c r="E151" t="inlineStr">
        <is>
          <t>x</t>
        </is>
      </c>
      <c r="F151" t="inlineStr">
        <is>
          <t>x</t>
        </is>
      </c>
      <c r="G151" t="inlineStr">
        <is>
          <t>x</t>
        </is>
      </c>
      <c r="H151" t="inlineStr">
        <is>
          <t>x</t>
        </is>
      </c>
    </row>
    <row r="152">
      <c r="A152" t="inlineStr">
        <is>
          <t>9A11</t>
        </is>
      </c>
      <c r="B152" t="inlineStr">
        <is>
          <t>C</t>
        </is>
      </c>
      <c r="C152" t="n">
        <v>2</v>
      </c>
      <c r="D152" t="inlineStr">
        <is>
          <t>x</t>
        </is>
      </c>
      <c r="E152" t="inlineStr">
        <is>
          <t>x</t>
        </is>
      </c>
      <c r="F152" t="inlineStr">
        <is>
          <t>x</t>
        </is>
      </c>
      <c r="G152" t="inlineStr">
        <is>
          <t>x</t>
        </is>
      </c>
      <c r="H152" t="inlineStr">
        <is>
          <t>x</t>
        </is>
      </c>
    </row>
    <row r="153">
      <c r="A153" t="inlineStr">
        <is>
          <t>9A11</t>
        </is>
      </c>
      <c r="B153" t="inlineStr">
        <is>
          <t>C</t>
        </is>
      </c>
      <c r="C153" t="n">
        <v>3</v>
      </c>
      <c r="D153" t="inlineStr">
        <is>
          <t>x</t>
        </is>
      </c>
      <c r="E153" t="inlineStr">
        <is>
          <t>x</t>
        </is>
      </c>
      <c r="F153" t="inlineStr">
        <is>
          <t>x</t>
        </is>
      </c>
      <c r="G153" t="inlineStr">
        <is>
          <t>x</t>
        </is>
      </c>
      <c r="H153" t="inlineStr">
        <is>
          <t>x</t>
        </is>
      </c>
    </row>
    <row r="154">
      <c r="A154" t="inlineStr">
        <is>
          <t>9A12</t>
        </is>
      </c>
      <c r="B154" t="inlineStr">
        <is>
          <t>S</t>
        </is>
      </c>
      <c r="C154" t="n">
        <v>1</v>
      </c>
      <c r="D154" t="inlineStr">
        <is>
          <t>x</t>
        </is>
      </c>
      <c r="E154" t="inlineStr">
        <is>
          <t>x</t>
        </is>
      </c>
      <c r="F154" t="inlineStr">
        <is>
          <t>x</t>
        </is>
      </c>
      <c r="G154" t="inlineStr">
        <is>
          <t>x</t>
        </is>
      </c>
      <c r="H154" t="inlineStr">
        <is>
          <t>x</t>
        </is>
      </c>
    </row>
    <row r="155">
      <c r="A155" t="inlineStr">
        <is>
          <t>9A12</t>
        </is>
      </c>
      <c r="B155" t="inlineStr">
        <is>
          <t>S</t>
        </is>
      </c>
      <c r="C155" t="n">
        <v>2</v>
      </c>
      <c r="D155" t="inlineStr">
        <is>
          <t>x</t>
        </is>
      </c>
      <c r="E155" t="inlineStr">
        <is>
          <t>x</t>
        </is>
      </c>
      <c r="F155" t="inlineStr">
        <is>
          <t>x</t>
        </is>
      </c>
      <c r="G155" t="inlineStr">
        <is>
          <t>x</t>
        </is>
      </c>
      <c r="H155" t="inlineStr">
        <is>
          <t>x</t>
        </is>
      </c>
    </row>
    <row r="156">
      <c r="A156" t="inlineStr">
        <is>
          <t>9A12</t>
        </is>
      </c>
      <c r="B156" t="inlineStr">
        <is>
          <t>S</t>
        </is>
      </c>
      <c r="C156" t="n">
        <v>3</v>
      </c>
      <c r="D156" t="inlineStr">
        <is>
          <t>x</t>
        </is>
      </c>
      <c r="E156" t="inlineStr">
        <is>
          <t>x</t>
        </is>
      </c>
      <c r="F156" t="inlineStr">
        <is>
          <t>x</t>
        </is>
      </c>
      <c r="G156" t="inlineStr">
        <is>
          <t>x</t>
        </is>
      </c>
      <c r="H156" t="inlineStr">
        <is>
          <t>x</t>
        </is>
      </c>
    </row>
    <row r="157">
      <c r="A157" t="inlineStr">
        <is>
          <t>9A12</t>
        </is>
      </c>
      <c r="B157" t="inlineStr">
        <is>
          <t>S</t>
        </is>
      </c>
      <c r="C157" t="n">
        <v>4</v>
      </c>
      <c r="D157" t="inlineStr">
        <is>
          <t>x</t>
        </is>
      </c>
      <c r="E157" t="inlineStr">
        <is>
          <t>x</t>
        </is>
      </c>
      <c r="F157" t="inlineStr">
        <is>
          <t>x</t>
        </is>
      </c>
      <c r="G157" t="inlineStr">
        <is>
          <t>x</t>
        </is>
      </c>
      <c r="H157" t="inlineStr">
        <is>
          <t>x</t>
        </is>
      </c>
    </row>
    <row r="158">
      <c r="A158" t="inlineStr">
        <is>
          <t>9A12</t>
        </is>
      </c>
      <c r="B158" t="inlineStr">
        <is>
          <t>S</t>
        </is>
      </c>
      <c r="C158" t="n">
        <v>5</v>
      </c>
      <c r="D158" t="inlineStr">
        <is>
          <t>x</t>
        </is>
      </c>
      <c r="E158" t="inlineStr">
        <is>
          <t>x</t>
        </is>
      </c>
      <c r="F158" t="inlineStr">
        <is>
          <t>x</t>
        </is>
      </c>
      <c r="G158" t="inlineStr">
        <is>
          <t>x</t>
        </is>
      </c>
      <c r="H158" t="inlineStr">
        <is>
          <t>x</t>
        </is>
      </c>
    </row>
    <row r="159">
      <c r="A159" t="inlineStr">
        <is>
          <t>9A12</t>
        </is>
      </c>
      <c r="B159" t="inlineStr">
        <is>
          <t>C</t>
        </is>
      </c>
      <c r="C159" t="n">
        <v>1</v>
      </c>
      <c r="D159" t="inlineStr">
        <is>
          <t>x</t>
        </is>
      </c>
      <c r="E159" t="inlineStr">
        <is>
          <t>x</t>
        </is>
      </c>
      <c r="F159" t="inlineStr">
        <is>
          <t>x</t>
        </is>
      </c>
      <c r="G159" t="inlineStr">
        <is>
          <t>x</t>
        </is>
      </c>
      <c r="H159" t="inlineStr">
        <is>
          <t>x</t>
        </is>
      </c>
    </row>
    <row r="160">
      <c r="A160" t="inlineStr">
        <is>
          <t>9A12</t>
        </is>
      </c>
      <c r="B160" t="inlineStr">
        <is>
          <t>C</t>
        </is>
      </c>
      <c r="C160" t="n">
        <v>2</v>
      </c>
      <c r="D160" t="inlineStr">
        <is>
          <t>x</t>
        </is>
      </c>
      <c r="E160" t="inlineStr">
        <is>
          <t>x</t>
        </is>
      </c>
      <c r="F160" t="inlineStr">
        <is>
          <t>x</t>
        </is>
      </c>
      <c r="G160" t="inlineStr">
        <is>
          <t>x</t>
        </is>
      </c>
      <c r="H160" t="inlineStr">
        <is>
          <t>x</t>
        </is>
      </c>
    </row>
    <row r="161">
      <c r="A161" t="inlineStr">
        <is>
          <t>9A12</t>
        </is>
      </c>
      <c r="B161" t="inlineStr">
        <is>
          <t>C</t>
        </is>
      </c>
      <c r="C161" t="n">
        <v>3</v>
      </c>
      <c r="D161" t="inlineStr">
        <is>
          <t>x</t>
        </is>
      </c>
      <c r="E161" t="inlineStr">
        <is>
          <t>x</t>
        </is>
      </c>
      <c r="F161" t="inlineStr">
        <is>
          <t>x</t>
        </is>
      </c>
      <c r="G161" t="inlineStr">
        <is>
          <t>x</t>
        </is>
      </c>
      <c r="H161" t="inlineStr">
        <is>
          <t>x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C5"/>
  <sheetViews>
    <sheetView zoomScaleNormal="100" workbookViewId="0">
      <selection activeCell="A1" sqref="A1"/>
    </sheetView>
  </sheetViews>
  <sheetFormatPr baseColWidth="8" defaultColWidth="8.7109375" defaultRowHeight="15"/>
  <cols>
    <col width="33" customWidth="1" min="1" max="3"/>
    <col width="10" customWidth="1" min="2" max="2"/>
    <col width="23" customWidth="1" min="3" max="3"/>
  </cols>
  <sheetData>
    <row r="1" ht="15" customHeight="1">
      <c r="A1" s="42" t="inlineStr">
        <is>
          <t>SEED HIEN TAI -&gt;</t>
        </is>
      </c>
      <c r="B1" s="42" t="n">
        <v>0</v>
      </c>
    </row>
    <row r="2" ht="15" customHeight="1">
      <c r="A2" s="5" t="inlineStr">
        <is>
          <t>TUAN HIEN TAI (C=chan/L=le) -&gt;</t>
        </is>
      </c>
      <c r="B2" s="43" t="inlineStr">
        <is>
          <t>C</t>
        </is>
      </c>
    </row>
    <row r="3" ht="15" customHeight="1">
      <c r="A3" s="42" t="inlineStr">
        <is>
          <t>Tuan</t>
        </is>
      </c>
      <c r="B3" s="42" t="inlineStr">
        <is>
          <t>Seed</t>
        </is>
      </c>
      <c r="C3" s="42" t="inlineStr">
        <is>
          <t>Ngay tao</t>
        </is>
      </c>
    </row>
    <row r="4">
      <c r="A4" t="n">
        <v>1</v>
      </c>
      <c r="B4" t="n">
        <v>2026</v>
      </c>
      <c r="C4" t="inlineStr">
        <is>
          <t>27/08/2026 22:00 [C]</t>
        </is>
      </c>
    </row>
    <row r="5">
      <c r="A5" t="n">
        <v>2</v>
      </c>
      <c r="B5" t="n">
        <v>2026</v>
      </c>
      <c r="C5" t="inlineStr">
        <is>
          <t>27/08/2026 22:00 [L]</t>
        </is>
      </c>
    </row>
  </sheetData>
  <dataValidations count="1">
    <dataValidation sqref="B2" showDropDown="0" showInputMessage="0" showErrorMessage="0" allowBlank="0" type="list">
      <formula1>"C,L"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6" customWidth="1" min="3" max="3"/>
    <col width="23" customWidth="1" min="4" max="4"/>
    <col width="16" customWidth="1" min="5" max="5"/>
    <col width="38" customWidth="1" min="6" max="6"/>
    <col width="16" customWidth="1" min="7" max="7"/>
    <col width="10" customWidth="1" min="8" max="8"/>
    <col width="17" customWidth="1" min="9" max="9"/>
    <col width="38" customWidth="1" min="10" max="10"/>
  </cols>
  <sheetData>
    <row r="1">
      <c r="A1" s="44" t="inlineStr">
        <is>
          <t>BẢNG DỮ LIỆU PHÂN CÔNG CHUYÊN MÔN CHUẨN HÓA (DẠNG BẢNG PHẲNG / 1 DÒNG 1 PHÂN CÔNG)</t>
        </is>
      </c>
    </row>
    <row r="2">
      <c r="A2" s="45" t="inlineStr">
        <is>
          <t>TRƯỜNG THCS ĐỖ CẬN - PHÂN HIỆU | NĂM HỌC 2026 - 2027 (Áp dụng từ 07/09/2026)</t>
        </is>
      </c>
    </row>
    <row r="3"/>
    <row r="4">
      <c r="A4" s="46" t="inlineStr">
        <is>
          <t>STT GV</t>
        </is>
      </c>
      <c r="B4" s="46" t="inlineStr">
        <is>
          <t>Họ và tên giáo viên</t>
        </is>
      </c>
      <c r="C4" s="46" t="inlineStr">
        <is>
          <t>Chuyên môn</t>
        </is>
      </c>
      <c r="D4" s="46" t="inlineStr">
        <is>
          <t>Chức vụ / Kiêm nhiệm</t>
        </is>
      </c>
      <c r="E4" s="46" t="inlineStr">
        <is>
          <t>Chủ nhiệm lớp</t>
        </is>
      </c>
      <c r="F4" s="46" t="inlineStr">
        <is>
          <t>Môn giảng dạy</t>
        </is>
      </c>
      <c r="G4" s="46" t="inlineStr">
        <is>
          <t>Lớp giảng dạy</t>
        </is>
      </c>
      <c r="H4" s="46" t="inlineStr">
        <is>
          <t>Khối</t>
        </is>
      </c>
      <c r="I4" s="46" t="inlineStr">
        <is>
          <t>Số tiết / tuần</t>
        </is>
      </c>
      <c r="J4" s="46" t="inlineStr">
        <is>
          <t>Ghi chú phân công</t>
        </is>
      </c>
    </row>
    <row r="5">
      <c r="A5" s="47" t="n">
        <v>1</v>
      </c>
      <c r="B5" s="48" t="inlineStr">
        <is>
          <t>Đỗ Thị Sa</t>
        </is>
      </c>
      <c r="C5" s="47" t="inlineStr">
        <is>
          <t>Tiếng Anh</t>
        </is>
      </c>
      <c r="D5" s="47" t="inlineStr">
        <is>
          <t>Hiệu trưởng</t>
        </is>
      </c>
      <c r="E5" s="47" t="inlineStr"/>
      <c r="F5" s="48" t="inlineStr">
        <is>
          <t>Tiếng Anh</t>
        </is>
      </c>
      <c r="G5" s="47" t="inlineStr">
        <is>
          <t>6A7</t>
        </is>
      </c>
      <c r="H5" s="47" t="inlineStr">
        <is>
          <t>6</t>
        </is>
      </c>
      <c r="I5" s="49" t="n">
        <v>1</v>
      </c>
      <c r="J5" s="48" t="inlineStr">
        <is>
          <t>Dạy chung lớp 6A7</t>
        </is>
      </c>
    </row>
    <row r="6">
      <c r="A6" s="50" t="n">
        <v>1</v>
      </c>
      <c r="B6" s="51" t="inlineStr">
        <is>
          <t>Đỗ Thị Sa</t>
        </is>
      </c>
      <c r="C6" s="50" t="inlineStr">
        <is>
          <t>Tiếng Anh</t>
        </is>
      </c>
      <c r="D6" s="50" t="inlineStr">
        <is>
          <t>Hiệu trưởng</t>
        </is>
      </c>
      <c r="E6" s="50" t="inlineStr"/>
      <c r="F6" s="51" t="inlineStr">
        <is>
          <t>Tiếng Anh</t>
        </is>
      </c>
      <c r="G6" s="50" t="inlineStr">
        <is>
          <t>6A8</t>
        </is>
      </c>
      <c r="H6" s="50" t="inlineStr">
        <is>
          <t>6</t>
        </is>
      </c>
      <c r="I6" s="52" t="n">
        <v>1</v>
      </c>
      <c r="J6" s="51" t="inlineStr">
        <is>
          <t>Dạy chung lớp 6A8</t>
        </is>
      </c>
    </row>
    <row r="7">
      <c r="A7" s="47" t="n">
        <v>2</v>
      </c>
      <c r="B7" s="48" t="inlineStr">
        <is>
          <t>Đoàn Tiến Quân</t>
        </is>
      </c>
      <c r="C7" s="47" t="inlineStr">
        <is>
          <t>Sinh-Kỹ</t>
        </is>
      </c>
      <c r="D7" s="47" t="inlineStr">
        <is>
          <t>Phó hiệu trưởng</t>
        </is>
      </c>
      <c r="E7" s="47" t="inlineStr"/>
      <c r="F7" s="48" t="inlineStr">
        <is>
          <t>Khoa học tự nhiên (Sinh học)</t>
        </is>
      </c>
      <c r="G7" s="47" t="inlineStr">
        <is>
          <t>7A7</t>
        </is>
      </c>
      <c r="H7" s="47" t="inlineStr">
        <is>
          <t>7</t>
        </is>
      </c>
      <c r="I7" s="49" t="n">
        <v>2</v>
      </c>
      <c r="J7" s="48" t="inlineStr">
        <is>
          <t>Dạy PHT</t>
        </is>
      </c>
    </row>
    <row r="8">
      <c r="A8" s="50" t="n">
        <v>3</v>
      </c>
      <c r="B8" s="51" t="inlineStr">
        <is>
          <t>Phan Thị Thùy Linh</t>
        </is>
      </c>
      <c r="C8" s="50" t="inlineStr">
        <is>
          <t>Văn-Sử</t>
        </is>
      </c>
      <c r="D8" s="50" t="inlineStr">
        <is>
          <t>Tổ trưởng</t>
        </is>
      </c>
      <c r="E8" s="50" t="inlineStr">
        <is>
          <t>8A7</t>
        </is>
      </c>
      <c r="F8" s="51" t="inlineStr">
        <is>
          <t>Ngữ văn</t>
        </is>
      </c>
      <c r="G8" s="50" t="inlineStr">
        <is>
          <t>8A7</t>
        </is>
      </c>
      <c r="H8" s="50" t="inlineStr">
        <is>
          <t>8</t>
        </is>
      </c>
      <c r="I8" s="52" t="n">
        <v>4</v>
      </c>
      <c r="J8" s="51" t="inlineStr"/>
    </row>
    <row r="9">
      <c r="A9" s="47" t="n">
        <v>3</v>
      </c>
      <c r="B9" s="48" t="inlineStr">
        <is>
          <t>Phan Thị Thùy Linh</t>
        </is>
      </c>
      <c r="C9" s="47" t="inlineStr">
        <is>
          <t>Văn-Sử</t>
        </is>
      </c>
      <c r="D9" s="47" t="inlineStr">
        <is>
          <t>Tổ trưởng</t>
        </is>
      </c>
      <c r="E9" s="47" t="inlineStr">
        <is>
          <t>8A7</t>
        </is>
      </c>
      <c r="F9" s="48" t="inlineStr">
        <is>
          <t>Ngữ văn</t>
        </is>
      </c>
      <c r="G9" s="47" t="inlineStr">
        <is>
          <t>9A9</t>
        </is>
      </c>
      <c r="H9" s="47" t="inlineStr">
        <is>
          <t>9</t>
        </is>
      </c>
      <c r="I9" s="49" t="n">
        <v>4</v>
      </c>
      <c r="J9" s="48" t="inlineStr"/>
    </row>
    <row r="10">
      <c r="A10" s="50" t="n">
        <v>3</v>
      </c>
      <c r="B10" s="51" t="inlineStr">
        <is>
          <t>Phan Thị Thùy Linh</t>
        </is>
      </c>
      <c r="C10" s="50" t="inlineStr">
        <is>
          <t>Văn-Sử</t>
        </is>
      </c>
      <c r="D10" s="50" t="inlineStr">
        <is>
          <t>Tổ trưởng</t>
        </is>
      </c>
      <c r="E10" s="50" t="inlineStr">
        <is>
          <t>8A7</t>
        </is>
      </c>
      <c r="F10" s="51" t="inlineStr">
        <is>
          <t>Nội dung giáo dục của địa phương</t>
        </is>
      </c>
      <c r="G10" s="50" t="inlineStr">
        <is>
          <t>6A7</t>
        </is>
      </c>
      <c r="H10" s="50" t="inlineStr">
        <is>
          <t>6</t>
        </is>
      </c>
      <c r="I10" s="52" t="n">
        <v>2</v>
      </c>
      <c r="J10" s="51" t="inlineStr"/>
    </row>
    <row r="11">
      <c r="A11" s="47" t="n">
        <v>3</v>
      </c>
      <c r="B11" s="48" t="inlineStr">
        <is>
          <t>Phan Thị Thùy Linh</t>
        </is>
      </c>
      <c r="C11" s="47" t="inlineStr">
        <is>
          <t>Văn-Sử</t>
        </is>
      </c>
      <c r="D11" s="47" t="inlineStr">
        <is>
          <t>Tổ trưởng</t>
        </is>
      </c>
      <c r="E11" s="47" t="inlineStr">
        <is>
          <t>8A7</t>
        </is>
      </c>
      <c r="F11" s="48" t="inlineStr">
        <is>
          <t>BDHSG Văn</t>
        </is>
      </c>
      <c r="G11" s="47" t="inlineStr">
        <is>
          <t>Khối 8/9</t>
        </is>
      </c>
      <c r="H11" s="47" t="inlineStr"/>
      <c r="I11" s="49" t="n">
        <v>2</v>
      </c>
      <c r="J11" s="48" t="inlineStr">
        <is>
          <t>BDHSG (ngoài TKB chính)</t>
        </is>
      </c>
    </row>
    <row r="12">
      <c r="A12" s="50" t="n">
        <v>4</v>
      </c>
      <c r="B12" s="51" t="inlineStr">
        <is>
          <t>Nguyễn Thị Thu Hương</t>
        </is>
      </c>
      <c r="C12" s="50" t="inlineStr">
        <is>
          <t>Văn-Sử</t>
        </is>
      </c>
      <c r="D12" s="50" t="inlineStr">
        <is>
          <t>GVCN</t>
        </is>
      </c>
      <c r="E12" s="50" t="inlineStr">
        <is>
          <t>8A9</t>
        </is>
      </c>
      <c r="F12" s="51" t="inlineStr">
        <is>
          <t>Ngữ văn</t>
        </is>
      </c>
      <c r="G12" s="50" t="inlineStr">
        <is>
          <t>8A9</t>
        </is>
      </c>
      <c r="H12" s="50" t="inlineStr">
        <is>
          <t>8</t>
        </is>
      </c>
      <c r="I12" s="52" t="n">
        <v>4</v>
      </c>
      <c r="J12" s="51" t="inlineStr"/>
    </row>
    <row r="13">
      <c r="A13" s="47" t="n">
        <v>4</v>
      </c>
      <c r="B13" s="48" t="inlineStr">
        <is>
          <t>Nguyễn Thị Thu Hương</t>
        </is>
      </c>
      <c r="C13" s="47" t="inlineStr">
        <is>
          <t>Văn-Sử</t>
        </is>
      </c>
      <c r="D13" s="47" t="inlineStr">
        <is>
          <t>GVCN</t>
        </is>
      </c>
      <c r="E13" s="47" t="inlineStr">
        <is>
          <t>8A9</t>
        </is>
      </c>
      <c r="F13" s="48" t="inlineStr">
        <is>
          <t>Ngữ văn</t>
        </is>
      </c>
      <c r="G13" s="47" t="inlineStr">
        <is>
          <t>9A11</t>
        </is>
      </c>
      <c r="H13" s="47" t="inlineStr">
        <is>
          <t>9</t>
        </is>
      </c>
      <c r="I13" s="49" t="n">
        <v>4</v>
      </c>
      <c r="J13" s="48" t="inlineStr"/>
    </row>
    <row r="14">
      <c r="A14" s="50" t="n">
        <v>4</v>
      </c>
      <c r="B14" s="51" t="inlineStr">
        <is>
          <t>Nguyễn Thị Thu Hương</t>
        </is>
      </c>
      <c r="C14" s="50" t="inlineStr">
        <is>
          <t>Văn-Sử</t>
        </is>
      </c>
      <c r="D14" s="50" t="inlineStr">
        <is>
          <t>GVCN</t>
        </is>
      </c>
      <c r="E14" s="50" t="inlineStr">
        <is>
          <t>8A9</t>
        </is>
      </c>
      <c r="F14" s="51" t="inlineStr">
        <is>
          <t>Lịch sử và Địa Lý (Lịch sử)</t>
        </is>
      </c>
      <c r="G14" s="50" t="inlineStr">
        <is>
          <t>7A9</t>
        </is>
      </c>
      <c r="H14" s="50" t="inlineStr">
        <is>
          <t>7</t>
        </is>
      </c>
      <c r="I14" s="52" t="n">
        <v>2</v>
      </c>
      <c r="J14" s="51" t="inlineStr"/>
    </row>
    <row r="15">
      <c r="A15" s="47" t="n">
        <v>4</v>
      </c>
      <c r="B15" s="48" t="inlineStr">
        <is>
          <t>Nguyễn Thị Thu Hương</t>
        </is>
      </c>
      <c r="C15" s="47" t="inlineStr">
        <is>
          <t>Văn-Sử</t>
        </is>
      </c>
      <c r="D15" s="47" t="inlineStr">
        <is>
          <t>GVCN</t>
        </is>
      </c>
      <c r="E15" s="47" t="inlineStr">
        <is>
          <t>8A9</t>
        </is>
      </c>
      <c r="F15" s="48" t="inlineStr">
        <is>
          <t>Lịch sử và Địa Lý (Lịch sử)</t>
        </is>
      </c>
      <c r="G15" s="47" t="inlineStr">
        <is>
          <t>7A10</t>
        </is>
      </c>
      <c r="H15" s="47" t="inlineStr">
        <is>
          <t>7</t>
        </is>
      </c>
      <c r="I15" s="49" t="n">
        <v>2</v>
      </c>
      <c r="J15" s="48" t="inlineStr"/>
    </row>
    <row r="16">
      <c r="A16" s="50" t="n">
        <v>4</v>
      </c>
      <c r="B16" s="51" t="inlineStr">
        <is>
          <t>Nguyễn Thị Thu Hương</t>
        </is>
      </c>
      <c r="C16" s="50" t="inlineStr">
        <is>
          <t>Văn-Sử</t>
        </is>
      </c>
      <c r="D16" s="50" t="inlineStr">
        <is>
          <t>GVCN</t>
        </is>
      </c>
      <c r="E16" s="50" t="inlineStr">
        <is>
          <t>8A9</t>
        </is>
      </c>
      <c r="F16" s="51" t="inlineStr">
        <is>
          <t>Lịch sử và Địa Lý (Lịch sử)</t>
        </is>
      </c>
      <c r="G16" s="50" t="inlineStr">
        <is>
          <t>6A7</t>
        </is>
      </c>
      <c r="H16" s="50" t="inlineStr">
        <is>
          <t>6</t>
        </is>
      </c>
      <c r="I16" s="52" t="n">
        <v>1</v>
      </c>
      <c r="J16" s="51" t="inlineStr"/>
    </row>
    <row r="17">
      <c r="A17" s="47" t="n">
        <v>4</v>
      </c>
      <c r="B17" s="48" t="inlineStr">
        <is>
          <t>Nguyễn Thị Thu Hương</t>
        </is>
      </c>
      <c r="C17" s="47" t="inlineStr">
        <is>
          <t>Văn-Sử</t>
        </is>
      </c>
      <c r="D17" s="47" t="inlineStr">
        <is>
          <t>GVCN</t>
        </is>
      </c>
      <c r="E17" s="47" t="inlineStr">
        <is>
          <t>8A9</t>
        </is>
      </c>
      <c r="F17" s="48" t="inlineStr">
        <is>
          <t>Lịch sử và Địa Lý (Lịch sử)</t>
        </is>
      </c>
      <c r="G17" s="47" t="inlineStr">
        <is>
          <t>6A8</t>
        </is>
      </c>
      <c r="H17" s="47" t="inlineStr">
        <is>
          <t>6</t>
        </is>
      </c>
      <c r="I17" s="49" t="n">
        <v>1</v>
      </c>
      <c r="J17" s="48" t="inlineStr"/>
    </row>
    <row r="18">
      <c r="A18" s="50" t="n">
        <v>4</v>
      </c>
      <c r="B18" s="51" t="inlineStr">
        <is>
          <t>Nguyễn Thị Thu Hương</t>
        </is>
      </c>
      <c r="C18" s="50" t="inlineStr">
        <is>
          <t>Văn-Sử</t>
        </is>
      </c>
      <c r="D18" s="50" t="inlineStr">
        <is>
          <t>GVCN</t>
        </is>
      </c>
      <c r="E18" s="50" t="inlineStr">
        <is>
          <t>8A9</t>
        </is>
      </c>
      <c r="F18" s="51" t="inlineStr">
        <is>
          <t>Lịch sử và Địa Lý (Lịch sử)</t>
        </is>
      </c>
      <c r="G18" s="50" t="inlineStr">
        <is>
          <t>6A9</t>
        </is>
      </c>
      <c r="H18" s="50" t="inlineStr">
        <is>
          <t>6</t>
        </is>
      </c>
      <c r="I18" s="52" t="n">
        <v>1</v>
      </c>
      <c r="J18" s="51" t="inlineStr"/>
    </row>
    <row r="19">
      <c r="A19" s="47" t="n">
        <v>4</v>
      </c>
      <c r="B19" s="48" t="inlineStr">
        <is>
          <t>Nguyễn Thị Thu Hương</t>
        </is>
      </c>
      <c r="C19" s="47" t="inlineStr">
        <is>
          <t>Văn-Sử</t>
        </is>
      </c>
      <c r="D19" s="47" t="inlineStr">
        <is>
          <t>GVCN</t>
        </is>
      </c>
      <c r="E19" s="47" t="inlineStr">
        <is>
          <t>8A9</t>
        </is>
      </c>
      <c r="F19" s="48" t="inlineStr">
        <is>
          <t>Lịch sử và Địa Lý (Lịch sử)</t>
        </is>
      </c>
      <c r="G19" s="47" t="inlineStr">
        <is>
          <t>6A10</t>
        </is>
      </c>
      <c r="H19" s="47" t="inlineStr">
        <is>
          <t>6</t>
        </is>
      </c>
      <c r="I19" s="49" t="n">
        <v>1</v>
      </c>
      <c r="J19" s="48" t="inlineStr"/>
    </row>
    <row r="20">
      <c r="A20" s="50" t="n">
        <v>4</v>
      </c>
      <c r="B20" s="51" t="inlineStr">
        <is>
          <t>Nguyễn Thị Thu Hương</t>
        </is>
      </c>
      <c r="C20" s="50" t="inlineStr">
        <is>
          <t>Văn-Sử</t>
        </is>
      </c>
      <c r="D20" s="50" t="inlineStr">
        <is>
          <t>GVCN</t>
        </is>
      </c>
      <c r="E20" s="50" t="inlineStr">
        <is>
          <t>8A9</t>
        </is>
      </c>
      <c r="F20" s="51" t="inlineStr">
        <is>
          <t>Lịch sử và Địa Lý (Lịch sử)</t>
        </is>
      </c>
      <c r="G20" s="50" t="inlineStr">
        <is>
          <t>6A11</t>
        </is>
      </c>
      <c r="H20" s="50" t="inlineStr">
        <is>
          <t>6</t>
        </is>
      </c>
      <c r="I20" s="52" t="n">
        <v>1</v>
      </c>
      <c r="J20" s="51" t="inlineStr"/>
    </row>
    <row r="21">
      <c r="A21" s="47" t="n">
        <v>5</v>
      </c>
      <c r="B21" s="48" t="inlineStr">
        <is>
          <t>Đồng Thị Hiền</t>
        </is>
      </c>
      <c r="C21" s="47" t="inlineStr">
        <is>
          <t>Văn-Sử</t>
        </is>
      </c>
      <c r="D21" s="47" t="inlineStr">
        <is>
          <t>GVCN</t>
        </is>
      </c>
      <c r="E21" s="47" t="inlineStr">
        <is>
          <t>7A8</t>
        </is>
      </c>
      <c r="F21" s="48" t="inlineStr">
        <is>
          <t>Ngữ văn</t>
        </is>
      </c>
      <c r="G21" s="47" t="inlineStr">
        <is>
          <t>7A8</t>
        </is>
      </c>
      <c r="H21" s="47" t="inlineStr">
        <is>
          <t>7</t>
        </is>
      </c>
      <c r="I21" s="49" t="n">
        <v>4</v>
      </c>
      <c r="J21" s="48" t="inlineStr"/>
    </row>
    <row r="22">
      <c r="A22" s="50" t="n">
        <v>5</v>
      </c>
      <c r="B22" s="51" t="inlineStr">
        <is>
          <t>Đồng Thị Hiền</t>
        </is>
      </c>
      <c r="C22" s="50" t="inlineStr">
        <is>
          <t>Văn-Sử</t>
        </is>
      </c>
      <c r="D22" s="50" t="inlineStr">
        <is>
          <t>GVCN</t>
        </is>
      </c>
      <c r="E22" s="50" t="inlineStr">
        <is>
          <t>7A8</t>
        </is>
      </c>
      <c r="F22" s="51" t="inlineStr">
        <is>
          <t>Ngữ văn</t>
        </is>
      </c>
      <c r="G22" s="50" t="inlineStr">
        <is>
          <t>9A8</t>
        </is>
      </c>
      <c r="H22" s="50" t="inlineStr">
        <is>
          <t>9</t>
        </is>
      </c>
      <c r="I22" s="52" t="n">
        <v>4</v>
      </c>
      <c r="J22" s="51" t="inlineStr"/>
    </row>
    <row r="23">
      <c r="A23" s="47" t="n">
        <v>5</v>
      </c>
      <c r="B23" s="48" t="inlineStr">
        <is>
          <t>Đồng Thị Hiền</t>
        </is>
      </c>
      <c r="C23" s="47" t="inlineStr">
        <is>
          <t>Văn-Sử</t>
        </is>
      </c>
      <c r="D23" s="47" t="inlineStr">
        <is>
          <t>GVCN</t>
        </is>
      </c>
      <c r="E23" s="47" t="inlineStr">
        <is>
          <t>7A8</t>
        </is>
      </c>
      <c r="F23" s="48" t="inlineStr">
        <is>
          <t>Lịch sử và Địa Lý (Lịch sử)</t>
        </is>
      </c>
      <c r="G23" s="47" t="inlineStr">
        <is>
          <t>9A8</t>
        </is>
      </c>
      <c r="H23" s="47" t="inlineStr">
        <is>
          <t>9</t>
        </is>
      </c>
      <c r="I23" s="49" t="n">
        <v>2</v>
      </c>
      <c r="J23" s="48" t="inlineStr"/>
    </row>
    <row r="24">
      <c r="A24" s="50" t="n">
        <v>5</v>
      </c>
      <c r="B24" s="51" t="inlineStr">
        <is>
          <t>Đồng Thị Hiền</t>
        </is>
      </c>
      <c r="C24" s="50" t="inlineStr">
        <is>
          <t>Văn-Sử</t>
        </is>
      </c>
      <c r="D24" s="50" t="inlineStr">
        <is>
          <t>GVCN</t>
        </is>
      </c>
      <c r="E24" s="50" t="inlineStr">
        <is>
          <t>7A8</t>
        </is>
      </c>
      <c r="F24" s="51" t="inlineStr">
        <is>
          <t>Lịch sử và Địa Lý (Lịch sử)</t>
        </is>
      </c>
      <c r="G24" s="50" t="inlineStr">
        <is>
          <t>9A10</t>
        </is>
      </c>
      <c r="H24" s="50" t="inlineStr">
        <is>
          <t>9</t>
        </is>
      </c>
      <c r="I24" s="52" t="n">
        <v>2</v>
      </c>
      <c r="J24" s="51" t="inlineStr"/>
    </row>
    <row r="25">
      <c r="A25" s="47" t="n">
        <v>5</v>
      </c>
      <c r="B25" s="48" t="inlineStr">
        <is>
          <t>Đồng Thị Hiền</t>
        </is>
      </c>
      <c r="C25" s="47" t="inlineStr">
        <is>
          <t>Văn-Sử</t>
        </is>
      </c>
      <c r="D25" s="47" t="inlineStr">
        <is>
          <t>GVCN</t>
        </is>
      </c>
      <c r="E25" s="47" t="inlineStr">
        <is>
          <t>7A8</t>
        </is>
      </c>
      <c r="F25" s="48" t="inlineStr">
        <is>
          <t>Nội dung giáo dục của địa phương</t>
        </is>
      </c>
      <c r="G25" s="47" t="inlineStr">
        <is>
          <t>9A11</t>
        </is>
      </c>
      <c r="H25" s="47" t="inlineStr">
        <is>
          <t>9</t>
        </is>
      </c>
      <c r="I25" s="49" t="n">
        <v>1</v>
      </c>
      <c r="J25" s="48" t="inlineStr"/>
    </row>
    <row r="26">
      <c r="A26" s="50" t="n">
        <v>5</v>
      </c>
      <c r="B26" s="51" t="inlineStr">
        <is>
          <t>Đồng Thị Hiền</t>
        </is>
      </c>
      <c r="C26" s="50" t="inlineStr">
        <is>
          <t>Văn-Sử</t>
        </is>
      </c>
      <c r="D26" s="50" t="inlineStr">
        <is>
          <t>GVCN</t>
        </is>
      </c>
      <c r="E26" s="50" t="inlineStr">
        <is>
          <t>7A8</t>
        </is>
      </c>
      <c r="F26" s="51" t="inlineStr">
        <is>
          <t>Nội dung giáo dục của địa phương</t>
        </is>
      </c>
      <c r="G26" s="50" t="inlineStr">
        <is>
          <t>9A12</t>
        </is>
      </c>
      <c r="H26" s="50" t="inlineStr">
        <is>
          <t>9</t>
        </is>
      </c>
      <c r="I26" s="52" t="n">
        <v>1</v>
      </c>
      <c r="J26" s="51" t="inlineStr"/>
    </row>
    <row r="27">
      <c r="A27" s="47" t="n">
        <v>5</v>
      </c>
      <c r="B27" s="48" t="inlineStr">
        <is>
          <t>Đồng Thị Hiền</t>
        </is>
      </c>
      <c r="C27" s="47" t="inlineStr">
        <is>
          <t>Văn-Sử</t>
        </is>
      </c>
      <c r="D27" s="47" t="inlineStr">
        <is>
          <t>GVCN</t>
        </is>
      </c>
      <c r="E27" s="47" t="inlineStr">
        <is>
          <t>7A8</t>
        </is>
      </c>
      <c r="F27" s="48" t="inlineStr">
        <is>
          <t>BDHSG Sử</t>
        </is>
      </c>
      <c r="G27" s="47" t="inlineStr">
        <is>
          <t>Khối 9</t>
        </is>
      </c>
      <c r="H27" s="47" t="inlineStr"/>
      <c r="I27" s="49" t="n">
        <v>2</v>
      </c>
      <c r="J27" s="48" t="inlineStr">
        <is>
          <t>BDHSG (ngoài TKB chính)</t>
        </is>
      </c>
    </row>
    <row r="28">
      <c r="A28" s="50" t="n">
        <v>6</v>
      </c>
      <c r="B28" s="51" t="inlineStr">
        <is>
          <t>Hoàng Thị Phương Duyên</t>
        </is>
      </c>
      <c r="C28" s="50" t="inlineStr">
        <is>
          <t>Văn-Sử</t>
        </is>
      </c>
      <c r="D28" s="50" t="inlineStr">
        <is>
          <t>GVCN</t>
        </is>
      </c>
      <c r="E28" s="50" t="inlineStr">
        <is>
          <t>6A8</t>
        </is>
      </c>
      <c r="F28" s="51" t="inlineStr">
        <is>
          <t>Ngữ văn</t>
        </is>
      </c>
      <c r="G28" s="50" t="inlineStr">
        <is>
          <t>6A8</t>
        </is>
      </c>
      <c r="H28" s="50" t="inlineStr">
        <is>
          <t>6</t>
        </is>
      </c>
      <c r="I28" s="52" t="n">
        <v>4</v>
      </c>
      <c r="J28" s="51" t="inlineStr"/>
    </row>
    <row r="29">
      <c r="A29" s="47" t="n">
        <v>6</v>
      </c>
      <c r="B29" s="48" t="inlineStr">
        <is>
          <t>Hoàng Thị Phương Duyên</t>
        </is>
      </c>
      <c r="C29" s="47" t="inlineStr">
        <is>
          <t>Văn-Sử</t>
        </is>
      </c>
      <c r="D29" s="47" t="inlineStr">
        <is>
          <t>GVCN</t>
        </is>
      </c>
      <c r="E29" s="47" t="inlineStr">
        <is>
          <t>6A8</t>
        </is>
      </c>
      <c r="F29" s="48" t="inlineStr">
        <is>
          <t>Ngữ văn</t>
        </is>
      </c>
      <c r="G29" s="47" t="inlineStr">
        <is>
          <t>6A9</t>
        </is>
      </c>
      <c r="H29" s="47" t="inlineStr">
        <is>
          <t>6</t>
        </is>
      </c>
      <c r="I29" s="49" t="n">
        <v>4</v>
      </c>
      <c r="J29" s="48" t="inlineStr"/>
    </row>
    <row r="30">
      <c r="A30" s="50" t="n">
        <v>6</v>
      </c>
      <c r="B30" s="51" t="inlineStr">
        <is>
          <t>Hoàng Thị Phương Duyên</t>
        </is>
      </c>
      <c r="C30" s="50" t="inlineStr">
        <is>
          <t>Văn-Sử</t>
        </is>
      </c>
      <c r="D30" s="50" t="inlineStr">
        <is>
          <t>GVCN</t>
        </is>
      </c>
      <c r="E30" s="50" t="inlineStr">
        <is>
          <t>6A8</t>
        </is>
      </c>
      <c r="F30" s="51" t="inlineStr">
        <is>
          <t>Ngữ văn</t>
        </is>
      </c>
      <c r="G30" s="50" t="inlineStr">
        <is>
          <t>8A10</t>
        </is>
      </c>
      <c r="H30" s="50" t="inlineStr">
        <is>
          <t>8</t>
        </is>
      </c>
      <c r="I30" s="52" t="n">
        <v>4</v>
      </c>
      <c r="J30" s="51" t="inlineStr"/>
    </row>
    <row r="31">
      <c r="A31" s="47" t="n">
        <v>6</v>
      </c>
      <c r="B31" s="48" t="inlineStr">
        <is>
          <t>Hoàng Thị Phương Duyên</t>
        </is>
      </c>
      <c r="C31" s="47" t="inlineStr">
        <is>
          <t>Văn-Sử</t>
        </is>
      </c>
      <c r="D31" s="47" t="inlineStr">
        <is>
          <t>GVCN</t>
        </is>
      </c>
      <c r="E31" s="47" t="inlineStr">
        <is>
          <t>6A8</t>
        </is>
      </c>
      <c r="F31" s="48" t="inlineStr">
        <is>
          <t>GDCD</t>
        </is>
      </c>
      <c r="G31" s="47" t="inlineStr">
        <is>
          <t>9A8</t>
        </is>
      </c>
      <c r="H31" s="47" t="inlineStr">
        <is>
          <t>9</t>
        </is>
      </c>
      <c r="I31" s="49" t="n">
        <v>1</v>
      </c>
      <c r="J31" s="48" t="inlineStr"/>
    </row>
    <row r="32">
      <c r="A32" s="50" t="n">
        <v>6</v>
      </c>
      <c r="B32" s="51" t="inlineStr">
        <is>
          <t>Hoàng Thị Phương Duyên</t>
        </is>
      </c>
      <c r="C32" s="50" t="inlineStr">
        <is>
          <t>Văn-Sử</t>
        </is>
      </c>
      <c r="D32" s="50" t="inlineStr">
        <is>
          <t>GVCN</t>
        </is>
      </c>
      <c r="E32" s="50" t="inlineStr">
        <is>
          <t>6A8</t>
        </is>
      </c>
      <c r="F32" s="51" t="inlineStr">
        <is>
          <t>GDCD</t>
        </is>
      </c>
      <c r="G32" s="50" t="inlineStr">
        <is>
          <t>9A9</t>
        </is>
      </c>
      <c r="H32" s="50" t="inlineStr">
        <is>
          <t>9</t>
        </is>
      </c>
      <c r="I32" s="52" t="n">
        <v>1</v>
      </c>
      <c r="J32" s="51" t="inlineStr"/>
    </row>
    <row r="33">
      <c r="A33" s="47" t="n">
        <v>6</v>
      </c>
      <c r="B33" s="48" t="inlineStr">
        <is>
          <t>Hoàng Thị Phương Duyên</t>
        </is>
      </c>
      <c r="C33" s="47" t="inlineStr">
        <is>
          <t>Văn-Sử</t>
        </is>
      </c>
      <c r="D33" s="47" t="inlineStr">
        <is>
          <t>GVCN</t>
        </is>
      </c>
      <c r="E33" s="47" t="inlineStr">
        <is>
          <t>6A8</t>
        </is>
      </c>
      <c r="F33" s="48" t="inlineStr">
        <is>
          <t>GDCD</t>
        </is>
      </c>
      <c r="G33" s="47" t="inlineStr">
        <is>
          <t>9A10</t>
        </is>
      </c>
      <c r="H33" s="47" t="inlineStr">
        <is>
          <t>9</t>
        </is>
      </c>
      <c r="I33" s="49" t="n">
        <v>1</v>
      </c>
      <c r="J33" s="48" t="inlineStr"/>
    </row>
    <row r="34">
      <c r="A34" s="50" t="n">
        <v>6</v>
      </c>
      <c r="B34" s="51" t="inlineStr">
        <is>
          <t>Hoàng Thị Phương Duyên</t>
        </is>
      </c>
      <c r="C34" s="50" t="inlineStr">
        <is>
          <t>Văn-Sử</t>
        </is>
      </c>
      <c r="D34" s="50" t="inlineStr">
        <is>
          <t>GVCN</t>
        </is>
      </c>
      <c r="E34" s="50" t="inlineStr">
        <is>
          <t>6A8</t>
        </is>
      </c>
      <c r="F34" s="51" t="inlineStr">
        <is>
          <t>GDCD</t>
        </is>
      </c>
      <c r="G34" s="50" t="inlineStr">
        <is>
          <t>9A11</t>
        </is>
      </c>
      <c r="H34" s="50" t="inlineStr">
        <is>
          <t>9</t>
        </is>
      </c>
      <c r="I34" s="52" t="n">
        <v>1</v>
      </c>
      <c r="J34" s="51" t="inlineStr"/>
    </row>
    <row r="35">
      <c r="A35" s="47" t="n">
        <v>6</v>
      </c>
      <c r="B35" s="48" t="inlineStr">
        <is>
          <t>Hoàng Thị Phương Duyên</t>
        </is>
      </c>
      <c r="C35" s="47" t="inlineStr">
        <is>
          <t>Văn-Sử</t>
        </is>
      </c>
      <c r="D35" s="47" t="inlineStr">
        <is>
          <t>GVCN</t>
        </is>
      </c>
      <c r="E35" s="47" t="inlineStr">
        <is>
          <t>6A8</t>
        </is>
      </c>
      <c r="F35" s="48" t="inlineStr">
        <is>
          <t>GDCD</t>
        </is>
      </c>
      <c r="G35" s="47" t="inlineStr">
        <is>
          <t>9A12</t>
        </is>
      </c>
      <c r="H35" s="47" t="inlineStr">
        <is>
          <t>9</t>
        </is>
      </c>
      <c r="I35" s="49" t="n">
        <v>1</v>
      </c>
      <c r="J35" s="48" t="inlineStr"/>
    </row>
    <row r="36">
      <c r="A36" s="50" t="n">
        <v>7</v>
      </c>
      <c r="B36" s="51" t="inlineStr">
        <is>
          <t>Ngô Thị Xuân Hương</t>
        </is>
      </c>
      <c r="C36" s="50" t="inlineStr">
        <is>
          <t>Văn</t>
        </is>
      </c>
      <c r="D36" s="50" t="inlineStr">
        <is>
          <t>GVCN</t>
        </is>
      </c>
      <c r="E36" s="50" t="inlineStr">
        <is>
          <t>8A8</t>
        </is>
      </c>
      <c r="F36" s="51" t="inlineStr">
        <is>
          <t>Ngữ văn</t>
        </is>
      </c>
      <c r="G36" s="50" t="inlineStr">
        <is>
          <t>8A8</t>
        </is>
      </c>
      <c r="H36" s="50" t="inlineStr">
        <is>
          <t>8</t>
        </is>
      </c>
      <c r="I36" s="52" t="n">
        <v>4</v>
      </c>
      <c r="J36" s="51" t="inlineStr"/>
    </row>
    <row r="37">
      <c r="A37" s="47" t="n">
        <v>7</v>
      </c>
      <c r="B37" s="48" t="inlineStr">
        <is>
          <t>Ngô Thị Xuân Hương</t>
        </is>
      </c>
      <c r="C37" s="47" t="inlineStr">
        <is>
          <t>Văn</t>
        </is>
      </c>
      <c r="D37" s="47" t="inlineStr">
        <is>
          <t>GVCN</t>
        </is>
      </c>
      <c r="E37" s="47" t="inlineStr">
        <is>
          <t>8A8</t>
        </is>
      </c>
      <c r="F37" s="48" t="inlineStr">
        <is>
          <t>Ngữ văn</t>
        </is>
      </c>
      <c r="G37" s="47" t="inlineStr">
        <is>
          <t>8A11</t>
        </is>
      </c>
      <c r="H37" s="47" t="inlineStr">
        <is>
          <t>8</t>
        </is>
      </c>
      <c r="I37" s="49" t="n">
        <v>4</v>
      </c>
      <c r="J37" s="48" t="inlineStr"/>
    </row>
    <row r="38">
      <c r="A38" s="50" t="n">
        <v>7</v>
      </c>
      <c r="B38" s="51" t="inlineStr">
        <is>
          <t>Ngô Thị Xuân Hương</t>
        </is>
      </c>
      <c r="C38" s="50" t="inlineStr">
        <is>
          <t>Văn</t>
        </is>
      </c>
      <c r="D38" s="50" t="inlineStr">
        <is>
          <t>GVCN</t>
        </is>
      </c>
      <c r="E38" s="50" t="inlineStr">
        <is>
          <t>8A8</t>
        </is>
      </c>
      <c r="F38" s="51" t="inlineStr">
        <is>
          <t>Ngữ văn</t>
        </is>
      </c>
      <c r="G38" s="50" t="inlineStr">
        <is>
          <t>6A7</t>
        </is>
      </c>
      <c r="H38" s="50" t="inlineStr">
        <is>
          <t>6</t>
        </is>
      </c>
      <c r="I38" s="52" t="n">
        <v>4</v>
      </c>
      <c r="J38" s="51" t="inlineStr"/>
    </row>
    <row r="39">
      <c r="A39" s="47" t="n">
        <v>7</v>
      </c>
      <c r="B39" s="48" t="inlineStr">
        <is>
          <t>Ngô Thị Xuân Hương</t>
        </is>
      </c>
      <c r="C39" s="47" t="inlineStr">
        <is>
          <t>Văn</t>
        </is>
      </c>
      <c r="D39" s="47" t="inlineStr">
        <is>
          <t>GVCN</t>
        </is>
      </c>
      <c r="E39" s="47" t="inlineStr">
        <is>
          <t>8A8</t>
        </is>
      </c>
      <c r="F39" s="48" t="inlineStr">
        <is>
          <t>Nội dung giáo dục của địa phương</t>
        </is>
      </c>
      <c r="G39" s="47" t="inlineStr">
        <is>
          <t>8A7</t>
        </is>
      </c>
      <c r="H39" s="47" t="inlineStr">
        <is>
          <t>8</t>
        </is>
      </c>
      <c r="I39" s="49" t="n">
        <v>1</v>
      </c>
      <c r="J39" s="48" t="inlineStr"/>
    </row>
    <row r="40">
      <c r="A40" s="50" t="n">
        <v>7</v>
      </c>
      <c r="B40" s="51" t="inlineStr">
        <is>
          <t>Ngô Thị Xuân Hương</t>
        </is>
      </c>
      <c r="C40" s="50" t="inlineStr">
        <is>
          <t>Văn</t>
        </is>
      </c>
      <c r="D40" s="50" t="inlineStr">
        <is>
          <t>GVCN</t>
        </is>
      </c>
      <c r="E40" s="50" t="inlineStr">
        <is>
          <t>8A8</t>
        </is>
      </c>
      <c r="F40" s="51" t="inlineStr">
        <is>
          <t>Nội dung giáo dục của địa phương</t>
        </is>
      </c>
      <c r="G40" s="50" t="inlineStr">
        <is>
          <t>8A8</t>
        </is>
      </c>
      <c r="H40" s="50" t="inlineStr">
        <is>
          <t>8</t>
        </is>
      </c>
      <c r="I40" s="52" t="n">
        <v>1</v>
      </c>
      <c r="J40" s="51" t="inlineStr"/>
    </row>
    <row r="41">
      <c r="A41" s="47" t="n">
        <v>7</v>
      </c>
      <c r="B41" s="48" t="inlineStr">
        <is>
          <t>Ngô Thị Xuân Hương</t>
        </is>
      </c>
      <c r="C41" s="47" t="inlineStr">
        <is>
          <t>Văn</t>
        </is>
      </c>
      <c r="D41" s="47" t="inlineStr">
        <is>
          <t>GVCN</t>
        </is>
      </c>
      <c r="E41" s="47" t="inlineStr">
        <is>
          <t>8A8</t>
        </is>
      </c>
      <c r="F41" s="48" t="inlineStr">
        <is>
          <t>Nội dung giáo dục của địa phương</t>
        </is>
      </c>
      <c r="G41" s="47" t="inlineStr">
        <is>
          <t>8A9</t>
        </is>
      </c>
      <c r="H41" s="47" t="inlineStr">
        <is>
          <t>8</t>
        </is>
      </c>
      <c r="I41" s="49" t="n">
        <v>1</v>
      </c>
      <c r="J41" s="48" t="inlineStr"/>
    </row>
    <row r="42">
      <c r="A42" s="50" t="n">
        <v>7</v>
      </c>
      <c r="B42" s="51" t="inlineStr">
        <is>
          <t>Ngô Thị Xuân Hương</t>
        </is>
      </c>
      <c r="C42" s="50" t="inlineStr">
        <is>
          <t>Văn</t>
        </is>
      </c>
      <c r="D42" s="50" t="inlineStr">
        <is>
          <t>GVCN</t>
        </is>
      </c>
      <c r="E42" s="50" t="inlineStr">
        <is>
          <t>8A8</t>
        </is>
      </c>
      <c r="F42" s="51" t="inlineStr">
        <is>
          <t>Nội dung giáo dục của địa phương</t>
        </is>
      </c>
      <c r="G42" s="50" t="inlineStr">
        <is>
          <t>8A10</t>
        </is>
      </c>
      <c r="H42" s="50" t="inlineStr">
        <is>
          <t>8</t>
        </is>
      </c>
      <c r="I42" s="52" t="n">
        <v>1</v>
      </c>
      <c r="J42" s="51" t="inlineStr"/>
    </row>
    <row r="43">
      <c r="A43" s="47" t="n">
        <v>7</v>
      </c>
      <c r="B43" s="48" t="inlineStr">
        <is>
          <t>Ngô Thị Xuân Hương</t>
        </is>
      </c>
      <c r="C43" s="47" t="inlineStr">
        <is>
          <t>Văn</t>
        </is>
      </c>
      <c r="D43" s="47" t="inlineStr">
        <is>
          <t>GVCN</t>
        </is>
      </c>
      <c r="E43" s="47" t="inlineStr">
        <is>
          <t>8A8</t>
        </is>
      </c>
      <c r="F43" s="48" t="inlineStr">
        <is>
          <t>Nội dung giáo dục của địa phương</t>
        </is>
      </c>
      <c r="G43" s="47" t="inlineStr">
        <is>
          <t>8A11</t>
        </is>
      </c>
      <c r="H43" s="47" t="inlineStr">
        <is>
          <t>8</t>
        </is>
      </c>
      <c r="I43" s="49" t="n">
        <v>1</v>
      </c>
      <c r="J43" s="48" t="inlineStr"/>
    </row>
    <row r="44">
      <c r="A44" s="50" t="n">
        <v>8</v>
      </c>
      <c r="B44" s="51" t="inlineStr">
        <is>
          <t>Bùi Thị Mỹ Hạnh</t>
        </is>
      </c>
      <c r="C44" s="50" t="inlineStr">
        <is>
          <t>Văn-Sử</t>
        </is>
      </c>
      <c r="D44" s="50" t="inlineStr">
        <is>
          <t>GVCN</t>
        </is>
      </c>
      <c r="E44" s="50" t="inlineStr">
        <is>
          <t>7A9</t>
        </is>
      </c>
      <c r="F44" s="51" t="inlineStr">
        <is>
          <t>Ngữ văn</t>
        </is>
      </c>
      <c r="G44" s="50" t="inlineStr">
        <is>
          <t>7A9</t>
        </is>
      </c>
      <c r="H44" s="50" t="inlineStr">
        <is>
          <t>7</t>
        </is>
      </c>
      <c r="I44" s="52" t="n">
        <v>4</v>
      </c>
      <c r="J44" s="51" t="inlineStr"/>
    </row>
    <row r="45">
      <c r="A45" s="47" t="n">
        <v>8</v>
      </c>
      <c r="B45" s="48" t="inlineStr">
        <is>
          <t>Bùi Thị Mỹ Hạnh</t>
        </is>
      </c>
      <c r="C45" s="47" t="inlineStr">
        <is>
          <t>Văn-Sử</t>
        </is>
      </c>
      <c r="D45" s="47" t="inlineStr">
        <is>
          <t>GVCN</t>
        </is>
      </c>
      <c r="E45" s="47" t="inlineStr">
        <is>
          <t>7A9</t>
        </is>
      </c>
      <c r="F45" s="48" t="inlineStr">
        <is>
          <t>Ngữ văn</t>
        </is>
      </c>
      <c r="G45" s="47" t="inlineStr">
        <is>
          <t>7A10</t>
        </is>
      </c>
      <c r="H45" s="47" t="inlineStr">
        <is>
          <t>7</t>
        </is>
      </c>
      <c r="I45" s="49" t="n">
        <v>4</v>
      </c>
      <c r="J45" s="48" t="inlineStr"/>
    </row>
    <row r="46">
      <c r="A46" s="50" t="n">
        <v>8</v>
      </c>
      <c r="B46" s="51" t="inlineStr">
        <is>
          <t>Bùi Thị Mỹ Hạnh</t>
        </is>
      </c>
      <c r="C46" s="50" t="inlineStr">
        <is>
          <t>Văn-Sử</t>
        </is>
      </c>
      <c r="D46" s="50" t="inlineStr">
        <is>
          <t>GVCN</t>
        </is>
      </c>
      <c r="E46" s="50" t="inlineStr">
        <is>
          <t>7A9</t>
        </is>
      </c>
      <c r="F46" s="51" t="inlineStr">
        <is>
          <t>Ngữ văn</t>
        </is>
      </c>
      <c r="G46" s="50" t="inlineStr">
        <is>
          <t>9A10</t>
        </is>
      </c>
      <c r="H46" s="50" t="inlineStr">
        <is>
          <t>9</t>
        </is>
      </c>
      <c r="I46" s="52" t="n">
        <v>4</v>
      </c>
      <c r="J46" s="51" t="inlineStr"/>
    </row>
    <row r="47">
      <c r="A47" s="47" t="n">
        <v>8</v>
      </c>
      <c r="B47" s="48" t="inlineStr">
        <is>
          <t>Bùi Thị Mỹ Hạnh</t>
        </is>
      </c>
      <c r="C47" s="47" t="inlineStr">
        <is>
          <t>Văn-Sử</t>
        </is>
      </c>
      <c r="D47" s="47" t="inlineStr">
        <is>
          <t>GVCN</t>
        </is>
      </c>
      <c r="E47" s="47" t="inlineStr">
        <is>
          <t>7A9</t>
        </is>
      </c>
      <c r="F47" s="48" t="inlineStr">
        <is>
          <t>GDCD</t>
        </is>
      </c>
      <c r="G47" s="47" t="inlineStr">
        <is>
          <t>8A7</t>
        </is>
      </c>
      <c r="H47" s="47" t="inlineStr">
        <is>
          <t>8</t>
        </is>
      </c>
      <c r="I47" s="49" t="n">
        <v>1</v>
      </c>
      <c r="J47" s="48" t="inlineStr"/>
    </row>
    <row r="48">
      <c r="A48" s="50" t="n">
        <v>8</v>
      </c>
      <c r="B48" s="51" t="inlineStr">
        <is>
          <t>Bùi Thị Mỹ Hạnh</t>
        </is>
      </c>
      <c r="C48" s="50" t="inlineStr">
        <is>
          <t>Văn-Sử</t>
        </is>
      </c>
      <c r="D48" s="50" t="inlineStr">
        <is>
          <t>GVCN</t>
        </is>
      </c>
      <c r="E48" s="50" t="inlineStr">
        <is>
          <t>7A9</t>
        </is>
      </c>
      <c r="F48" s="51" t="inlineStr">
        <is>
          <t>GDCD</t>
        </is>
      </c>
      <c r="G48" s="50" t="inlineStr">
        <is>
          <t>8A8</t>
        </is>
      </c>
      <c r="H48" s="50" t="inlineStr">
        <is>
          <t>8</t>
        </is>
      </c>
      <c r="I48" s="52" t="n">
        <v>1</v>
      </c>
      <c r="J48" s="51" t="inlineStr"/>
    </row>
    <row r="49">
      <c r="A49" s="47" t="n">
        <v>8</v>
      </c>
      <c r="B49" s="48" t="inlineStr">
        <is>
          <t>Bùi Thị Mỹ Hạnh</t>
        </is>
      </c>
      <c r="C49" s="47" t="inlineStr">
        <is>
          <t>Văn-Sử</t>
        </is>
      </c>
      <c r="D49" s="47" t="inlineStr">
        <is>
          <t>GVCN</t>
        </is>
      </c>
      <c r="E49" s="47" t="inlineStr">
        <is>
          <t>7A9</t>
        </is>
      </c>
      <c r="F49" s="48" t="inlineStr">
        <is>
          <t>GDCD</t>
        </is>
      </c>
      <c r="G49" s="47" t="inlineStr">
        <is>
          <t>8A9</t>
        </is>
      </c>
      <c r="H49" s="47" t="inlineStr">
        <is>
          <t>8</t>
        </is>
      </c>
      <c r="I49" s="49" t="n">
        <v>1</v>
      </c>
      <c r="J49" s="48" t="inlineStr"/>
    </row>
    <row r="50">
      <c r="A50" s="50" t="n">
        <v>8</v>
      </c>
      <c r="B50" s="51" t="inlineStr">
        <is>
          <t>Bùi Thị Mỹ Hạnh</t>
        </is>
      </c>
      <c r="C50" s="50" t="inlineStr">
        <is>
          <t>Văn-Sử</t>
        </is>
      </c>
      <c r="D50" s="50" t="inlineStr">
        <is>
          <t>GVCN</t>
        </is>
      </c>
      <c r="E50" s="50" t="inlineStr">
        <is>
          <t>7A9</t>
        </is>
      </c>
      <c r="F50" s="51" t="inlineStr">
        <is>
          <t>GDCD</t>
        </is>
      </c>
      <c r="G50" s="50" t="inlineStr">
        <is>
          <t>8A10</t>
        </is>
      </c>
      <c r="H50" s="50" t="inlineStr">
        <is>
          <t>8</t>
        </is>
      </c>
      <c r="I50" s="52" t="n">
        <v>1</v>
      </c>
      <c r="J50" s="51" t="inlineStr"/>
    </row>
    <row r="51">
      <c r="A51" s="47" t="n">
        <v>8</v>
      </c>
      <c r="B51" s="48" t="inlineStr">
        <is>
          <t>Bùi Thị Mỹ Hạnh</t>
        </is>
      </c>
      <c r="C51" s="47" t="inlineStr">
        <is>
          <t>Văn-Sử</t>
        </is>
      </c>
      <c r="D51" s="47" t="inlineStr">
        <is>
          <t>GVCN</t>
        </is>
      </c>
      <c r="E51" s="47" t="inlineStr">
        <is>
          <t>7A9</t>
        </is>
      </c>
      <c r="F51" s="48" t="inlineStr">
        <is>
          <t>GDCD</t>
        </is>
      </c>
      <c r="G51" s="47" t="inlineStr">
        <is>
          <t>8A11</t>
        </is>
      </c>
      <c r="H51" s="47" t="inlineStr">
        <is>
          <t>8</t>
        </is>
      </c>
      <c r="I51" s="49" t="n">
        <v>1</v>
      </c>
      <c r="J51" s="48" t="inlineStr"/>
    </row>
    <row r="52">
      <c r="A52" s="50" t="n">
        <v>9</v>
      </c>
      <c r="B52" s="51" t="inlineStr">
        <is>
          <t>Triệu Thị Luyến</t>
        </is>
      </c>
      <c r="C52" s="50" t="inlineStr">
        <is>
          <t>Văn</t>
        </is>
      </c>
      <c r="D52" s="50" t="inlineStr">
        <is>
          <t>GVCN</t>
        </is>
      </c>
      <c r="E52" s="50" t="inlineStr">
        <is>
          <t>9A12</t>
        </is>
      </c>
      <c r="F52" s="51" t="inlineStr">
        <is>
          <t>Ngữ văn</t>
        </is>
      </c>
      <c r="G52" s="50" t="inlineStr">
        <is>
          <t>9A12</t>
        </is>
      </c>
      <c r="H52" s="50" t="inlineStr">
        <is>
          <t>9</t>
        </is>
      </c>
      <c r="I52" s="52" t="n">
        <v>4</v>
      </c>
      <c r="J52" s="51" t="inlineStr"/>
    </row>
    <row r="53">
      <c r="A53" s="47" t="n">
        <v>9</v>
      </c>
      <c r="B53" s="48" t="inlineStr">
        <is>
          <t>Triệu Thị Luyến</t>
        </is>
      </c>
      <c r="C53" s="47" t="inlineStr">
        <is>
          <t>Văn</t>
        </is>
      </c>
      <c r="D53" s="47" t="inlineStr">
        <is>
          <t>GVCN</t>
        </is>
      </c>
      <c r="E53" s="47" t="inlineStr">
        <is>
          <t>9A12</t>
        </is>
      </c>
      <c r="F53" s="48" t="inlineStr">
        <is>
          <t>Ngữ văn</t>
        </is>
      </c>
      <c r="G53" s="47" t="inlineStr">
        <is>
          <t>7A7</t>
        </is>
      </c>
      <c r="H53" s="47" t="inlineStr">
        <is>
          <t>7</t>
        </is>
      </c>
      <c r="I53" s="49" t="n">
        <v>4</v>
      </c>
      <c r="J53" s="48" t="inlineStr"/>
    </row>
    <row r="54">
      <c r="A54" s="50" t="n">
        <v>9</v>
      </c>
      <c r="B54" s="51" t="inlineStr">
        <is>
          <t>Triệu Thị Luyến</t>
        </is>
      </c>
      <c r="C54" s="50" t="inlineStr">
        <is>
          <t>Văn</t>
        </is>
      </c>
      <c r="D54" s="50" t="inlineStr">
        <is>
          <t>GVCN</t>
        </is>
      </c>
      <c r="E54" s="50" t="inlineStr">
        <is>
          <t>9A12</t>
        </is>
      </c>
      <c r="F54" s="51" t="inlineStr">
        <is>
          <t>Nội dung giáo dục của địa phương</t>
        </is>
      </c>
      <c r="G54" s="50" t="inlineStr">
        <is>
          <t>7A7</t>
        </is>
      </c>
      <c r="H54" s="50" t="inlineStr">
        <is>
          <t>7</t>
        </is>
      </c>
      <c r="I54" s="52" t="n">
        <v>1</v>
      </c>
      <c r="J54" s="51" t="inlineStr"/>
    </row>
    <row r="55">
      <c r="A55" s="47" t="n">
        <v>9</v>
      </c>
      <c r="B55" s="48" t="inlineStr">
        <is>
          <t>Triệu Thị Luyến</t>
        </is>
      </c>
      <c r="C55" s="47" t="inlineStr">
        <is>
          <t>Văn</t>
        </is>
      </c>
      <c r="D55" s="47" t="inlineStr">
        <is>
          <t>GVCN</t>
        </is>
      </c>
      <c r="E55" s="47" t="inlineStr">
        <is>
          <t>9A12</t>
        </is>
      </c>
      <c r="F55" s="48" t="inlineStr">
        <is>
          <t>Nội dung giáo dục của địa phương</t>
        </is>
      </c>
      <c r="G55" s="47" t="inlineStr">
        <is>
          <t>7A8</t>
        </is>
      </c>
      <c r="H55" s="47" t="inlineStr">
        <is>
          <t>7</t>
        </is>
      </c>
      <c r="I55" s="49" t="n">
        <v>1</v>
      </c>
      <c r="J55" s="48" t="inlineStr"/>
    </row>
    <row r="56">
      <c r="A56" s="50" t="n">
        <v>9</v>
      </c>
      <c r="B56" s="51" t="inlineStr">
        <is>
          <t>Triệu Thị Luyến</t>
        </is>
      </c>
      <c r="C56" s="50" t="inlineStr">
        <is>
          <t>Văn</t>
        </is>
      </c>
      <c r="D56" s="50" t="inlineStr">
        <is>
          <t>GVCN</t>
        </is>
      </c>
      <c r="E56" s="50" t="inlineStr">
        <is>
          <t>9A12</t>
        </is>
      </c>
      <c r="F56" s="51" t="inlineStr">
        <is>
          <t>Nội dung giáo dục của địa phương</t>
        </is>
      </c>
      <c r="G56" s="50" t="inlineStr">
        <is>
          <t>7A9</t>
        </is>
      </c>
      <c r="H56" s="50" t="inlineStr">
        <is>
          <t>7</t>
        </is>
      </c>
      <c r="I56" s="52" t="n">
        <v>1</v>
      </c>
      <c r="J56" s="51" t="inlineStr"/>
    </row>
    <row r="57">
      <c r="A57" s="47" t="n">
        <v>9</v>
      </c>
      <c r="B57" s="48" t="inlineStr">
        <is>
          <t>Triệu Thị Luyến</t>
        </is>
      </c>
      <c r="C57" s="47" t="inlineStr">
        <is>
          <t>Văn</t>
        </is>
      </c>
      <c r="D57" s="47" t="inlineStr">
        <is>
          <t>GVCN</t>
        </is>
      </c>
      <c r="E57" s="47" t="inlineStr">
        <is>
          <t>9A12</t>
        </is>
      </c>
      <c r="F57" s="48" t="inlineStr">
        <is>
          <t>Nội dung giáo dục của địa phương</t>
        </is>
      </c>
      <c r="G57" s="47" t="inlineStr">
        <is>
          <t>7A10</t>
        </is>
      </c>
      <c r="H57" s="47" t="inlineStr">
        <is>
          <t>7</t>
        </is>
      </c>
      <c r="I57" s="49" t="n">
        <v>1</v>
      </c>
      <c r="J57" s="48" t="inlineStr"/>
    </row>
    <row r="58">
      <c r="A58" s="50" t="n">
        <v>9</v>
      </c>
      <c r="B58" s="51" t="inlineStr">
        <is>
          <t>Triệu Thị Luyến</t>
        </is>
      </c>
      <c r="C58" s="50" t="inlineStr">
        <is>
          <t>Văn</t>
        </is>
      </c>
      <c r="D58" s="50" t="inlineStr">
        <is>
          <t>GVCN</t>
        </is>
      </c>
      <c r="E58" s="50" t="inlineStr">
        <is>
          <t>9A12</t>
        </is>
      </c>
      <c r="F58" s="51" t="inlineStr">
        <is>
          <t>Nội dung giáo dục của địa phương</t>
        </is>
      </c>
      <c r="G58" s="50" t="inlineStr">
        <is>
          <t>7A11</t>
        </is>
      </c>
      <c r="H58" s="50" t="inlineStr">
        <is>
          <t>7</t>
        </is>
      </c>
      <c r="I58" s="52" t="n">
        <v>1</v>
      </c>
      <c r="J58" s="51" t="inlineStr"/>
    </row>
    <row r="59">
      <c r="A59" s="47" t="n">
        <v>9</v>
      </c>
      <c r="B59" s="48" t="inlineStr">
        <is>
          <t>Triệu Thị Luyến</t>
        </is>
      </c>
      <c r="C59" s="47" t="inlineStr">
        <is>
          <t>Văn</t>
        </is>
      </c>
      <c r="D59" s="47" t="inlineStr">
        <is>
          <t>GVCN</t>
        </is>
      </c>
      <c r="E59" s="47" t="inlineStr">
        <is>
          <t>9A12</t>
        </is>
      </c>
      <c r="F59" s="48" t="inlineStr">
        <is>
          <t>Nội dung giáo dục của địa phương</t>
        </is>
      </c>
      <c r="G59" s="47" t="inlineStr">
        <is>
          <t>9A8</t>
        </is>
      </c>
      <c r="H59" s="47" t="inlineStr">
        <is>
          <t>9</t>
        </is>
      </c>
      <c r="I59" s="49" t="n">
        <v>1</v>
      </c>
      <c r="J59" s="48" t="inlineStr"/>
    </row>
    <row r="60">
      <c r="A60" s="50" t="n">
        <v>9</v>
      </c>
      <c r="B60" s="51" t="inlineStr">
        <is>
          <t>Triệu Thị Luyến</t>
        </is>
      </c>
      <c r="C60" s="50" t="inlineStr">
        <is>
          <t>Văn</t>
        </is>
      </c>
      <c r="D60" s="50" t="inlineStr">
        <is>
          <t>GVCN</t>
        </is>
      </c>
      <c r="E60" s="50" t="inlineStr">
        <is>
          <t>9A12</t>
        </is>
      </c>
      <c r="F60" s="51" t="inlineStr">
        <is>
          <t>Nội dung giáo dục của địa phương</t>
        </is>
      </c>
      <c r="G60" s="50" t="inlineStr">
        <is>
          <t>9A9</t>
        </is>
      </c>
      <c r="H60" s="50" t="inlineStr">
        <is>
          <t>9</t>
        </is>
      </c>
      <c r="I60" s="52" t="n">
        <v>1</v>
      </c>
      <c r="J60" s="51" t="inlineStr"/>
    </row>
    <row r="61">
      <c r="A61" s="47" t="n">
        <v>9</v>
      </c>
      <c r="B61" s="48" t="inlineStr">
        <is>
          <t>Triệu Thị Luyến</t>
        </is>
      </c>
      <c r="C61" s="47" t="inlineStr">
        <is>
          <t>Văn</t>
        </is>
      </c>
      <c r="D61" s="47" t="inlineStr">
        <is>
          <t>GVCN</t>
        </is>
      </c>
      <c r="E61" s="47" t="inlineStr">
        <is>
          <t>9A12</t>
        </is>
      </c>
      <c r="F61" s="48" t="inlineStr">
        <is>
          <t>Nội dung giáo dục của địa phương</t>
        </is>
      </c>
      <c r="G61" s="47" t="inlineStr">
        <is>
          <t>9A10</t>
        </is>
      </c>
      <c r="H61" s="47" t="inlineStr">
        <is>
          <t>9</t>
        </is>
      </c>
      <c r="I61" s="49" t="n">
        <v>1</v>
      </c>
      <c r="J61" s="48" t="inlineStr"/>
    </row>
    <row r="62">
      <c r="A62" s="50" t="n">
        <v>10</v>
      </c>
      <c r="B62" s="51" t="inlineStr">
        <is>
          <t>Hoàng Thị Kiều Loan</t>
        </is>
      </c>
      <c r="C62" s="50" t="inlineStr">
        <is>
          <t>Văn</t>
        </is>
      </c>
      <c r="D62" s="50" t="inlineStr">
        <is>
          <t>HĐ235</t>
        </is>
      </c>
      <c r="E62" s="50" t="inlineStr"/>
      <c r="F62" s="51" t="inlineStr">
        <is>
          <t>Ngữ văn</t>
        </is>
      </c>
      <c r="G62" s="50" t="inlineStr">
        <is>
          <t>7A11</t>
        </is>
      </c>
      <c r="H62" s="50" t="inlineStr">
        <is>
          <t>7</t>
        </is>
      </c>
      <c r="I62" s="52" t="n">
        <v>4</v>
      </c>
      <c r="J62" s="51" t="inlineStr"/>
    </row>
    <row r="63">
      <c r="A63" s="47" t="n">
        <v>10</v>
      </c>
      <c r="B63" s="48" t="inlineStr">
        <is>
          <t>Hoàng Thị Kiều Loan</t>
        </is>
      </c>
      <c r="C63" s="47" t="inlineStr">
        <is>
          <t>Văn</t>
        </is>
      </c>
      <c r="D63" s="47" t="inlineStr">
        <is>
          <t>HĐ235</t>
        </is>
      </c>
      <c r="E63" s="47" t="inlineStr"/>
      <c r="F63" s="48" t="inlineStr">
        <is>
          <t>GDCD</t>
        </is>
      </c>
      <c r="G63" s="47" t="inlineStr">
        <is>
          <t>6A7</t>
        </is>
      </c>
      <c r="H63" s="47" t="inlineStr">
        <is>
          <t>6</t>
        </is>
      </c>
      <c r="I63" s="49" t="n">
        <v>1</v>
      </c>
      <c r="J63" s="48" t="inlineStr"/>
    </row>
    <row r="64">
      <c r="A64" s="50" t="n">
        <v>10</v>
      </c>
      <c r="B64" s="51" t="inlineStr">
        <is>
          <t>Hoàng Thị Kiều Loan</t>
        </is>
      </c>
      <c r="C64" s="50" t="inlineStr">
        <is>
          <t>Văn</t>
        </is>
      </c>
      <c r="D64" s="50" t="inlineStr">
        <is>
          <t>HĐ235</t>
        </is>
      </c>
      <c r="E64" s="50" t="inlineStr"/>
      <c r="F64" s="51" t="inlineStr">
        <is>
          <t>GDCD</t>
        </is>
      </c>
      <c r="G64" s="50" t="inlineStr">
        <is>
          <t>6A8</t>
        </is>
      </c>
      <c r="H64" s="50" t="inlineStr">
        <is>
          <t>6</t>
        </is>
      </c>
      <c r="I64" s="52" t="n">
        <v>1</v>
      </c>
      <c r="J64" s="51" t="inlineStr"/>
    </row>
    <row r="65">
      <c r="A65" s="47" t="n">
        <v>10</v>
      </c>
      <c r="B65" s="48" t="inlineStr">
        <is>
          <t>Hoàng Thị Kiều Loan</t>
        </is>
      </c>
      <c r="C65" s="47" t="inlineStr">
        <is>
          <t>Văn</t>
        </is>
      </c>
      <c r="D65" s="47" t="inlineStr">
        <is>
          <t>HĐ235</t>
        </is>
      </c>
      <c r="E65" s="47" t="inlineStr"/>
      <c r="F65" s="48" t="inlineStr">
        <is>
          <t>GDCD</t>
        </is>
      </c>
      <c r="G65" s="47" t="inlineStr">
        <is>
          <t>6A9</t>
        </is>
      </c>
      <c r="H65" s="47" t="inlineStr">
        <is>
          <t>6</t>
        </is>
      </c>
      <c r="I65" s="49" t="n">
        <v>1</v>
      </c>
      <c r="J65" s="48" t="inlineStr"/>
    </row>
    <row r="66">
      <c r="A66" s="50" t="n">
        <v>10</v>
      </c>
      <c r="B66" s="51" t="inlineStr">
        <is>
          <t>Hoàng Thị Kiều Loan</t>
        </is>
      </c>
      <c r="C66" s="50" t="inlineStr">
        <is>
          <t>Văn</t>
        </is>
      </c>
      <c r="D66" s="50" t="inlineStr">
        <is>
          <t>HĐ235</t>
        </is>
      </c>
      <c r="E66" s="50" t="inlineStr"/>
      <c r="F66" s="51" t="inlineStr">
        <is>
          <t>GDCD</t>
        </is>
      </c>
      <c r="G66" s="50" t="inlineStr">
        <is>
          <t>6A10</t>
        </is>
      </c>
      <c r="H66" s="50" t="inlineStr">
        <is>
          <t>6</t>
        </is>
      </c>
      <c r="I66" s="52" t="n">
        <v>1</v>
      </c>
      <c r="J66" s="51" t="inlineStr"/>
    </row>
    <row r="67">
      <c r="A67" s="47" t="n">
        <v>10</v>
      </c>
      <c r="B67" s="48" t="inlineStr">
        <is>
          <t>Hoàng Thị Kiều Loan</t>
        </is>
      </c>
      <c r="C67" s="47" t="inlineStr">
        <is>
          <t>Văn</t>
        </is>
      </c>
      <c r="D67" s="47" t="inlineStr">
        <is>
          <t>HĐ235</t>
        </is>
      </c>
      <c r="E67" s="47" t="inlineStr"/>
      <c r="F67" s="48" t="inlineStr">
        <is>
          <t>GDCD</t>
        </is>
      </c>
      <c r="G67" s="47" t="inlineStr">
        <is>
          <t>6A11</t>
        </is>
      </c>
      <c r="H67" s="47" t="inlineStr">
        <is>
          <t>6</t>
        </is>
      </c>
      <c r="I67" s="49" t="n">
        <v>1</v>
      </c>
      <c r="J67" s="48" t="inlineStr"/>
    </row>
    <row r="68">
      <c r="A68" s="50" t="n">
        <v>10</v>
      </c>
      <c r="B68" s="51" t="inlineStr">
        <is>
          <t>Hoàng Thị Kiều Loan</t>
        </is>
      </c>
      <c r="C68" s="50" t="inlineStr">
        <is>
          <t>Văn</t>
        </is>
      </c>
      <c r="D68" s="50" t="inlineStr">
        <is>
          <t>HĐ235</t>
        </is>
      </c>
      <c r="E68" s="50" t="inlineStr"/>
      <c r="F68" s="51" t="inlineStr">
        <is>
          <t>Hoạt động trải nghiệm, hướng nghiệp</t>
        </is>
      </c>
      <c r="G68" s="50" t="inlineStr">
        <is>
          <t>8A7</t>
        </is>
      </c>
      <c r="H68" s="50" t="inlineStr">
        <is>
          <t>8</t>
        </is>
      </c>
      <c r="I68" s="52" t="n">
        <v>3</v>
      </c>
      <c r="J68" s="51" t="inlineStr"/>
    </row>
    <row r="69">
      <c r="A69" s="47" t="n">
        <v>10</v>
      </c>
      <c r="B69" s="48" t="inlineStr">
        <is>
          <t>Hoàng Thị Kiều Loan</t>
        </is>
      </c>
      <c r="C69" s="47" t="inlineStr">
        <is>
          <t>Văn</t>
        </is>
      </c>
      <c r="D69" s="47" t="inlineStr">
        <is>
          <t>HĐ235</t>
        </is>
      </c>
      <c r="E69" s="47" t="inlineStr"/>
      <c r="F69" s="48" t="inlineStr">
        <is>
          <t>Hoạt động trải nghiệm, hướng nghiệp</t>
        </is>
      </c>
      <c r="G69" s="47" t="inlineStr">
        <is>
          <t>8A8</t>
        </is>
      </c>
      <c r="H69" s="47" t="inlineStr">
        <is>
          <t>8</t>
        </is>
      </c>
      <c r="I69" s="49" t="n">
        <v>3</v>
      </c>
      <c r="J69" s="48" t="inlineStr"/>
    </row>
    <row r="70">
      <c r="A70" s="50" t="n">
        <v>10</v>
      </c>
      <c r="B70" s="51" t="inlineStr">
        <is>
          <t>Hoàng Thị Kiều Loan</t>
        </is>
      </c>
      <c r="C70" s="50" t="inlineStr">
        <is>
          <t>Văn</t>
        </is>
      </c>
      <c r="D70" s="50" t="inlineStr">
        <is>
          <t>HĐ235</t>
        </is>
      </c>
      <c r="E70" s="50" t="inlineStr"/>
      <c r="F70" s="51" t="inlineStr">
        <is>
          <t>Hoạt động trải nghiệm, hướng nghiệp</t>
        </is>
      </c>
      <c r="G70" s="50" t="inlineStr">
        <is>
          <t>8A9</t>
        </is>
      </c>
      <c r="H70" s="50" t="inlineStr">
        <is>
          <t>8</t>
        </is>
      </c>
      <c r="I70" s="52" t="n">
        <v>3</v>
      </c>
      <c r="J70" s="51" t="inlineStr"/>
    </row>
    <row r="71">
      <c r="A71" s="47" t="n">
        <v>10</v>
      </c>
      <c r="B71" s="48" t="inlineStr">
        <is>
          <t>Hoàng Thị Kiều Loan</t>
        </is>
      </c>
      <c r="C71" s="47" t="inlineStr">
        <is>
          <t>Văn</t>
        </is>
      </c>
      <c r="D71" s="47" t="inlineStr">
        <is>
          <t>HĐ235</t>
        </is>
      </c>
      <c r="E71" s="47" t="inlineStr"/>
      <c r="F71" s="48" t="inlineStr">
        <is>
          <t>Công nghệ</t>
        </is>
      </c>
      <c r="G71" s="47" t="inlineStr">
        <is>
          <t>7A7</t>
        </is>
      </c>
      <c r="H71" s="47" t="inlineStr">
        <is>
          <t>7</t>
        </is>
      </c>
      <c r="I71" s="49" t="n">
        <v>1</v>
      </c>
      <c r="J71" s="48" t="inlineStr"/>
    </row>
    <row r="72">
      <c r="A72" s="50" t="n">
        <v>11</v>
      </c>
      <c r="B72" s="51" t="inlineStr">
        <is>
          <t>Bàng Thị Phượng</t>
        </is>
      </c>
      <c r="C72" s="50" t="inlineStr">
        <is>
          <t>Văn</t>
        </is>
      </c>
      <c r="D72" s="50" t="inlineStr">
        <is>
          <t>HĐ235</t>
        </is>
      </c>
      <c r="E72" s="50" t="inlineStr"/>
      <c r="F72" s="51" t="inlineStr">
        <is>
          <t>Ngữ văn</t>
        </is>
      </c>
      <c r="G72" s="50" t="inlineStr">
        <is>
          <t>6A11</t>
        </is>
      </c>
      <c r="H72" s="50" t="inlineStr">
        <is>
          <t>6</t>
        </is>
      </c>
      <c r="I72" s="52" t="n">
        <v>4</v>
      </c>
      <c r="J72" s="51" t="inlineStr"/>
    </row>
    <row r="73">
      <c r="A73" s="47" t="n">
        <v>11</v>
      </c>
      <c r="B73" s="48" t="inlineStr">
        <is>
          <t>Bàng Thị Phượng</t>
        </is>
      </c>
      <c r="C73" s="47" t="inlineStr">
        <is>
          <t>Văn</t>
        </is>
      </c>
      <c r="D73" s="47" t="inlineStr">
        <is>
          <t>HĐ235</t>
        </is>
      </c>
      <c r="E73" s="47" t="inlineStr"/>
      <c r="F73" s="48" t="inlineStr">
        <is>
          <t>GDCD</t>
        </is>
      </c>
      <c r="G73" s="47" t="inlineStr">
        <is>
          <t>7A7</t>
        </is>
      </c>
      <c r="H73" s="47" t="inlineStr">
        <is>
          <t>7</t>
        </is>
      </c>
      <c r="I73" s="49" t="n">
        <v>1</v>
      </c>
      <c r="J73" s="48" t="inlineStr"/>
    </row>
    <row r="74">
      <c r="A74" s="50" t="n">
        <v>11</v>
      </c>
      <c r="B74" s="51" t="inlineStr">
        <is>
          <t>Bàng Thị Phượng</t>
        </is>
      </c>
      <c r="C74" s="50" t="inlineStr">
        <is>
          <t>Văn</t>
        </is>
      </c>
      <c r="D74" s="50" t="inlineStr">
        <is>
          <t>HĐ235</t>
        </is>
      </c>
      <c r="E74" s="50" t="inlineStr"/>
      <c r="F74" s="51" t="inlineStr">
        <is>
          <t>GDCD</t>
        </is>
      </c>
      <c r="G74" s="50" t="inlineStr">
        <is>
          <t>7A8</t>
        </is>
      </c>
      <c r="H74" s="50" t="inlineStr">
        <is>
          <t>7</t>
        </is>
      </c>
      <c r="I74" s="52" t="n">
        <v>1</v>
      </c>
      <c r="J74" s="51" t="inlineStr"/>
    </row>
    <row r="75">
      <c r="A75" s="47" t="n">
        <v>11</v>
      </c>
      <c r="B75" s="48" t="inlineStr">
        <is>
          <t>Bàng Thị Phượng</t>
        </is>
      </c>
      <c r="C75" s="47" t="inlineStr">
        <is>
          <t>Văn</t>
        </is>
      </c>
      <c r="D75" s="47" t="inlineStr">
        <is>
          <t>HĐ235</t>
        </is>
      </c>
      <c r="E75" s="47" t="inlineStr"/>
      <c r="F75" s="48" t="inlineStr">
        <is>
          <t>GDCD</t>
        </is>
      </c>
      <c r="G75" s="47" t="inlineStr">
        <is>
          <t>7A9</t>
        </is>
      </c>
      <c r="H75" s="47" t="inlineStr">
        <is>
          <t>7</t>
        </is>
      </c>
      <c r="I75" s="49" t="n">
        <v>1</v>
      </c>
      <c r="J75" s="48" t="inlineStr"/>
    </row>
    <row r="76">
      <c r="A76" s="50" t="n">
        <v>11</v>
      </c>
      <c r="B76" s="51" t="inlineStr">
        <is>
          <t>Bàng Thị Phượng</t>
        </is>
      </c>
      <c r="C76" s="50" t="inlineStr">
        <is>
          <t>Văn</t>
        </is>
      </c>
      <c r="D76" s="50" t="inlineStr">
        <is>
          <t>HĐ235</t>
        </is>
      </c>
      <c r="E76" s="50" t="inlineStr"/>
      <c r="F76" s="51" t="inlineStr">
        <is>
          <t>GDCD</t>
        </is>
      </c>
      <c r="G76" s="50" t="inlineStr">
        <is>
          <t>7A10</t>
        </is>
      </c>
      <c r="H76" s="50" t="inlineStr">
        <is>
          <t>7</t>
        </is>
      </c>
      <c r="I76" s="52" t="n">
        <v>1</v>
      </c>
      <c r="J76" s="51" t="inlineStr"/>
    </row>
    <row r="77">
      <c r="A77" s="47" t="n">
        <v>11</v>
      </c>
      <c r="B77" s="48" t="inlineStr">
        <is>
          <t>Bàng Thị Phượng</t>
        </is>
      </c>
      <c r="C77" s="47" t="inlineStr">
        <is>
          <t>Văn</t>
        </is>
      </c>
      <c r="D77" s="47" t="inlineStr">
        <is>
          <t>HĐ235</t>
        </is>
      </c>
      <c r="E77" s="47" t="inlineStr"/>
      <c r="F77" s="48" t="inlineStr">
        <is>
          <t>GDCD</t>
        </is>
      </c>
      <c r="G77" s="47" t="inlineStr">
        <is>
          <t>7A11</t>
        </is>
      </c>
      <c r="H77" s="47" t="inlineStr">
        <is>
          <t>7</t>
        </is>
      </c>
      <c r="I77" s="49" t="n">
        <v>1</v>
      </c>
      <c r="J77" s="48" t="inlineStr"/>
    </row>
    <row r="78">
      <c r="A78" s="50" t="n">
        <v>11</v>
      </c>
      <c r="B78" s="51" t="inlineStr">
        <is>
          <t>Bàng Thị Phượng</t>
        </is>
      </c>
      <c r="C78" s="50" t="inlineStr">
        <is>
          <t>Văn</t>
        </is>
      </c>
      <c r="D78" s="50" t="inlineStr">
        <is>
          <t>HĐ235</t>
        </is>
      </c>
      <c r="E78" s="50" t="inlineStr"/>
      <c r="F78" s="51" t="inlineStr">
        <is>
          <t>Hoạt động trải nghiệm, hướng nghiệp</t>
        </is>
      </c>
      <c r="G78" s="50" t="inlineStr">
        <is>
          <t>6A10</t>
        </is>
      </c>
      <c r="H78" s="50" t="inlineStr">
        <is>
          <t>6</t>
        </is>
      </c>
      <c r="I78" s="52" t="n">
        <v>3</v>
      </c>
      <c r="J78" s="51" t="inlineStr"/>
    </row>
    <row r="79">
      <c r="A79" s="47" t="n">
        <v>11</v>
      </c>
      <c r="B79" s="48" t="inlineStr">
        <is>
          <t>Bàng Thị Phượng</t>
        </is>
      </c>
      <c r="C79" s="47" t="inlineStr">
        <is>
          <t>Văn</t>
        </is>
      </c>
      <c r="D79" s="47" t="inlineStr">
        <is>
          <t>HĐ235</t>
        </is>
      </c>
      <c r="E79" s="47" t="inlineStr"/>
      <c r="F79" s="48" t="inlineStr">
        <is>
          <t>Hoạt động trải nghiệm, hướng nghiệp</t>
        </is>
      </c>
      <c r="G79" s="47" t="inlineStr">
        <is>
          <t>6A11</t>
        </is>
      </c>
      <c r="H79" s="47" t="inlineStr">
        <is>
          <t>6</t>
        </is>
      </c>
      <c r="I79" s="49" t="n">
        <v>3</v>
      </c>
      <c r="J79" s="48" t="inlineStr"/>
    </row>
    <row r="80">
      <c r="A80" s="50" t="n">
        <v>11</v>
      </c>
      <c r="B80" s="51" t="inlineStr">
        <is>
          <t>Bàng Thị Phượng</t>
        </is>
      </c>
      <c r="C80" s="50" t="inlineStr">
        <is>
          <t>Văn</t>
        </is>
      </c>
      <c r="D80" s="50" t="inlineStr">
        <is>
          <t>HĐ235</t>
        </is>
      </c>
      <c r="E80" s="50" t="inlineStr"/>
      <c r="F80" s="51" t="inlineStr">
        <is>
          <t>Nội dung giáo dục của địa phương</t>
        </is>
      </c>
      <c r="G80" s="50" t="inlineStr">
        <is>
          <t>6A8</t>
        </is>
      </c>
      <c r="H80" s="50" t="inlineStr">
        <is>
          <t>6</t>
        </is>
      </c>
      <c r="I80" s="52" t="n">
        <v>1</v>
      </c>
      <c r="J80" s="51" t="inlineStr"/>
    </row>
    <row r="81">
      <c r="A81" s="47" t="n">
        <v>11</v>
      </c>
      <c r="B81" s="48" t="inlineStr">
        <is>
          <t>Bàng Thị Phượng</t>
        </is>
      </c>
      <c r="C81" s="47" t="inlineStr">
        <is>
          <t>Văn</t>
        </is>
      </c>
      <c r="D81" s="47" t="inlineStr">
        <is>
          <t>HĐ235</t>
        </is>
      </c>
      <c r="E81" s="47" t="inlineStr"/>
      <c r="F81" s="48" t="inlineStr">
        <is>
          <t>Nội dung giáo dục của địa phương</t>
        </is>
      </c>
      <c r="G81" s="47" t="inlineStr">
        <is>
          <t>6A9</t>
        </is>
      </c>
      <c r="H81" s="47" t="inlineStr">
        <is>
          <t>6</t>
        </is>
      </c>
      <c r="I81" s="49" t="n">
        <v>1</v>
      </c>
      <c r="J81" s="48" t="inlineStr"/>
    </row>
    <row r="82">
      <c r="A82" s="50" t="n">
        <v>11</v>
      </c>
      <c r="B82" s="51" t="inlineStr">
        <is>
          <t>Bàng Thị Phượng</t>
        </is>
      </c>
      <c r="C82" s="50" t="inlineStr">
        <is>
          <t>Văn</t>
        </is>
      </c>
      <c r="D82" s="50" t="inlineStr">
        <is>
          <t>HĐ235</t>
        </is>
      </c>
      <c r="E82" s="50" t="inlineStr"/>
      <c r="F82" s="51" t="inlineStr">
        <is>
          <t>Nội dung giáo dục của địa phương</t>
        </is>
      </c>
      <c r="G82" s="50" t="inlineStr">
        <is>
          <t>6A10</t>
        </is>
      </c>
      <c r="H82" s="50" t="inlineStr">
        <is>
          <t>6</t>
        </is>
      </c>
      <c r="I82" s="52" t="n">
        <v>1</v>
      </c>
      <c r="J82" s="51" t="inlineStr"/>
    </row>
    <row r="83">
      <c r="A83" s="47" t="n">
        <v>11</v>
      </c>
      <c r="B83" s="48" t="inlineStr">
        <is>
          <t>Bàng Thị Phượng</t>
        </is>
      </c>
      <c r="C83" s="47" t="inlineStr">
        <is>
          <t>Văn</t>
        </is>
      </c>
      <c r="D83" s="47" t="inlineStr">
        <is>
          <t>HĐ235</t>
        </is>
      </c>
      <c r="E83" s="47" t="inlineStr"/>
      <c r="F83" s="48" t="inlineStr">
        <is>
          <t>Nội dung giáo dục của địa phương</t>
        </is>
      </c>
      <c r="G83" s="47" t="inlineStr">
        <is>
          <t>6A11</t>
        </is>
      </c>
      <c r="H83" s="47" t="inlineStr">
        <is>
          <t>6</t>
        </is>
      </c>
      <c r="I83" s="49" t="n">
        <v>1</v>
      </c>
      <c r="J83" s="48" t="inlineStr"/>
    </row>
    <row r="84">
      <c r="A84" s="50" t="n">
        <v>12</v>
      </c>
      <c r="B84" s="51" t="inlineStr">
        <is>
          <t>Nông Thị Trà</t>
        </is>
      </c>
      <c r="C84" s="50" t="inlineStr">
        <is>
          <t>Văn</t>
        </is>
      </c>
      <c r="D84" s="50" t="inlineStr">
        <is>
          <t>HĐ235</t>
        </is>
      </c>
      <c r="E84" s="50" t="inlineStr"/>
      <c r="F84" s="51" t="inlineStr">
        <is>
          <t>Ngữ văn</t>
        </is>
      </c>
      <c r="G84" s="50" t="inlineStr">
        <is>
          <t>6A10</t>
        </is>
      </c>
      <c r="H84" s="50" t="inlineStr">
        <is>
          <t>6</t>
        </is>
      </c>
      <c r="I84" s="52" t="n">
        <v>4</v>
      </c>
      <c r="J84" s="51" t="inlineStr"/>
    </row>
    <row r="85">
      <c r="A85" s="47" t="n">
        <v>12</v>
      </c>
      <c r="B85" s="48" t="inlineStr">
        <is>
          <t>Nông Thị Trà</t>
        </is>
      </c>
      <c r="C85" s="47" t="inlineStr">
        <is>
          <t>Văn</t>
        </is>
      </c>
      <c r="D85" s="47" t="inlineStr">
        <is>
          <t>HĐ235</t>
        </is>
      </c>
      <c r="E85" s="47" t="inlineStr"/>
      <c r="F85" s="48" t="inlineStr">
        <is>
          <t>Hoạt động trải nghiệm, hướng nghiệp</t>
        </is>
      </c>
      <c r="G85" s="47" t="inlineStr">
        <is>
          <t>9A8</t>
        </is>
      </c>
      <c r="H85" s="47" t="inlineStr">
        <is>
          <t>9</t>
        </is>
      </c>
      <c r="I85" s="49" t="n">
        <v>3</v>
      </c>
      <c r="J85" s="48" t="inlineStr"/>
    </row>
    <row r="86">
      <c r="A86" s="50" t="n">
        <v>12</v>
      </c>
      <c r="B86" s="51" t="inlineStr">
        <is>
          <t>Nông Thị Trà</t>
        </is>
      </c>
      <c r="C86" s="50" t="inlineStr">
        <is>
          <t>Văn</t>
        </is>
      </c>
      <c r="D86" s="50" t="inlineStr">
        <is>
          <t>HĐ235</t>
        </is>
      </c>
      <c r="E86" s="50" t="inlineStr"/>
      <c r="F86" s="51" t="inlineStr">
        <is>
          <t>Hoạt động trải nghiệm, hướng nghiệp</t>
        </is>
      </c>
      <c r="G86" s="50" t="inlineStr">
        <is>
          <t>9A9</t>
        </is>
      </c>
      <c r="H86" s="50" t="inlineStr">
        <is>
          <t>9</t>
        </is>
      </c>
      <c r="I86" s="52" t="n">
        <v>3</v>
      </c>
      <c r="J86" s="51" t="inlineStr"/>
    </row>
    <row r="87">
      <c r="A87" s="47" t="n">
        <v>12</v>
      </c>
      <c r="B87" s="48" t="inlineStr">
        <is>
          <t>Nông Thị Trà</t>
        </is>
      </c>
      <c r="C87" s="47" t="inlineStr">
        <is>
          <t>Văn</t>
        </is>
      </c>
      <c r="D87" s="47" t="inlineStr">
        <is>
          <t>HĐ235</t>
        </is>
      </c>
      <c r="E87" s="47" t="inlineStr"/>
      <c r="F87" s="48" t="inlineStr">
        <is>
          <t>Hoạt động trải nghiệm, hướng nghiệp</t>
        </is>
      </c>
      <c r="G87" s="47" t="inlineStr">
        <is>
          <t>9A11</t>
        </is>
      </c>
      <c r="H87" s="47" t="inlineStr">
        <is>
          <t>9</t>
        </is>
      </c>
      <c r="I87" s="49" t="n">
        <v>3</v>
      </c>
      <c r="J87" s="48" t="inlineStr"/>
    </row>
    <row r="88">
      <c r="A88" s="50" t="n">
        <v>12</v>
      </c>
      <c r="B88" s="51" t="inlineStr">
        <is>
          <t>Nông Thị Trà</t>
        </is>
      </c>
      <c r="C88" s="50" t="inlineStr">
        <is>
          <t>Văn</t>
        </is>
      </c>
      <c r="D88" s="50" t="inlineStr">
        <is>
          <t>HĐ235</t>
        </is>
      </c>
      <c r="E88" s="50" t="inlineStr"/>
      <c r="F88" s="51" t="inlineStr">
        <is>
          <t>Hoạt động trải nghiệm, hướng nghiệp</t>
        </is>
      </c>
      <c r="G88" s="50" t="inlineStr">
        <is>
          <t>9A12</t>
        </is>
      </c>
      <c r="H88" s="50" t="inlineStr">
        <is>
          <t>9</t>
        </is>
      </c>
      <c r="I88" s="52" t="n">
        <v>3</v>
      </c>
      <c r="J88" s="51" t="inlineStr"/>
    </row>
    <row r="89">
      <c r="A89" s="47" t="n">
        <v>12</v>
      </c>
      <c r="B89" s="48" t="inlineStr">
        <is>
          <t>Nông Thị Trà</t>
        </is>
      </c>
      <c r="C89" s="47" t="inlineStr">
        <is>
          <t>Văn</t>
        </is>
      </c>
      <c r="D89" s="47" t="inlineStr">
        <is>
          <t>HĐ235</t>
        </is>
      </c>
      <c r="E89" s="47" t="inlineStr"/>
      <c r="F89" s="48" t="inlineStr">
        <is>
          <t>Hoạt động trải nghiệm, hướng nghiệp</t>
        </is>
      </c>
      <c r="G89" s="47" t="inlineStr">
        <is>
          <t>7A11</t>
        </is>
      </c>
      <c r="H89" s="47" t="inlineStr">
        <is>
          <t>7</t>
        </is>
      </c>
      <c r="I89" s="49" t="n">
        <v>3</v>
      </c>
      <c r="J89" s="48" t="inlineStr"/>
    </row>
    <row r="90">
      <c r="A90" s="50" t="n">
        <v>13</v>
      </c>
      <c r="B90" s="51" t="inlineStr">
        <is>
          <t>Bùi Thị Hòa</t>
        </is>
      </c>
      <c r="C90" s="50" t="inlineStr">
        <is>
          <t>Lịch Sử</t>
        </is>
      </c>
      <c r="D90" s="50" t="inlineStr">
        <is>
          <t>GVCN</t>
        </is>
      </c>
      <c r="E90" s="50" t="inlineStr">
        <is>
          <t>9A9</t>
        </is>
      </c>
      <c r="F90" s="51" t="inlineStr">
        <is>
          <t>Lịch sử và Địa Lý (Lịch sử)</t>
        </is>
      </c>
      <c r="G90" s="50" t="inlineStr">
        <is>
          <t>9A9</t>
        </is>
      </c>
      <c r="H90" s="50" t="inlineStr">
        <is>
          <t>9</t>
        </is>
      </c>
      <c r="I90" s="52" t="n">
        <v>2</v>
      </c>
      <c r="J90" s="51" t="inlineStr"/>
    </row>
    <row r="91">
      <c r="A91" s="47" t="n">
        <v>13</v>
      </c>
      <c r="B91" s="48" t="inlineStr">
        <is>
          <t>Bùi Thị Hòa</t>
        </is>
      </c>
      <c r="C91" s="47" t="inlineStr">
        <is>
          <t>Lịch Sử</t>
        </is>
      </c>
      <c r="D91" s="47" t="inlineStr">
        <is>
          <t>GVCN</t>
        </is>
      </c>
      <c r="E91" s="47" t="inlineStr">
        <is>
          <t>9A9</t>
        </is>
      </c>
      <c r="F91" s="48" t="inlineStr">
        <is>
          <t>Lịch sử và Địa Lý (Lịch sử)</t>
        </is>
      </c>
      <c r="G91" s="47" t="inlineStr">
        <is>
          <t>9A11</t>
        </is>
      </c>
      <c r="H91" s="47" t="inlineStr">
        <is>
          <t>9</t>
        </is>
      </c>
      <c r="I91" s="49" t="n">
        <v>2</v>
      </c>
      <c r="J91" s="48" t="inlineStr"/>
    </row>
    <row r="92">
      <c r="A92" s="50" t="n">
        <v>13</v>
      </c>
      <c r="B92" s="51" t="inlineStr">
        <is>
          <t>Bùi Thị Hòa</t>
        </is>
      </c>
      <c r="C92" s="50" t="inlineStr">
        <is>
          <t>Lịch Sử</t>
        </is>
      </c>
      <c r="D92" s="50" t="inlineStr">
        <is>
          <t>GVCN</t>
        </is>
      </c>
      <c r="E92" s="50" t="inlineStr">
        <is>
          <t>9A9</t>
        </is>
      </c>
      <c r="F92" s="51" t="inlineStr">
        <is>
          <t>Lịch sử và Địa Lý (Lịch sử)</t>
        </is>
      </c>
      <c r="G92" s="50" t="inlineStr">
        <is>
          <t>9A12</t>
        </is>
      </c>
      <c r="H92" s="50" t="inlineStr">
        <is>
          <t>9</t>
        </is>
      </c>
      <c r="I92" s="52" t="n">
        <v>2</v>
      </c>
      <c r="J92" s="51" t="inlineStr"/>
    </row>
    <row r="93">
      <c r="A93" s="47" t="n">
        <v>13</v>
      </c>
      <c r="B93" s="48" t="inlineStr">
        <is>
          <t>Bùi Thị Hòa</t>
        </is>
      </c>
      <c r="C93" s="47" t="inlineStr">
        <is>
          <t>Lịch Sử</t>
        </is>
      </c>
      <c r="D93" s="47" t="inlineStr">
        <is>
          <t>GVCN</t>
        </is>
      </c>
      <c r="E93" s="47" t="inlineStr">
        <is>
          <t>9A9</t>
        </is>
      </c>
      <c r="F93" s="48" t="inlineStr">
        <is>
          <t>Lịch sử và Địa Lý (Lịch sử)</t>
        </is>
      </c>
      <c r="G93" s="47" t="inlineStr">
        <is>
          <t>8A7</t>
        </is>
      </c>
      <c r="H93" s="47" t="inlineStr">
        <is>
          <t>8</t>
        </is>
      </c>
      <c r="I93" s="49" t="n">
        <v>1</v>
      </c>
      <c r="J93" s="48" t="inlineStr"/>
    </row>
    <row r="94">
      <c r="A94" s="50" t="n">
        <v>13</v>
      </c>
      <c r="B94" s="51" t="inlineStr">
        <is>
          <t>Bùi Thị Hòa</t>
        </is>
      </c>
      <c r="C94" s="50" t="inlineStr">
        <is>
          <t>Lịch Sử</t>
        </is>
      </c>
      <c r="D94" s="50" t="inlineStr">
        <is>
          <t>GVCN</t>
        </is>
      </c>
      <c r="E94" s="50" t="inlineStr">
        <is>
          <t>9A9</t>
        </is>
      </c>
      <c r="F94" s="51" t="inlineStr">
        <is>
          <t>Lịch sử và Địa Lý (Lịch sử)</t>
        </is>
      </c>
      <c r="G94" s="50" t="inlineStr">
        <is>
          <t>8A8</t>
        </is>
      </c>
      <c r="H94" s="50" t="inlineStr">
        <is>
          <t>8</t>
        </is>
      </c>
      <c r="I94" s="52" t="n">
        <v>1</v>
      </c>
      <c r="J94" s="51" t="inlineStr"/>
    </row>
    <row r="95">
      <c r="A95" s="47" t="n">
        <v>13</v>
      </c>
      <c r="B95" s="48" t="inlineStr">
        <is>
          <t>Bùi Thị Hòa</t>
        </is>
      </c>
      <c r="C95" s="47" t="inlineStr">
        <is>
          <t>Lịch Sử</t>
        </is>
      </c>
      <c r="D95" s="47" t="inlineStr">
        <is>
          <t>GVCN</t>
        </is>
      </c>
      <c r="E95" s="47" t="inlineStr">
        <is>
          <t>9A9</t>
        </is>
      </c>
      <c r="F95" s="48" t="inlineStr">
        <is>
          <t>Lịch sử và Địa Lý (Lịch sử)</t>
        </is>
      </c>
      <c r="G95" s="47" t="inlineStr">
        <is>
          <t>8A9</t>
        </is>
      </c>
      <c r="H95" s="47" t="inlineStr">
        <is>
          <t>8</t>
        </is>
      </c>
      <c r="I95" s="49" t="n">
        <v>1</v>
      </c>
      <c r="J95" s="48" t="inlineStr"/>
    </row>
    <row r="96">
      <c r="A96" s="50" t="n">
        <v>13</v>
      </c>
      <c r="B96" s="51" t="inlineStr">
        <is>
          <t>Bùi Thị Hòa</t>
        </is>
      </c>
      <c r="C96" s="50" t="inlineStr">
        <is>
          <t>Lịch Sử</t>
        </is>
      </c>
      <c r="D96" s="50" t="inlineStr">
        <is>
          <t>GVCN</t>
        </is>
      </c>
      <c r="E96" s="50" t="inlineStr">
        <is>
          <t>9A9</t>
        </is>
      </c>
      <c r="F96" s="51" t="inlineStr">
        <is>
          <t>Lịch sử và Địa Lý (Lịch sử)</t>
        </is>
      </c>
      <c r="G96" s="50" t="inlineStr">
        <is>
          <t>8A10</t>
        </is>
      </c>
      <c r="H96" s="50" t="inlineStr">
        <is>
          <t>8</t>
        </is>
      </c>
      <c r="I96" s="52" t="n">
        <v>1</v>
      </c>
      <c r="J96" s="51" t="inlineStr"/>
    </row>
    <row r="97">
      <c r="A97" s="47" t="n">
        <v>13</v>
      </c>
      <c r="B97" s="48" t="inlineStr">
        <is>
          <t>Bùi Thị Hòa</t>
        </is>
      </c>
      <c r="C97" s="47" t="inlineStr">
        <is>
          <t>Lịch Sử</t>
        </is>
      </c>
      <c r="D97" s="47" t="inlineStr">
        <is>
          <t>GVCN</t>
        </is>
      </c>
      <c r="E97" s="47" t="inlineStr">
        <is>
          <t>9A9</t>
        </is>
      </c>
      <c r="F97" s="48" t="inlineStr">
        <is>
          <t>Lịch sử và Địa Lý (Lịch sử)</t>
        </is>
      </c>
      <c r="G97" s="47" t="inlineStr">
        <is>
          <t>8A11</t>
        </is>
      </c>
      <c r="H97" s="47" t="inlineStr">
        <is>
          <t>8</t>
        </is>
      </c>
      <c r="I97" s="49" t="n">
        <v>1</v>
      </c>
      <c r="J97" s="48" t="inlineStr"/>
    </row>
    <row r="98">
      <c r="A98" s="50" t="n">
        <v>13</v>
      </c>
      <c r="B98" s="51" t="inlineStr">
        <is>
          <t>Bùi Thị Hòa</t>
        </is>
      </c>
      <c r="C98" s="50" t="inlineStr">
        <is>
          <t>Lịch Sử</t>
        </is>
      </c>
      <c r="D98" s="50" t="inlineStr">
        <is>
          <t>GVCN</t>
        </is>
      </c>
      <c r="E98" s="50" t="inlineStr">
        <is>
          <t>9A9</t>
        </is>
      </c>
      <c r="F98" s="51" t="inlineStr">
        <is>
          <t>Lịch sử và Địa Lý (Lịch sử)</t>
        </is>
      </c>
      <c r="G98" s="50" t="inlineStr">
        <is>
          <t>7A7</t>
        </is>
      </c>
      <c r="H98" s="50" t="inlineStr">
        <is>
          <t>7</t>
        </is>
      </c>
      <c r="I98" s="52" t="n">
        <v>2</v>
      </c>
      <c r="J98" s="51" t="inlineStr"/>
    </row>
    <row r="99">
      <c r="A99" s="47" t="n">
        <v>13</v>
      </c>
      <c r="B99" s="48" t="inlineStr">
        <is>
          <t>Bùi Thị Hòa</t>
        </is>
      </c>
      <c r="C99" s="47" t="inlineStr">
        <is>
          <t>Lịch Sử</t>
        </is>
      </c>
      <c r="D99" s="47" t="inlineStr">
        <is>
          <t>GVCN</t>
        </is>
      </c>
      <c r="E99" s="47" t="inlineStr">
        <is>
          <t>9A9</t>
        </is>
      </c>
      <c r="F99" s="48" t="inlineStr">
        <is>
          <t>Lịch sử và Địa Lý (Lịch sử)</t>
        </is>
      </c>
      <c r="G99" s="47" t="inlineStr">
        <is>
          <t>7A8</t>
        </is>
      </c>
      <c r="H99" s="47" t="inlineStr">
        <is>
          <t>7</t>
        </is>
      </c>
      <c r="I99" s="49" t="n">
        <v>2</v>
      </c>
      <c r="J99" s="48" t="inlineStr"/>
    </row>
    <row r="100">
      <c r="A100" s="50" t="n">
        <v>13</v>
      </c>
      <c r="B100" s="51" t="inlineStr">
        <is>
          <t>Bùi Thị Hòa</t>
        </is>
      </c>
      <c r="C100" s="50" t="inlineStr">
        <is>
          <t>Lịch Sử</t>
        </is>
      </c>
      <c r="D100" s="50" t="inlineStr">
        <is>
          <t>GVCN</t>
        </is>
      </c>
      <c r="E100" s="50" t="inlineStr">
        <is>
          <t>9A9</t>
        </is>
      </c>
      <c r="F100" s="51" t="inlineStr">
        <is>
          <t>Lịch sử và Địa Lý (Lịch sử)</t>
        </is>
      </c>
      <c r="G100" s="50" t="inlineStr">
        <is>
          <t>7A11</t>
        </is>
      </c>
      <c r="H100" s="50" t="inlineStr">
        <is>
          <t>7</t>
        </is>
      </c>
      <c r="I100" s="52" t="n">
        <v>2</v>
      </c>
      <c r="J100" s="51" t="inlineStr"/>
    </row>
    <row r="101">
      <c r="A101" s="47" t="n">
        <v>14</v>
      </c>
      <c r="B101" s="48" t="inlineStr">
        <is>
          <t>Lại Thị Thanh Huyền</t>
        </is>
      </c>
      <c r="C101" s="47" t="inlineStr">
        <is>
          <t>Toán</t>
        </is>
      </c>
      <c r="D101" s="47" t="inlineStr">
        <is>
          <t>Tổ phó</t>
        </is>
      </c>
      <c r="E101" s="47" t="inlineStr">
        <is>
          <t>6A7</t>
        </is>
      </c>
      <c r="F101" s="48" t="inlineStr">
        <is>
          <t>Toán học</t>
        </is>
      </c>
      <c r="G101" s="47" t="inlineStr">
        <is>
          <t>6A7</t>
        </is>
      </c>
      <c r="H101" s="47" t="inlineStr">
        <is>
          <t>6</t>
        </is>
      </c>
      <c r="I101" s="49" t="n">
        <v>4</v>
      </c>
      <c r="J101" s="48" t="inlineStr"/>
    </row>
    <row r="102">
      <c r="A102" s="50" t="n">
        <v>14</v>
      </c>
      <c r="B102" s="51" t="inlineStr">
        <is>
          <t>Lại Thị Thanh Huyền</t>
        </is>
      </c>
      <c r="C102" s="50" t="inlineStr">
        <is>
          <t>Toán</t>
        </is>
      </c>
      <c r="D102" s="50" t="inlineStr">
        <is>
          <t>Tổ phó</t>
        </is>
      </c>
      <c r="E102" s="50" t="inlineStr">
        <is>
          <t>6A7</t>
        </is>
      </c>
      <c r="F102" s="51" t="inlineStr">
        <is>
          <t>Toán học</t>
        </is>
      </c>
      <c r="G102" s="50" t="inlineStr">
        <is>
          <t>6A8</t>
        </is>
      </c>
      <c r="H102" s="50" t="inlineStr">
        <is>
          <t>6</t>
        </is>
      </c>
      <c r="I102" s="52" t="n">
        <v>4</v>
      </c>
      <c r="J102" s="51" t="inlineStr"/>
    </row>
    <row r="103">
      <c r="A103" s="47" t="n">
        <v>14</v>
      </c>
      <c r="B103" s="48" t="inlineStr">
        <is>
          <t>Lại Thị Thanh Huyền</t>
        </is>
      </c>
      <c r="C103" s="47" t="inlineStr">
        <is>
          <t>Toán</t>
        </is>
      </c>
      <c r="D103" s="47" t="inlineStr">
        <is>
          <t>Tổ phó</t>
        </is>
      </c>
      <c r="E103" s="47" t="inlineStr">
        <is>
          <t>6A7</t>
        </is>
      </c>
      <c r="F103" s="48" t="inlineStr">
        <is>
          <t>Toán học</t>
        </is>
      </c>
      <c r="G103" s="47" t="inlineStr">
        <is>
          <t>9A9</t>
        </is>
      </c>
      <c r="H103" s="47" t="inlineStr">
        <is>
          <t>9</t>
        </is>
      </c>
      <c r="I103" s="49" t="n">
        <v>4</v>
      </c>
      <c r="J103" s="48" t="inlineStr"/>
    </row>
    <row r="104">
      <c r="A104" s="50" t="n">
        <v>14</v>
      </c>
      <c r="B104" s="51" t="inlineStr">
        <is>
          <t>Lại Thị Thanh Huyền</t>
        </is>
      </c>
      <c r="C104" s="50" t="inlineStr">
        <is>
          <t>Toán</t>
        </is>
      </c>
      <c r="D104" s="50" t="inlineStr">
        <is>
          <t>Tổ phó</t>
        </is>
      </c>
      <c r="E104" s="50" t="inlineStr">
        <is>
          <t>6A7</t>
        </is>
      </c>
      <c r="F104" s="51" t="inlineStr">
        <is>
          <t>Hoạt động trải nghiệm, hướng nghiệp</t>
        </is>
      </c>
      <c r="G104" s="50" t="inlineStr">
        <is>
          <t>6A7</t>
        </is>
      </c>
      <c r="H104" s="50" t="inlineStr">
        <is>
          <t>6</t>
        </is>
      </c>
      <c r="I104" s="52" t="n">
        <v>3</v>
      </c>
      <c r="J104" s="51" t="inlineStr"/>
    </row>
    <row r="105">
      <c r="A105" s="47" t="n">
        <v>15</v>
      </c>
      <c r="B105" s="48" t="inlineStr">
        <is>
          <t>Nguyễn Thị Hà</t>
        </is>
      </c>
      <c r="C105" s="47" t="inlineStr">
        <is>
          <t>Toán</t>
        </is>
      </c>
      <c r="D105" s="47" t="inlineStr">
        <is>
          <t>GVCN</t>
        </is>
      </c>
      <c r="E105" s="47" t="inlineStr">
        <is>
          <t>7A7</t>
        </is>
      </c>
      <c r="F105" s="48" t="inlineStr">
        <is>
          <t>Toán học</t>
        </is>
      </c>
      <c r="G105" s="47" t="inlineStr">
        <is>
          <t>7A7</t>
        </is>
      </c>
      <c r="H105" s="47" t="inlineStr">
        <is>
          <t>7</t>
        </is>
      </c>
      <c r="I105" s="49" t="n">
        <v>4</v>
      </c>
      <c r="J105" s="48" t="inlineStr"/>
    </row>
    <row r="106">
      <c r="A106" s="50" t="n">
        <v>15</v>
      </c>
      <c r="B106" s="51" t="inlineStr">
        <is>
          <t>Nguyễn Thị Hà</t>
        </is>
      </c>
      <c r="C106" s="50" t="inlineStr">
        <is>
          <t>Toán</t>
        </is>
      </c>
      <c r="D106" s="50" t="inlineStr">
        <is>
          <t>GVCN</t>
        </is>
      </c>
      <c r="E106" s="50" t="inlineStr">
        <is>
          <t>7A7</t>
        </is>
      </c>
      <c r="F106" s="51" t="inlineStr">
        <is>
          <t>Toán học</t>
        </is>
      </c>
      <c r="G106" s="50" t="inlineStr">
        <is>
          <t>7A8</t>
        </is>
      </c>
      <c r="H106" s="50" t="inlineStr">
        <is>
          <t>7</t>
        </is>
      </c>
      <c r="I106" s="52" t="n">
        <v>4</v>
      </c>
      <c r="J106" s="51" t="inlineStr"/>
    </row>
    <row r="107">
      <c r="A107" s="47" t="n">
        <v>15</v>
      </c>
      <c r="B107" s="48" t="inlineStr">
        <is>
          <t>Nguyễn Thị Hà</t>
        </is>
      </c>
      <c r="C107" s="47" t="inlineStr">
        <is>
          <t>Toán</t>
        </is>
      </c>
      <c r="D107" s="47" t="inlineStr">
        <is>
          <t>GVCN</t>
        </is>
      </c>
      <c r="E107" s="47" t="inlineStr">
        <is>
          <t>7A7</t>
        </is>
      </c>
      <c r="F107" s="48" t="inlineStr">
        <is>
          <t>Toán học</t>
        </is>
      </c>
      <c r="G107" s="47" t="inlineStr">
        <is>
          <t>9A8</t>
        </is>
      </c>
      <c r="H107" s="47" t="inlineStr">
        <is>
          <t>9</t>
        </is>
      </c>
      <c r="I107" s="49" t="n">
        <v>4</v>
      </c>
      <c r="J107" s="48" t="inlineStr"/>
    </row>
    <row r="108">
      <c r="A108" s="50" t="n">
        <v>15</v>
      </c>
      <c r="B108" s="51" t="inlineStr">
        <is>
          <t>Nguyễn Thị Hà</t>
        </is>
      </c>
      <c r="C108" s="50" t="inlineStr">
        <is>
          <t>Toán</t>
        </is>
      </c>
      <c r="D108" s="50" t="inlineStr">
        <is>
          <t>GVCN</t>
        </is>
      </c>
      <c r="E108" s="50" t="inlineStr">
        <is>
          <t>7A7</t>
        </is>
      </c>
      <c r="F108" s="51" t="inlineStr">
        <is>
          <t>Toán học</t>
        </is>
      </c>
      <c r="G108" s="50" t="inlineStr">
        <is>
          <t>9A12</t>
        </is>
      </c>
      <c r="H108" s="50" t="inlineStr">
        <is>
          <t>9</t>
        </is>
      </c>
      <c r="I108" s="52" t="n">
        <v>4</v>
      </c>
      <c r="J108" s="51" t="inlineStr"/>
    </row>
    <row r="109">
      <c r="A109" s="47" t="n">
        <v>16</v>
      </c>
      <c r="B109" s="48" t="inlineStr">
        <is>
          <t>Mẫn Xuân Thắng</t>
        </is>
      </c>
      <c r="C109" s="47" t="inlineStr">
        <is>
          <t>Toán-Lí</t>
        </is>
      </c>
      <c r="D109" s="47" t="inlineStr"/>
      <c r="E109" s="47" t="inlineStr"/>
      <c r="F109" s="48" t="inlineStr">
        <is>
          <t>Toán học</t>
        </is>
      </c>
      <c r="G109" s="47" t="inlineStr">
        <is>
          <t>8A9</t>
        </is>
      </c>
      <c r="H109" s="47" t="inlineStr">
        <is>
          <t>8</t>
        </is>
      </c>
      <c r="I109" s="49" t="n">
        <v>4</v>
      </c>
      <c r="J109" s="48" t="inlineStr"/>
    </row>
    <row r="110">
      <c r="A110" s="50" t="n">
        <v>16</v>
      </c>
      <c r="B110" s="51" t="inlineStr">
        <is>
          <t>Mẫn Xuân Thắng</t>
        </is>
      </c>
      <c r="C110" s="50" t="inlineStr">
        <is>
          <t>Toán-Lí</t>
        </is>
      </c>
      <c r="D110" s="50" t="inlineStr"/>
      <c r="E110" s="50" t="inlineStr"/>
      <c r="F110" s="51" t="inlineStr">
        <is>
          <t>Công nghệ</t>
        </is>
      </c>
      <c r="G110" s="50" t="inlineStr">
        <is>
          <t>9A8</t>
        </is>
      </c>
      <c r="H110" s="50" t="inlineStr">
        <is>
          <t>9</t>
        </is>
      </c>
      <c r="I110" s="52" t="n">
        <v>2</v>
      </c>
      <c r="J110" s="51" t="inlineStr"/>
    </row>
    <row r="111">
      <c r="A111" s="47" t="n">
        <v>16</v>
      </c>
      <c r="B111" s="48" t="inlineStr">
        <is>
          <t>Mẫn Xuân Thắng</t>
        </is>
      </c>
      <c r="C111" s="47" t="inlineStr">
        <is>
          <t>Toán-Lí</t>
        </is>
      </c>
      <c r="D111" s="47" t="inlineStr"/>
      <c r="E111" s="47" t="inlineStr"/>
      <c r="F111" s="48" t="inlineStr">
        <is>
          <t>Công nghệ</t>
        </is>
      </c>
      <c r="G111" s="47" t="inlineStr">
        <is>
          <t>9A9</t>
        </is>
      </c>
      <c r="H111" s="47" t="inlineStr">
        <is>
          <t>9</t>
        </is>
      </c>
      <c r="I111" s="49" t="n">
        <v>2</v>
      </c>
      <c r="J111" s="48" t="inlineStr"/>
    </row>
    <row r="112">
      <c r="A112" s="50" t="n">
        <v>16</v>
      </c>
      <c r="B112" s="51" t="inlineStr">
        <is>
          <t>Mẫn Xuân Thắng</t>
        </is>
      </c>
      <c r="C112" s="50" t="inlineStr">
        <is>
          <t>Toán-Lí</t>
        </is>
      </c>
      <c r="D112" s="50" t="inlineStr"/>
      <c r="E112" s="50" t="inlineStr"/>
      <c r="F112" s="51" t="inlineStr">
        <is>
          <t>Công nghệ</t>
        </is>
      </c>
      <c r="G112" s="50" t="inlineStr">
        <is>
          <t>9A10</t>
        </is>
      </c>
      <c r="H112" s="50" t="inlineStr">
        <is>
          <t>9</t>
        </is>
      </c>
      <c r="I112" s="52" t="n">
        <v>2</v>
      </c>
      <c r="J112" s="51" t="inlineStr"/>
    </row>
    <row r="113">
      <c r="A113" s="47" t="n">
        <v>16</v>
      </c>
      <c r="B113" s="48" t="inlineStr">
        <is>
          <t>Mẫn Xuân Thắng</t>
        </is>
      </c>
      <c r="C113" s="47" t="inlineStr">
        <is>
          <t>Toán-Lí</t>
        </is>
      </c>
      <c r="D113" s="47" t="inlineStr"/>
      <c r="E113" s="47" t="inlineStr"/>
      <c r="F113" s="48" t="inlineStr">
        <is>
          <t>Công nghệ</t>
        </is>
      </c>
      <c r="G113" s="47" t="inlineStr">
        <is>
          <t>9A11</t>
        </is>
      </c>
      <c r="H113" s="47" t="inlineStr">
        <is>
          <t>9</t>
        </is>
      </c>
      <c r="I113" s="49" t="n">
        <v>2</v>
      </c>
      <c r="J113" s="48" t="inlineStr"/>
    </row>
    <row r="114">
      <c r="A114" s="50" t="n">
        <v>16</v>
      </c>
      <c r="B114" s="51" t="inlineStr">
        <is>
          <t>Mẫn Xuân Thắng</t>
        </is>
      </c>
      <c r="C114" s="50" t="inlineStr">
        <is>
          <t>Toán-Lí</t>
        </is>
      </c>
      <c r="D114" s="50" t="inlineStr"/>
      <c r="E114" s="50" t="inlineStr"/>
      <c r="F114" s="51" t="inlineStr">
        <is>
          <t>Công nghệ</t>
        </is>
      </c>
      <c r="G114" s="50" t="inlineStr">
        <is>
          <t>9A12</t>
        </is>
      </c>
      <c r="H114" s="50" t="inlineStr">
        <is>
          <t>9</t>
        </is>
      </c>
      <c r="I114" s="52" t="n">
        <v>2</v>
      </c>
      <c r="J114" s="51" t="inlineStr"/>
    </row>
    <row r="115">
      <c r="A115" s="47" t="n">
        <v>16</v>
      </c>
      <c r="B115" s="48" t="inlineStr">
        <is>
          <t>Mẫn Xuân Thắng</t>
        </is>
      </c>
      <c r="C115" s="47" t="inlineStr">
        <is>
          <t>Toán-Lí</t>
        </is>
      </c>
      <c r="D115" s="47" t="inlineStr"/>
      <c r="E115" s="47" t="inlineStr"/>
      <c r="F115" s="48" t="inlineStr">
        <is>
          <t>Công nghệ</t>
        </is>
      </c>
      <c r="G115" s="47" t="inlineStr">
        <is>
          <t>8A7</t>
        </is>
      </c>
      <c r="H115" s="47" t="inlineStr">
        <is>
          <t>8</t>
        </is>
      </c>
      <c r="I115" s="49" t="n">
        <v>1</v>
      </c>
      <c r="J115" s="48" t="inlineStr"/>
    </row>
    <row r="116">
      <c r="A116" s="50" t="n">
        <v>16</v>
      </c>
      <c r="B116" s="51" t="inlineStr">
        <is>
          <t>Mẫn Xuân Thắng</t>
        </is>
      </c>
      <c r="C116" s="50" t="inlineStr">
        <is>
          <t>Toán-Lí</t>
        </is>
      </c>
      <c r="D116" s="50" t="inlineStr"/>
      <c r="E116" s="50" t="inlineStr"/>
      <c r="F116" s="51" t="inlineStr">
        <is>
          <t>Công nghệ</t>
        </is>
      </c>
      <c r="G116" s="50" t="inlineStr">
        <is>
          <t>8A8</t>
        </is>
      </c>
      <c r="H116" s="50" t="inlineStr">
        <is>
          <t>8</t>
        </is>
      </c>
      <c r="I116" s="52" t="n">
        <v>1</v>
      </c>
      <c r="J116" s="51" t="inlineStr"/>
    </row>
    <row r="117">
      <c r="A117" s="47" t="n">
        <v>16</v>
      </c>
      <c r="B117" s="48" t="inlineStr">
        <is>
          <t>Mẫn Xuân Thắng</t>
        </is>
      </c>
      <c r="C117" s="47" t="inlineStr">
        <is>
          <t>Toán-Lí</t>
        </is>
      </c>
      <c r="D117" s="47" t="inlineStr"/>
      <c r="E117" s="47" t="inlineStr"/>
      <c r="F117" s="48" t="inlineStr">
        <is>
          <t>Công nghệ</t>
        </is>
      </c>
      <c r="G117" s="47" t="inlineStr">
        <is>
          <t>8A9</t>
        </is>
      </c>
      <c r="H117" s="47" t="inlineStr">
        <is>
          <t>8</t>
        </is>
      </c>
      <c r="I117" s="49" t="n">
        <v>1</v>
      </c>
      <c r="J117" s="48" t="inlineStr"/>
    </row>
    <row r="118">
      <c r="A118" s="50" t="n">
        <v>16</v>
      </c>
      <c r="B118" s="51" t="inlineStr">
        <is>
          <t>Mẫn Xuân Thắng</t>
        </is>
      </c>
      <c r="C118" s="50" t="inlineStr">
        <is>
          <t>Toán-Lí</t>
        </is>
      </c>
      <c r="D118" s="50" t="inlineStr"/>
      <c r="E118" s="50" t="inlineStr"/>
      <c r="F118" s="51" t="inlineStr">
        <is>
          <t>Công nghệ</t>
        </is>
      </c>
      <c r="G118" s="50" t="inlineStr">
        <is>
          <t>8A10</t>
        </is>
      </c>
      <c r="H118" s="50" t="inlineStr">
        <is>
          <t>8</t>
        </is>
      </c>
      <c r="I118" s="52" t="n">
        <v>1</v>
      </c>
      <c r="J118" s="51" t="inlineStr"/>
    </row>
    <row r="119">
      <c r="A119" s="47" t="n">
        <v>16</v>
      </c>
      <c r="B119" s="48" t="inlineStr">
        <is>
          <t>Mẫn Xuân Thắng</t>
        </is>
      </c>
      <c r="C119" s="47" t="inlineStr">
        <is>
          <t>Toán-Lí</t>
        </is>
      </c>
      <c r="D119" s="47" t="inlineStr"/>
      <c r="E119" s="47" t="inlineStr"/>
      <c r="F119" s="48" t="inlineStr">
        <is>
          <t>Công nghệ</t>
        </is>
      </c>
      <c r="G119" s="47" t="inlineStr">
        <is>
          <t>8A11</t>
        </is>
      </c>
      <c r="H119" s="47" t="inlineStr">
        <is>
          <t>8</t>
        </is>
      </c>
      <c r="I119" s="49" t="n">
        <v>1</v>
      </c>
      <c r="J119" s="48" t="inlineStr"/>
    </row>
    <row r="120">
      <c r="A120" s="50" t="n">
        <v>17</v>
      </c>
      <c r="B120" s="51" t="inlineStr">
        <is>
          <t>Phùng Thị Lan</t>
        </is>
      </c>
      <c r="C120" s="50" t="inlineStr">
        <is>
          <t>Toán</t>
        </is>
      </c>
      <c r="D120" s="50" t="inlineStr">
        <is>
          <t>GVCN</t>
        </is>
      </c>
      <c r="E120" s="50" t="inlineStr">
        <is>
          <t>9A10</t>
        </is>
      </c>
      <c r="F120" s="51" t="inlineStr">
        <is>
          <t>Toán học</t>
        </is>
      </c>
      <c r="G120" s="50" t="inlineStr">
        <is>
          <t>9A10</t>
        </is>
      </c>
      <c r="H120" s="50" t="inlineStr">
        <is>
          <t>9</t>
        </is>
      </c>
      <c r="I120" s="52" t="n">
        <v>4</v>
      </c>
      <c r="J120" s="51" t="inlineStr"/>
    </row>
    <row r="121">
      <c r="A121" s="47" t="n">
        <v>17</v>
      </c>
      <c r="B121" s="48" t="inlineStr">
        <is>
          <t>Phùng Thị Lan</t>
        </is>
      </c>
      <c r="C121" s="47" t="inlineStr">
        <is>
          <t>Toán</t>
        </is>
      </c>
      <c r="D121" s="47" t="inlineStr">
        <is>
          <t>GVCN</t>
        </is>
      </c>
      <c r="E121" s="47" t="inlineStr">
        <is>
          <t>9A10</t>
        </is>
      </c>
      <c r="F121" s="48" t="inlineStr">
        <is>
          <t>Toán học</t>
        </is>
      </c>
      <c r="G121" s="47" t="inlineStr">
        <is>
          <t>7A9</t>
        </is>
      </c>
      <c r="H121" s="47" t="inlineStr">
        <is>
          <t>7</t>
        </is>
      </c>
      <c r="I121" s="49" t="n">
        <v>4</v>
      </c>
      <c r="J121" s="48" t="inlineStr"/>
    </row>
    <row r="122">
      <c r="A122" s="50" t="n">
        <v>17</v>
      </c>
      <c r="B122" s="51" t="inlineStr">
        <is>
          <t>Phùng Thị Lan</t>
        </is>
      </c>
      <c r="C122" s="50" t="inlineStr">
        <is>
          <t>Toán</t>
        </is>
      </c>
      <c r="D122" s="50" t="inlineStr">
        <is>
          <t>GVCN</t>
        </is>
      </c>
      <c r="E122" s="50" t="inlineStr">
        <is>
          <t>9A10</t>
        </is>
      </c>
      <c r="F122" s="51" t="inlineStr">
        <is>
          <t>Toán học</t>
        </is>
      </c>
      <c r="G122" s="50" t="inlineStr">
        <is>
          <t>7A11</t>
        </is>
      </c>
      <c r="H122" s="50" t="inlineStr">
        <is>
          <t>7</t>
        </is>
      </c>
      <c r="I122" s="52" t="n">
        <v>4</v>
      </c>
      <c r="J122" s="51" t="inlineStr"/>
    </row>
    <row r="123">
      <c r="A123" s="47" t="n">
        <v>17</v>
      </c>
      <c r="B123" s="48" t="inlineStr">
        <is>
          <t>Phùng Thị Lan</t>
        </is>
      </c>
      <c r="C123" s="47" t="inlineStr">
        <is>
          <t>Toán</t>
        </is>
      </c>
      <c r="D123" s="47" t="inlineStr">
        <is>
          <t>GVCN</t>
        </is>
      </c>
      <c r="E123" s="47" t="inlineStr">
        <is>
          <t>9A10</t>
        </is>
      </c>
      <c r="F123" s="48" t="inlineStr">
        <is>
          <t>Hoạt động trải nghiệm, hướng nghiệp</t>
        </is>
      </c>
      <c r="G123" s="47" t="inlineStr">
        <is>
          <t>9A10</t>
        </is>
      </c>
      <c r="H123" s="47" t="inlineStr">
        <is>
          <t>9</t>
        </is>
      </c>
      <c r="I123" s="49" t="n">
        <v>3</v>
      </c>
      <c r="J123" s="48" t="inlineStr"/>
    </row>
    <row r="124">
      <c r="A124" s="50" t="n">
        <v>18</v>
      </c>
      <c r="B124" s="51" t="inlineStr">
        <is>
          <t>Hoàng Thị Thanh Thắm</t>
        </is>
      </c>
      <c r="C124" s="50" t="inlineStr">
        <is>
          <t>GDTC</t>
        </is>
      </c>
      <c r="D124" s="50" t="inlineStr">
        <is>
          <t>GVCN</t>
        </is>
      </c>
      <c r="E124" s="50" t="inlineStr">
        <is>
          <t>7A10</t>
        </is>
      </c>
      <c r="F124" s="51" t="inlineStr">
        <is>
          <t>Toán học</t>
        </is>
      </c>
      <c r="G124" s="50" t="inlineStr">
        <is>
          <t>7A10</t>
        </is>
      </c>
      <c r="H124" s="50" t="inlineStr">
        <is>
          <t>7</t>
        </is>
      </c>
      <c r="I124" s="52" t="n">
        <v>4</v>
      </c>
      <c r="J124" s="51" t="inlineStr"/>
    </row>
    <row r="125">
      <c r="A125" s="47" t="n">
        <v>18</v>
      </c>
      <c r="B125" s="48" t="inlineStr">
        <is>
          <t>Hoàng Thị Thanh Thắm</t>
        </is>
      </c>
      <c r="C125" s="47" t="inlineStr">
        <is>
          <t>GDTC</t>
        </is>
      </c>
      <c r="D125" s="47" t="inlineStr">
        <is>
          <t>GVCN</t>
        </is>
      </c>
      <c r="E125" s="47" t="inlineStr">
        <is>
          <t>7A10</t>
        </is>
      </c>
      <c r="F125" s="48" t="inlineStr">
        <is>
          <t>Toán học</t>
        </is>
      </c>
      <c r="G125" s="47" t="inlineStr">
        <is>
          <t>8A7</t>
        </is>
      </c>
      <c r="H125" s="47" t="inlineStr">
        <is>
          <t>8</t>
        </is>
      </c>
      <c r="I125" s="49" t="n">
        <v>4</v>
      </c>
      <c r="J125" s="48" t="inlineStr"/>
    </row>
    <row r="126">
      <c r="A126" s="50" t="n">
        <v>18</v>
      </c>
      <c r="B126" s="51" t="inlineStr">
        <is>
          <t>Hoàng Thị Thanh Thắm</t>
        </is>
      </c>
      <c r="C126" s="50" t="inlineStr">
        <is>
          <t>GDTC</t>
        </is>
      </c>
      <c r="D126" s="50" t="inlineStr">
        <is>
          <t>GVCN</t>
        </is>
      </c>
      <c r="E126" s="50" t="inlineStr">
        <is>
          <t>7A10</t>
        </is>
      </c>
      <c r="F126" s="51" t="inlineStr">
        <is>
          <t>Toán học</t>
        </is>
      </c>
      <c r="G126" s="50" t="inlineStr">
        <is>
          <t>8A8</t>
        </is>
      </c>
      <c r="H126" s="50" t="inlineStr">
        <is>
          <t>8</t>
        </is>
      </c>
      <c r="I126" s="52" t="n">
        <v>4</v>
      </c>
      <c r="J126" s="51" t="inlineStr"/>
    </row>
    <row r="127">
      <c r="A127" s="47" t="n">
        <v>18</v>
      </c>
      <c r="B127" s="48" t="inlineStr">
        <is>
          <t>Hoàng Thị Thanh Thắm</t>
        </is>
      </c>
      <c r="C127" s="47" t="inlineStr">
        <is>
          <t>GDTC</t>
        </is>
      </c>
      <c r="D127" s="47" t="inlineStr">
        <is>
          <t>GVCN</t>
        </is>
      </c>
      <c r="E127" s="47" t="inlineStr">
        <is>
          <t>7A10</t>
        </is>
      </c>
      <c r="F127" s="48" t="inlineStr">
        <is>
          <t>Hoạt động trải nghiệm, hướng nghiệp</t>
        </is>
      </c>
      <c r="G127" s="47" t="inlineStr">
        <is>
          <t>7A10</t>
        </is>
      </c>
      <c r="H127" s="47" t="inlineStr">
        <is>
          <t>7</t>
        </is>
      </c>
      <c r="I127" s="49" t="n">
        <v>3</v>
      </c>
      <c r="J127" s="48" t="inlineStr"/>
    </row>
    <row r="128">
      <c r="A128" s="50" t="n">
        <v>19</v>
      </c>
      <c r="B128" s="51" t="inlineStr">
        <is>
          <t>Lê Thị Thu Hằng</t>
        </is>
      </c>
      <c r="C128" s="50" t="inlineStr">
        <is>
          <t>Toán</t>
        </is>
      </c>
      <c r="D128" s="50" t="inlineStr">
        <is>
          <t>HĐ235 / GVCN</t>
        </is>
      </c>
      <c r="E128" s="50" t="inlineStr">
        <is>
          <t>6A11</t>
        </is>
      </c>
      <c r="F128" s="51" t="inlineStr">
        <is>
          <t>Toán học</t>
        </is>
      </c>
      <c r="G128" s="50" t="inlineStr">
        <is>
          <t>6A9</t>
        </is>
      </c>
      <c r="H128" s="50" t="inlineStr">
        <is>
          <t>6</t>
        </is>
      </c>
      <c r="I128" s="52" t="n">
        <v>4</v>
      </c>
      <c r="J128" s="51" t="inlineStr"/>
    </row>
    <row r="129">
      <c r="A129" s="47" t="n">
        <v>19</v>
      </c>
      <c r="B129" s="48" t="inlineStr">
        <is>
          <t>Lê Thị Thu Hằng</t>
        </is>
      </c>
      <c r="C129" s="47" t="inlineStr">
        <is>
          <t>Toán</t>
        </is>
      </c>
      <c r="D129" s="47" t="inlineStr">
        <is>
          <t>HĐ235 / GVCN</t>
        </is>
      </c>
      <c r="E129" s="47" t="inlineStr">
        <is>
          <t>6A11</t>
        </is>
      </c>
      <c r="F129" s="48" t="inlineStr">
        <is>
          <t>Toán học</t>
        </is>
      </c>
      <c r="G129" s="47" t="inlineStr">
        <is>
          <t>6A10</t>
        </is>
      </c>
      <c r="H129" s="47" t="inlineStr">
        <is>
          <t>6</t>
        </is>
      </c>
      <c r="I129" s="49" t="n">
        <v>4</v>
      </c>
      <c r="J129" s="48" t="inlineStr"/>
    </row>
    <row r="130">
      <c r="A130" s="50" t="n">
        <v>19</v>
      </c>
      <c r="B130" s="51" t="inlineStr">
        <is>
          <t>Lê Thị Thu Hằng</t>
        </is>
      </c>
      <c r="C130" s="50" t="inlineStr">
        <is>
          <t>Toán</t>
        </is>
      </c>
      <c r="D130" s="50" t="inlineStr">
        <is>
          <t>HĐ235 / GVCN</t>
        </is>
      </c>
      <c r="E130" s="50" t="inlineStr">
        <is>
          <t>6A11</t>
        </is>
      </c>
      <c r="F130" s="51" t="inlineStr">
        <is>
          <t>Toán học</t>
        </is>
      </c>
      <c r="G130" s="50" t="inlineStr">
        <is>
          <t>6A11</t>
        </is>
      </c>
      <c r="H130" s="50" t="inlineStr">
        <is>
          <t>6</t>
        </is>
      </c>
      <c r="I130" s="52" t="n">
        <v>4</v>
      </c>
      <c r="J130" s="51" t="inlineStr"/>
    </row>
    <row r="131">
      <c r="A131" s="47" t="n">
        <v>19</v>
      </c>
      <c r="B131" s="48" t="inlineStr">
        <is>
          <t>Lê Thị Thu Hằng</t>
        </is>
      </c>
      <c r="C131" s="47" t="inlineStr">
        <is>
          <t>Toán</t>
        </is>
      </c>
      <c r="D131" s="47" t="inlineStr">
        <is>
          <t>HĐ235 / GVCN</t>
        </is>
      </c>
      <c r="E131" s="47" t="inlineStr">
        <is>
          <t>6A11</t>
        </is>
      </c>
      <c r="F131" s="48" t="inlineStr">
        <is>
          <t>Toán học</t>
        </is>
      </c>
      <c r="G131" s="47" t="inlineStr">
        <is>
          <t>9A11</t>
        </is>
      </c>
      <c r="H131" s="47" t="inlineStr">
        <is>
          <t>9</t>
        </is>
      </c>
      <c r="I131" s="49" t="n">
        <v>4</v>
      </c>
      <c r="J131" s="48" t="inlineStr"/>
    </row>
    <row r="132">
      <c r="A132" s="50" t="n">
        <v>20</v>
      </c>
      <c r="B132" s="51" t="inlineStr">
        <is>
          <t>Nguyễn Thị Hiền</t>
        </is>
      </c>
      <c r="C132" s="50" t="inlineStr">
        <is>
          <t>Toán-Tin</t>
        </is>
      </c>
      <c r="D132" s="50" t="inlineStr">
        <is>
          <t>HĐ235</t>
        </is>
      </c>
      <c r="E132" s="50" t="inlineStr"/>
      <c r="F132" s="51" t="inlineStr">
        <is>
          <t>Toán học</t>
        </is>
      </c>
      <c r="G132" s="50" t="inlineStr">
        <is>
          <t>8A10</t>
        </is>
      </c>
      <c r="H132" s="50" t="inlineStr">
        <is>
          <t>8</t>
        </is>
      </c>
      <c r="I132" s="52" t="n">
        <v>4</v>
      </c>
      <c r="J132" s="51" t="inlineStr"/>
    </row>
    <row r="133">
      <c r="A133" s="47" t="n">
        <v>20</v>
      </c>
      <c r="B133" s="48" t="inlineStr">
        <is>
          <t>Nguyễn Thị Hiền</t>
        </is>
      </c>
      <c r="C133" s="47" t="inlineStr">
        <is>
          <t>Toán-Tin</t>
        </is>
      </c>
      <c r="D133" s="47" t="inlineStr">
        <is>
          <t>HĐ235</t>
        </is>
      </c>
      <c r="E133" s="47" t="inlineStr"/>
      <c r="F133" s="48" t="inlineStr">
        <is>
          <t>Toán học</t>
        </is>
      </c>
      <c r="G133" s="47" t="inlineStr">
        <is>
          <t>8A11</t>
        </is>
      </c>
      <c r="H133" s="47" t="inlineStr">
        <is>
          <t>8</t>
        </is>
      </c>
      <c r="I133" s="49" t="n">
        <v>4</v>
      </c>
      <c r="J133" s="48" t="inlineStr"/>
    </row>
    <row r="134">
      <c r="A134" s="50" t="n">
        <v>20</v>
      </c>
      <c r="B134" s="51" t="inlineStr">
        <is>
          <t>Nguyễn Thị Hiền</t>
        </is>
      </c>
      <c r="C134" s="50" t="inlineStr">
        <is>
          <t>Toán-Tin</t>
        </is>
      </c>
      <c r="D134" s="50" t="inlineStr">
        <is>
          <t>HĐ235</t>
        </is>
      </c>
      <c r="E134" s="50" t="inlineStr"/>
      <c r="F134" s="51" t="inlineStr">
        <is>
          <t>Tin học</t>
        </is>
      </c>
      <c r="G134" s="50" t="inlineStr">
        <is>
          <t>9A8</t>
        </is>
      </c>
      <c r="H134" s="50" t="inlineStr">
        <is>
          <t>9</t>
        </is>
      </c>
      <c r="I134" s="52" t="n">
        <v>1</v>
      </c>
      <c r="J134" s="51" t="inlineStr"/>
    </row>
    <row r="135">
      <c r="A135" s="47" t="n">
        <v>20</v>
      </c>
      <c r="B135" s="48" t="inlineStr">
        <is>
          <t>Nguyễn Thị Hiền</t>
        </is>
      </c>
      <c r="C135" s="47" t="inlineStr">
        <is>
          <t>Toán-Tin</t>
        </is>
      </c>
      <c r="D135" s="47" t="inlineStr">
        <is>
          <t>HĐ235</t>
        </is>
      </c>
      <c r="E135" s="47" t="inlineStr"/>
      <c r="F135" s="48" t="inlineStr">
        <is>
          <t>Tin học</t>
        </is>
      </c>
      <c r="G135" s="47" t="inlineStr">
        <is>
          <t>9A9</t>
        </is>
      </c>
      <c r="H135" s="47" t="inlineStr">
        <is>
          <t>9</t>
        </is>
      </c>
      <c r="I135" s="49" t="n">
        <v>1</v>
      </c>
      <c r="J135" s="48" t="inlineStr"/>
    </row>
    <row r="136">
      <c r="A136" s="50" t="n">
        <v>20</v>
      </c>
      <c r="B136" s="51" t="inlineStr">
        <is>
          <t>Nguyễn Thị Hiền</t>
        </is>
      </c>
      <c r="C136" s="50" t="inlineStr">
        <is>
          <t>Toán-Tin</t>
        </is>
      </c>
      <c r="D136" s="50" t="inlineStr">
        <is>
          <t>HĐ235</t>
        </is>
      </c>
      <c r="E136" s="50" t="inlineStr"/>
      <c r="F136" s="51" t="inlineStr">
        <is>
          <t>Tin học</t>
        </is>
      </c>
      <c r="G136" s="50" t="inlineStr">
        <is>
          <t>9A10</t>
        </is>
      </c>
      <c r="H136" s="50" t="inlineStr">
        <is>
          <t>9</t>
        </is>
      </c>
      <c r="I136" s="52" t="n">
        <v>1</v>
      </c>
      <c r="J136" s="51" t="inlineStr"/>
    </row>
    <row r="137">
      <c r="A137" s="47" t="n">
        <v>20</v>
      </c>
      <c r="B137" s="48" t="inlineStr">
        <is>
          <t>Nguyễn Thị Hiền</t>
        </is>
      </c>
      <c r="C137" s="47" t="inlineStr">
        <is>
          <t>Toán-Tin</t>
        </is>
      </c>
      <c r="D137" s="47" t="inlineStr">
        <is>
          <t>HĐ235</t>
        </is>
      </c>
      <c r="E137" s="47" t="inlineStr"/>
      <c r="F137" s="48" t="inlineStr">
        <is>
          <t>Tin học</t>
        </is>
      </c>
      <c r="G137" s="47" t="inlineStr">
        <is>
          <t>9A11</t>
        </is>
      </c>
      <c r="H137" s="47" t="inlineStr">
        <is>
          <t>9</t>
        </is>
      </c>
      <c r="I137" s="49" t="n">
        <v>1</v>
      </c>
      <c r="J137" s="48" t="inlineStr"/>
    </row>
    <row r="138">
      <c r="A138" s="50" t="n">
        <v>20</v>
      </c>
      <c r="B138" s="51" t="inlineStr">
        <is>
          <t>Nguyễn Thị Hiền</t>
        </is>
      </c>
      <c r="C138" s="50" t="inlineStr">
        <is>
          <t>Toán-Tin</t>
        </is>
      </c>
      <c r="D138" s="50" t="inlineStr">
        <is>
          <t>HĐ235</t>
        </is>
      </c>
      <c r="E138" s="50" t="inlineStr"/>
      <c r="F138" s="51" t="inlineStr">
        <is>
          <t>Tin học</t>
        </is>
      </c>
      <c r="G138" s="50" t="inlineStr">
        <is>
          <t>9A12</t>
        </is>
      </c>
      <c r="H138" s="50" t="inlineStr">
        <is>
          <t>9</t>
        </is>
      </c>
      <c r="I138" s="52" t="n">
        <v>1</v>
      </c>
      <c r="J138" s="51" t="inlineStr"/>
    </row>
    <row r="139">
      <c r="A139" s="47" t="n">
        <v>20</v>
      </c>
      <c r="B139" s="48" t="inlineStr">
        <is>
          <t>Nguyễn Thị Hiền</t>
        </is>
      </c>
      <c r="C139" s="47" t="inlineStr">
        <is>
          <t>Toán-Tin</t>
        </is>
      </c>
      <c r="D139" s="47" t="inlineStr">
        <is>
          <t>HĐ235</t>
        </is>
      </c>
      <c r="E139" s="47" t="inlineStr"/>
      <c r="F139" s="48" t="inlineStr">
        <is>
          <t>Hoạt động trải nghiệm, hướng nghiệp</t>
        </is>
      </c>
      <c r="G139" s="47" t="inlineStr">
        <is>
          <t>7A7</t>
        </is>
      </c>
      <c r="H139" s="47" t="inlineStr">
        <is>
          <t>7</t>
        </is>
      </c>
      <c r="I139" s="49" t="n">
        <v>3</v>
      </c>
      <c r="J139" s="48" t="inlineStr"/>
    </row>
    <row r="140">
      <c r="A140" s="50" t="n">
        <v>20</v>
      </c>
      <c r="B140" s="51" t="inlineStr">
        <is>
          <t>Nguyễn Thị Hiền</t>
        </is>
      </c>
      <c r="C140" s="50" t="inlineStr">
        <is>
          <t>Toán-Tin</t>
        </is>
      </c>
      <c r="D140" s="50" t="inlineStr">
        <is>
          <t>HĐ235</t>
        </is>
      </c>
      <c r="E140" s="50" t="inlineStr"/>
      <c r="F140" s="51" t="inlineStr">
        <is>
          <t>Hoạt động trải nghiệm, hướng nghiệp</t>
        </is>
      </c>
      <c r="G140" s="50" t="inlineStr">
        <is>
          <t>7A8</t>
        </is>
      </c>
      <c r="H140" s="50" t="inlineStr">
        <is>
          <t>7</t>
        </is>
      </c>
      <c r="I140" s="52" t="n">
        <v>3</v>
      </c>
      <c r="J140" s="51" t="inlineStr"/>
    </row>
    <row r="141">
      <c r="A141" s="47" t="n">
        <v>21</v>
      </c>
      <c r="B141" s="48" t="inlineStr">
        <is>
          <t>Lương Thị Thu Hiền</t>
        </is>
      </c>
      <c r="C141" s="47" t="inlineStr">
        <is>
          <t>Tin học</t>
        </is>
      </c>
      <c r="D141" s="47" t="inlineStr">
        <is>
          <t>HĐ235</t>
        </is>
      </c>
      <c r="E141" s="47" t="inlineStr"/>
      <c r="F141" s="48" t="inlineStr">
        <is>
          <t>Tin học</t>
        </is>
      </c>
      <c r="G141" s="47" t="inlineStr">
        <is>
          <t>6A7</t>
        </is>
      </c>
      <c r="H141" s="47" t="inlineStr">
        <is>
          <t>6</t>
        </is>
      </c>
      <c r="I141" s="49" t="n">
        <v>1</v>
      </c>
      <c r="J141" s="48" t="inlineStr"/>
    </row>
    <row r="142">
      <c r="A142" s="50" t="n">
        <v>21</v>
      </c>
      <c r="B142" s="51" t="inlineStr">
        <is>
          <t>Lương Thị Thu Hiền</t>
        </is>
      </c>
      <c r="C142" s="50" t="inlineStr">
        <is>
          <t>Tin học</t>
        </is>
      </c>
      <c r="D142" s="50" t="inlineStr">
        <is>
          <t>HĐ235</t>
        </is>
      </c>
      <c r="E142" s="50" t="inlineStr"/>
      <c r="F142" s="51" t="inlineStr">
        <is>
          <t>Tin học</t>
        </is>
      </c>
      <c r="G142" s="50" t="inlineStr">
        <is>
          <t>6A8</t>
        </is>
      </c>
      <c r="H142" s="50" t="inlineStr">
        <is>
          <t>6</t>
        </is>
      </c>
      <c r="I142" s="52" t="n">
        <v>1</v>
      </c>
      <c r="J142" s="51" t="inlineStr"/>
    </row>
    <row r="143">
      <c r="A143" s="47" t="n">
        <v>21</v>
      </c>
      <c r="B143" s="48" t="inlineStr">
        <is>
          <t>Lương Thị Thu Hiền</t>
        </is>
      </c>
      <c r="C143" s="47" t="inlineStr">
        <is>
          <t>Tin học</t>
        </is>
      </c>
      <c r="D143" s="47" t="inlineStr">
        <is>
          <t>HĐ235</t>
        </is>
      </c>
      <c r="E143" s="47" t="inlineStr"/>
      <c r="F143" s="48" t="inlineStr">
        <is>
          <t>Tin học</t>
        </is>
      </c>
      <c r="G143" s="47" t="inlineStr">
        <is>
          <t>6A9</t>
        </is>
      </c>
      <c r="H143" s="47" t="inlineStr">
        <is>
          <t>6</t>
        </is>
      </c>
      <c r="I143" s="49" t="n">
        <v>1</v>
      </c>
      <c r="J143" s="48" t="inlineStr"/>
    </row>
    <row r="144">
      <c r="A144" s="50" t="n">
        <v>21</v>
      </c>
      <c r="B144" s="51" t="inlineStr">
        <is>
          <t>Lương Thị Thu Hiền</t>
        </is>
      </c>
      <c r="C144" s="50" t="inlineStr">
        <is>
          <t>Tin học</t>
        </is>
      </c>
      <c r="D144" s="50" t="inlineStr">
        <is>
          <t>HĐ235</t>
        </is>
      </c>
      <c r="E144" s="50" t="inlineStr"/>
      <c r="F144" s="51" t="inlineStr">
        <is>
          <t>Tin học</t>
        </is>
      </c>
      <c r="G144" s="50" t="inlineStr">
        <is>
          <t>6A10</t>
        </is>
      </c>
      <c r="H144" s="50" t="inlineStr">
        <is>
          <t>6</t>
        </is>
      </c>
      <c r="I144" s="52" t="n">
        <v>1</v>
      </c>
      <c r="J144" s="51" t="inlineStr"/>
    </row>
    <row r="145">
      <c r="A145" s="47" t="n">
        <v>21</v>
      </c>
      <c r="B145" s="48" t="inlineStr">
        <is>
          <t>Lương Thị Thu Hiền</t>
        </is>
      </c>
      <c r="C145" s="47" t="inlineStr">
        <is>
          <t>Tin học</t>
        </is>
      </c>
      <c r="D145" s="47" t="inlineStr">
        <is>
          <t>HĐ235</t>
        </is>
      </c>
      <c r="E145" s="47" t="inlineStr"/>
      <c r="F145" s="48" t="inlineStr">
        <is>
          <t>Tin học</t>
        </is>
      </c>
      <c r="G145" s="47" t="inlineStr">
        <is>
          <t>6A11</t>
        </is>
      </c>
      <c r="H145" s="47" t="inlineStr">
        <is>
          <t>6</t>
        </is>
      </c>
      <c r="I145" s="49" t="n">
        <v>1</v>
      </c>
      <c r="J145" s="48" t="inlineStr"/>
    </row>
    <row r="146">
      <c r="A146" s="50" t="n">
        <v>21</v>
      </c>
      <c r="B146" s="51" t="inlineStr">
        <is>
          <t>Lương Thị Thu Hiền</t>
        </is>
      </c>
      <c r="C146" s="50" t="inlineStr">
        <is>
          <t>Tin học</t>
        </is>
      </c>
      <c r="D146" s="50" t="inlineStr">
        <is>
          <t>HĐ235</t>
        </is>
      </c>
      <c r="E146" s="50" t="inlineStr"/>
      <c r="F146" s="51" t="inlineStr">
        <is>
          <t>Tin học</t>
        </is>
      </c>
      <c r="G146" s="50" t="inlineStr">
        <is>
          <t>7A7</t>
        </is>
      </c>
      <c r="H146" s="50" t="inlineStr">
        <is>
          <t>7</t>
        </is>
      </c>
      <c r="I146" s="52" t="n">
        <v>1</v>
      </c>
      <c r="J146" s="51" t="inlineStr"/>
    </row>
    <row r="147">
      <c r="A147" s="47" t="n">
        <v>21</v>
      </c>
      <c r="B147" s="48" t="inlineStr">
        <is>
          <t>Lương Thị Thu Hiền</t>
        </is>
      </c>
      <c r="C147" s="47" t="inlineStr">
        <is>
          <t>Tin học</t>
        </is>
      </c>
      <c r="D147" s="47" t="inlineStr">
        <is>
          <t>HĐ235</t>
        </is>
      </c>
      <c r="E147" s="47" t="inlineStr"/>
      <c r="F147" s="48" t="inlineStr">
        <is>
          <t>Tin học</t>
        </is>
      </c>
      <c r="G147" s="47" t="inlineStr">
        <is>
          <t>7A8</t>
        </is>
      </c>
      <c r="H147" s="47" t="inlineStr">
        <is>
          <t>7</t>
        </is>
      </c>
      <c r="I147" s="49" t="n">
        <v>1</v>
      </c>
      <c r="J147" s="48" t="inlineStr"/>
    </row>
    <row r="148">
      <c r="A148" s="50" t="n">
        <v>21</v>
      </c>
      <c r="B148" s="51" t="inlineStr">
        <is>
          <t>Lương Thị Thu Hiền</t>
        </is>
      </c>
      <c r="C148" s="50" t="inlineStr">
        <is>
          <t>Tin học</t>
        </is>
      </c>
      <c r="D148" s="50" t="inlineStr">
        <is>
          <t>HĐ235</t>
        </is>
      </c>
      <c r="E148" s="50" t="inlineStr"/>
      <c r="F148" s="51" t="inlineStr">
        <is>
          <t>Tin học</t>
        </is>
      </c>
      <c r="G148" s="50" t="inlineStr">
        <is>
          <t>7A9</t>
        </is>
      </c>
      <c r="H148" s="50" t="inlineStr">
        <is>
          <t>7</t>
        </is>
      </c>
      <c r="I148" s="52" t="n">
        <v>1</v>
      </c>
      <c r="J148" s="51" t="inlineStr"/>
    </row>
    <row r="149">
      <c r="A149" s="47" t="n">
        <v>21</v>
      </c>
      <c r="B149" s="48" t="inlineStr">
        <is>
          <t>Lương Thị Thu Hiền</t>
        </is>
      </c>
      <c r="C149" s="47" t="inlineStr">
        <is>
          <t>Tin học</t>
        </is>
      </c>
      <c r="D149" s="47" t="inlineStr">
        <is>
          <t>HĐ235</t>
        </is>
      </c>
      <c r="E149" s="47" t="inlineStr"/>
      <c r="F149" s="48" t="inlineStr">
        <is>
          <t>Tin học</t>
        </is>
      </c>
      <c r="G149" s="47" t="inlineStr">
        <is>
          <t>7A10</t>
        </is>
      </c>
      <c r="H149" s="47" t="inlineStr">
        <is>
          <t>7</t>
        </is>
      </c>
      <c r="I149" s="49" t="n">
        <v>1</v>
      </c>
      <c r="J149" s="48" t="inlineStr"/>
    </row>
    <row r="150">
      <c r="A150" s="50" t="n">
        <v>21</v>
      </c>
      <c r="B150" s="51" t="inlineStr">
        <is>
          <t>Lương Thị Thu Hiền</t>
        </is>
      </c>
      <c r="C150" s="50" t="inlineStr">
        <is>
          <t>Tin học</t>
        </is>
      </c>
      <c r="D150" s="50" t="inlineStr">
        <is>
          <t>HĐ235</t>
        </is>
      </c>
      <c r="E150" s="50" t="inlineStr"/>
      <c r="F150" s="51" t="inlineStr">
        <is>
          <t>Tin học</t>
        </is>
      </c>
      <c r="G150" s="50" t="inlineStr">
        <is>
          <t>7A11</t>
        </is>
      </c>
      <c r="H150" s="50" t="inlineStr">
        <is>
          <t>7</t>
        </is>
      </c>
      <c r="I150" s="52" t="n">
        <v>1</v>
      </c>
      <c r="J150" s="51" t="inlineStr"/>
    </row>
    <row r="151">
      <c r="A151" s="47" t="n">
        <v>21</v>
      </c>
      <c r="B151" s="48" t="inlineStr">
        <is>
          <t>Lương Thị Thu Hiền</t>
        </is>
      </c>
      <c r="C151" s="47" t="inlineStr">
        <is>
          <t>Tin học</t>
        </is>
      </c>
      <c r="D151" s="47" t="inlineStr">
        <is>
          <t>HĐ235</t>
        </is>
      </c>
      <c r="E151" s="47" t="inlineStr"/>
      <c r="F151" s="48" t="inlineStr">
        <is>
          <t>Tin học</t>
        </is>
      </c>
      <c r="G151" s="47" t="inlineStr">
        <is>
          <t>8A7</t>
        </is>
      </c>
      <c r="H151" s="47" t="inlineStr">
        <is>
          <t>8</t>
        </is>
      </c>
      <c r="I151" s="49" t="n">
        <v>1</v>
      </c>
      <c r="J151" s="48" t="inlineStr"/>
    </row>
    <row r="152">
      <c r="A152" s="50" t="n">
        <v>21</v>
      </c>
      <c r="B152" s="51" t="inlineStr">
        <is>
          <t>Lương Thị Thu Hiền</t>
        </is>
      </c>
      <c r="C152" s="50" t="inlineStr">
        <is>
          <t>Tin học</t>
        </is>
      </c>
      <c r="D152" s="50" t="inlineStr">
        <is>
          <t>HĐ235</t>
        </is>
      </c>
      <c r="E152" s="50" t="inlineStr"/>
      <c r="F152" s="51" t="inlineStr">
        <is>
          <t>Tin học</t>
        </is>
      </c>
      <c r="G152" s="50" t="inlineStr">
        <is>
          <t>8A8</t>
        </is>
      </c>
      <c r="H152" s="50" t="inlineStr">
        <is>
          <t>8</t>
        </is>
      </c>
      <c r="I152" s="52" t="n">
        <v>1</v>
      </c>
      <c r="J152" s="51" t="inlineStr"/>
    </row>
    <row r="153">
      <c r="A153" s="47" t="n">
        <v>21</v>
      </c>
      <c r="B153" s="48" t="inlineStr">
        <is>
          <t>Lương Thị Thu Hiền</t>
        </is>
      </c>
      <c r="C153" s="47" t="inlineStr">
        <is>
          <t>Tin học</t>
        </is>
      </c>
      <c r="D153" s="47" t="inlineStr">
        <is>
          <t>HĐ235</t>
        </is>
      </c>
      <c r="E153" s="47" t="inlineStr"/>
      <c r="F153" s="48" t="inlineStr">
        <is>
          <t>Tin học</t>
        </is>
      </c>
      <c r="G153" s="47" t="inlineStr">
        <is>
          <t>8A9</t>
        </is>
      </c>
      <c r="H153" s="47" t="inlineStr">
        <is>
          <t>8</t>
        </is>
      </c>
      <c r="I153" s="49" t="n">
        <v>1</v>
      </c>
      <c r="J153" s="48" t="inlineStr"/>
    </row>
    <row r="154">
      <c r="A154" s="50" t="n">
        <v>21</v>
      </c>
      <c r="B154" s="51" t="inlineStr">
        <is>
          <t>Lương Thị Thu Hiền</t>
        </is>
      </c>
      <c r="C154" s="50" t="inlineStr">
        <is>
          <t>Tin học</t>
        </is>
      </c>
      <c r="D154" s="50" t="inlineStr">
        <is>
          <t>HĐ235</t>
        </is>
      </c>
      <c r="E154" s="50" t="inlineStr"/>
      <c r="F154" s="51" t="inlineStr">
        <is>
          <t>Tin học</t>
        </is>
      </c>
      <c r="G154" s="50" t="inlineStr">
        <is>
          <t>8A10</t>
        </is>
      </c>
      <c r="H154" s="50" t="inlineStr">
        <is>
          <t>8</t>
        </is>
      </c>
      <c r="I154" s="52" t="n">
        <v>1</v>
      </c>
      <c r="J154" s="51" t="inlineStr"/>
    </row>
    <row r="155">
      <c r="A155" s="47" t="n">
        <v>21</v>
      </c>
      <c r="B155" s="48" t="inlineStr">
        <is>
          <t>Lương Thị Thu Hiền</t>
        </is>
      </c>
      <c r="C155" s="47" t="inlineStr">
        <is>
          <t>Tin học</t>
        </is>
      </c>
      <c r="D155" s="47" t="inlineStr">
        <is>
          <t>HĐ235</t>
        </is>
      </c>
      <c r="E155" s="47" t="inlineStr"/>
      <c r="F155" s="48" t="inlineStr">
        <is>
          <t>Tin học</t>
        </is>
      </c>
      <c r="G155" s="47" t="inlineStr">
        <is>
          <t>8A11</t>
        </is>
      </c>
      <c r="H155" s="47" t="inlineStr">
        <is>
          <t>8</t>
        </is>
      </c>
      <c r="I155" s="49" t="n">
        <v>1</v>
      </c>
      <c r="J155" s="48" t="inlineStr"/>
    </row>
    <row r="156">
      <c r="A156" s="50" t="n">
        <v>21</v>
      </c>
      <c r="B156" s="51" t="inlineStr">
        <is>
          <t>Lương Thị Thu Hiền</t>
        </is>
      </c>
      <c r="C156" s="50" t="inlineStr">
        <is>
          <t>Tin học</t>
        </is>
      </c>
      <c r="D156" s="50" t="inlineStr">
        <is>
          <t>HĐ235</t>
        </is>
      </c>
      <c r="E156" s="50" t="inlineStr"/>
      <c r="F156" s="51" t="inlineStr">
        <is>
          <t>Công nghệ</t>
        </is>
      </c>
      <c r="G156" s="50" t="inlineStr">
        <is>
          <t>7A8</t>
        </is>
      </c>
      <c r="H156" s="50" t="inlineStr">
        <is>
          <t>7</t>
        </is>
      </c>
      <c r="I156" s="52" t="n">
        <v>1</v>
      </c>
      <c r="J156" s="51" t="inlineStr"/>
    </row>
    <row r="157">
      <c r="A157" s="47" t="n">
        <v>21</v>
      </c>
      <c r="B157" s="48" t="inlineStr">
        <is>
          <t>Lương Thị Thu Hiền</t>
        </is>
      </c>
      <c r="C157" s="47" t="inlineStr">
        <is>
          <t>Tin học</t>
        </is>
      </c>
      <c r="D157" s="47" t="inlineStr">
        <is>
          <t>HĐ235</t>
        </is>
      </c>
      <c r="E157" s="47" t="inlineStr"/>
      <c r="F157" s="48" t="inlineStr">
        <is>
          <t>Công nghệ</t>
        </is>
      </c>
      <c r="G157" s="47" t="inlineStr">
        <is>
          <t>7A9</t>
        </is>
      </c>
      <c r="H157" s="47" t="inlineStr">
        <is>
          <t>7</t>
        </is>
      </c>
      <c r="I157" s="49" t="n">
        <v>1</v>
      </c>
      <c r="J157" s="48" t="inlineStr"/>
    </row>
    <row r="158">
      <c r="A158" s="50" t="n">
        <v>21</v>
      </c>
      <c r="B158" s="51" t="inlineStr">
        <is>
          <t>Lương Thị Thu Hiền</t>
        </is>
      </c>
      <c r="C158" s="50" t="inlineStr">
        <is>
          <t>Tin học</t>
        </is>
      </c>
      <c r="D158" s="50" t="inlineStr">
        <is>
          <t>HĐ235</t>
        </is>
      </c>
      <c r="E158" s="50" t="inlineStr"/>
      <c r="F158" s="51" t="inlineStr">
        <is>
          <t>Công nghệ</t>
        </is>
      </c>
      <c r="G158" s="50" t="inlineStr">
        <is>
          <t>7A10</t>
        </is>
      </c>
      <c r="H158" s="50" t="inlineStr">
        <is>
          <t>7</t>
        </is>
      </c>
      <c r="I158" s="52" t="n">
        <v>1</v>
      </c>
      <c r="J158" s="51" t="inlineStr"/>
    </row>
    <row r="159">
      <c r="A159" s="47" t="n">
        <v>21</v>
      </c>
      <c r="B159" s="48" t="inlineStr">
        <is>
          <t>Lương Thị Thu Hiền</t>
        </is>
      </c>
      <c r="C159" s="47" t="inlineStr">
        <is>
          <t>Tin học</t>
        </is>
      </c>
      <c r="D159" s="47" t="inlineStr">
        <is>
          <t>HĐ235</t>
        </is>
      </c>
      <c r="E159" s="47" t="inlineStr"/>
      <c r="F159" s="48" t="inlineStr">
        <is>
          <t>Công nghệ</t>
        </is>
      </c>
      <c r="G159" s="47" t="inlineStr">
        <is>
          <t>7A11</t>
        </is>
      </c>
      <c r="H159" s="47" t="inlineStr">
        <is>
          <t>7</t>
        </is>
      </c>
      <c r="I159" s="49" t="n">
        <v>1</v>
      </c>
      <c r="J159" s="48" t="inlineStr"/>
    </row>
    <row r="160">
      <c r="A160" s="50" t="n">
        <v>22</v>
      </c>
      <c r="B160" s="51" t="inlineStr">
        <is>
          <t>Hà Thị Hải Yến</t>
        </is>
      </c>
      <c r="C160" s="50" t="inlineStr">
        <is>
          <t>Sinh-Kỹ</t>
        </is>
      </c>
      <c r="D160" s="50" t="inlineStr">
        <is>
          <t>Tổ phó</t>
        </is>
      </c>
      <c r="E160" s="50" t="inlineStr">
        <is>
          <t>8A10</t>
        </is>
      </c>
      <c r="F160" s="51" t="inlineStr">
        <is>
          <t>Khoa học tự nhiên (Sinh học)</t>
        </is>
      </c>
      <c r="G160" s="50" t="inlineStr">
        <is>
          <t>9A8</t>
        </is>
      </c>
      <c r="H160" s="50" t="inlineStr">
        <is>
          <t>9</t>
        </is>
      </c>
      <c r="I160" s="52" t="n">
        <v>1</v>
      </c>
      <c r="J160" s="51" t="inlineStr"/>
    </row>
    <row r="161">
      <c r="A161" s="47" t="n">
        <v>22</v>
      </c>
      <c r="B161" s="48" t="inlineStr">
        <is>
          <t>Hà Thị Hải Yến</t>
        </is>
      </c>
      <c r="C161" s="47" t="inlineStr">
        <is>
          <t>Sinh-Kỹ</t>
        </is>
      </c>
      <c r="D161" s="47" t="inlineStr">
        <is>
          <t>Tổ phó</t>
        </is>
      </c>
      <c r="E161" s="47" t="inlineStr">
        <is>
          <t>8A10</t>
        </is>
      </c>
      <c r="F161" s="48" t="inlineStr">
        <is>
          <t>Khoa học tự nhiên (Sinh học)</t>
        </is>
      </c>
      <c r="G161" s="47" t="inlineStr">
        <is>
          <t>9A9</t>
        </is>
      </c>
      <c r="H161" s="47" t="inlineStr">
        <is>
          <t>9</t>
        </is>
      </c>
      <c r="I161" s="49" t="n">
        <v>1</v>
      </c>
      <c r="J161" s="48" t="inlineStr"/>
    </row>
    <row r="162">
      <c r="A162" s="50" t="n">
        <v>22</v>
      </c>
      <c r="B162" s="51" t="inlineStr">
        <is>
          <t>Hà Thị Hải Yến</t>
        </is>
      </c>
      <c r="C162" s="50" t="inlineStr">
        <is>
          <t>Sinh-Kỹ</t>
        </is>
      </c>
      <c r="D162" s="50" t="inlineStr">
        <is>
          <t>Tổ phó</t>
        </is>
      </c>
      <c r="E162" s="50" t="inlineStr">
        <is>
          <t>8A10</t>
        </is>
      </c>
      <c r="F162" s="51" t="inlineStr">
        <is>
          <t>Khoa học tự nhiên (Sinh học)</t>
        </is>
      </c>
      <c r="G162" s="50" t="inlineStr">
        <is>
          <t>9A10</t>
        </is>
      </c>
      <c r="H162" s="50" t="inlineStr">
        <is>
          <t>9</t>
        </is>
      </c>
      <c r="I162" s="52" t="n">
        <v>1</v>
      </c>
      <c r="J162" s="51" t="inlineStr"/>
    </row>
    <row r="163">
      <c r="A163" s="47" t="n">
        <v>22</v>
      </c>
      <c r="B163" s="48" t="inlineStr">
        <is>
          <t>Hà Thị Hải Yến</t>
        </is>
      </c>
      <c r="C163" s="47" t="inlineStr">
        <is>
          <t>Sinh-Kỹ</t>
        </is>
      </c>
      <c r="D163" s="47" t="inlineStr">
        <is>
          <t>Tổ phó</t>
        </is>
      </c>
      <c r="E163" s="47" t="inlineStr">
        <is>
          <t>8A10</t>
        </is>
      </c>
      <c r="F163" s="48" t="inlineStr">
        <is>
          <t>Khoa học tự nhiên (Sinh học)</t>
        </is>
      </c>
      <c r="G163" s="47" t="inlineStr">
        <is>
          <t>9A11</t>
        </is>
      </c>
      <c r="H163" s="47" t="inlineStr">
        <is>
          <t>9</t>
        </is>
      </c>
      <c r="I163" s="49" t="n">
        <v>1</v>
      </c>
      <c r="J163" s="48" t="inlineStr"/>
    </row>
    <row r="164">
      <c r="A164" s="50" t="n">
        <v>22</v>
      </c>
      <c r="B164" s="51" t="inlineStr">
        <is>
          <t>Hà Thị Hải Yến</t>
        </is>
      </c>
      <c r="C164" s="50" t="inlineStr">
        <is>
          <t>Sinh-Kỹ</t>
        </is>
      </c>
      <c r="D164" s="50" t="inlineStr">
        <is>
          <t>Tổ phó</t>
        </is>
      </c>
      <c r="E164" s="50" t="inlineStr">
        <is>
          <t>8A10</t>
        </is>
      </c>
      <c r="F164" s="51" t="inlineStr">
        <is>
          <t>Khoa học tự nhiên (Sinh học)</t>
        </is>
      </c>
      <c r="G164" s="50" t="inlineStr">
        <is>
          <t>9A12</t>
        </is>
      </c>
      <c r="H164" s="50" t="inlineStr">
        <is>
          <t>9</t>
        </is>
      </c>
      <c r="I164" s="52" t="n">
        <v>1</v>
      </c>
      <c r="J164" s="51" t="inlineStr"/>
    </row>
    <row r="165">
      <c r="A165" s="47" t="n">
        <v>22</v>
      </c>
      <c r="B165" s="48" t="inlineStr">
        <is>
          <t>Hà Thị Hải Yến</t>
        </is>
      </c>
      <c r="C165" s="47" t="inlineStr">
        <is>
          <t>Sinh-Kỹ</t>
        </is>
      </c>
      <c r="D165" s="47" t="inlineStr">
        <is>
          <t>Tổ phó</t>
        </is>
      </c>
      <c r="E165" s="47" t="inlineStr">
        <is>
          <t>8A10</t>
        </is>
      </c>
      <c r="F165" s="48" t="inlineStr">
        <is>
          <t>Khoa học tự nhiên (Sinh học)</t>
        </is>
      </c>
      <c r="G165" s="47" t="inlineStr">
        <is>
          <t>8A10</t>
        </is>
      </c>
      <c r="H165" s="47" t="inlineStr">
        <is>
          <t>8</t>
        </is>
      </c>
      <c r="I165" s="49" t="n">
        <v>2</v>
      </c>
      <c r="J165" s="48" t="inlineStr"/>
    </row>
    <row r="166">
      <c r="A166" s="50" t="n">
        <v>22</v>
      </c>
      <c r="B166" s="51" t="inlineStr">
        <is>
          <t>Hà Thị Hải Yến</t>
        </is>
      </c>
      <c r="C166" s="50" t="inlineStr">
        <is>
          <t>Sinh-Kỹ</t>
        </is>
      </c>
      <c r="D166" s="50" t="inlineStr">
        <is>
          <t>Tổ phó</t>
        </is>
      </c>
      <c r="E166" s="50" t="inlineStr">
        <is>
          <t>8A10</t>
        </is>
      </c>
      <c r="F166" s="51" t="inlineStr">
        <is>
          <t>Khoa học tự nhiên (Sinh học)</t>
        </is>
      </c>
      <c r="G166" s="50" t="inlineStr">
        <is>
          <t>6A7</t>
        </is>
      </c>
      <c r="H166" s="50" t="inlineStr">
        <is>
          <t>6</t>
        </is>
      </c>
      <c r="I166" s="52" t="n">
        <v>1</v>
      </c>
      <c r="J166" s="51" t="inlineStr"/>
    </row>
    <row r="167">
      <c r="A167" s="47" t="n">
        <v>22</v>
      </c>
      <c r="B167" s="48" t="inlineStr">
        <is>
          <t>Hà Thị Hải Yến</t>
        </is>
      </c>
      <c r="C167" s="47" t="inlineStr">
        <is>
          <t>Sinh-Kỹ</t>
        </is>
      </c>
      <c r="D167" s="47" t="inlineStr">
        <is>
          <t>Tổ phó</t>
        </is>
      </c>
      <c r="E167" s="47" t="inlineStr">
        <is>
          <t>8A10</t>
        </is>
      </c>
      <c r="F167" s="48" t="inlineStr">
        <is>
          <t>Khoa học tự nhiên (Sinh học)</t>
        </is>
      </c>
      <c r="G167" s="47" t="inlineStr">
        <is>
          <t>6A8</t>
        </is>
      </c>
      <c r="H167" s="47" t="inlineStr">
        <is>
          <t>6</t>
        </is>
      </c>
      <c r="I167" s="49" t="n">
        <v>1</v>
      </c>
      <c r="J167" s="48" t="inlineStr"/>
    </row>
    <row r="168">
      <c r="A168" s="50" t="n">
        <v>22</v>
      </c>
      <c r="B168" s="51" t="inlineStr">
        <is>
          <t>Hà Thị Hải Yến</t>
        </is>
      </c>
      <c r="C168" s="50" t="inlineStr">
        <is>
          <t>Sinh-Kỹ</t>
        </is>
      </c>
      <c r="D168" s="50" t="inlineStr">
        <is>
          <t>Tổ phó</t>
        </is>
      </c>
      <c r="E168" s="50" t="inlineStr">
        <is>
          <t>8A10</t>
        </is>
      </c>
      <c r="F168" s="51" t="inlineStr">
        <is>
          <t>Khoa học tự nhiên (Sinh học)</t>
        </is>
      </c>
      <c r="G168" s="50" t="inlineStr">
        <is>
          <t>6A9</t>
        </is>
      </c>
      <c r="H168" s="50" t="inlineStr">
        <is>
          <t>6</t>
        </is>
      </c>
      <c r="I168" s="52" t="n">
        <v>1</v>
      </c>
      <c r="J168" s="51" t="inlineStr"/>
    </row>
    <row r="169">
      <c r="A169" s="47" t="n">
        <v>22</v>
      </c>
      <c r="B169" s="48" t="inlineStr">
        <is>
          <t>Hà Thị Hải Yến</t>
        </is>
      </c>
      <c r="C169" s="47" t="inlineStr">
        <is>
          <t>Sinh-Kỹ</t>
        </is>
      </c>
      <c r="D169" s="47" t="inlineStr">
        <is>
          <t>Tổ phó</t>
        </is>
      </c>
      <c r="E169" s="47" t="inlineStr">
        <is>
          <t>8A10</t>
        </is>
      </c>
      <c r="F169" s="48" t="inlineStr">
        <is>
          <t>Khoa học tự nhiên (Sinh học)</t>
        </is>
      </c>
      <c r="G169" s="47" t="inlineStr">
        <is>
          <t>6A10</t>
        </is>
      </c>
      <c r="H169" s="47" t="inlineStr">
        <is>
          <t>6</t>
        </is>
      </c>
      <c r="I169" s="49" t="n">
        <v>1</v>
      </c>
      <c r="J169" s="48" t="inlineStr"/>
    </row>
    <row r="170">
      <c r="A170" s="50" t="n">
        <v>22</v>
      </c>
      <c r="B170" s="51" t="inlineStr">
        <is>
          <t>Hà Thị Hải Yến</t>
        </is>
      </c>
      <c r="C170" s="50" t="inlineStr">
        <is>
          <t>Sinh-Kỹ</t>
        </is>
      </c>
      <c r="D170" s="50" t="inlineStr">
        <is>
          <t>Tổ phó</t>
        </is>
      </c>
      <c r="E170" s="50" t="inlineStr">
        <is>
          <t>8A10</t>
        </is>
      </c>
      <c r="F170" s="51" t="inlineStr">
        <is>
          <t>Khoa học tự nhiên (Sinh học)</t>
        </is>
      </c>
      <c r="G170" s="50" t="inlineStr">
        <is>
          <t>6A11</t>
        </is>
      </c>
      <c r="H170" s="50" t="inlineStr">
        <is>
          <t>6</t>
        </is>
      </c>
      <c r="I170" s="52" t="n">
        <v>1</v>
      </c>
      <c r="J170" s="51" t="inlineStr"/>
    </row>
    <row r="171">
      <c r="A171" s="47" t="n">
        <v>22</v>
      </c>
      <c r="B171" s="48" t="inlineStr">
        <is>
          <t>Hà Thị Hải Yến</t>
        </is>
      </c>
      <c r="C171" s="47" t="inlineStr">
        <is>
          <t>Sinh-Kỹ</t>
        </is>
      </c>
      <c r="D171" s="47" t="inlineStr">
        <is>
          <t>Tổ phó</t>
        </is>
      </c>
      <c r="E171" s="47" t="inlineStr">
        <is>
          <t>8A10</t>
        </is>
      </c>
      <c r="F171" s="48" t="inlineStr">
        <is>
          <t>Hoạt động trải nghiệm, hướng nghiệp</t>
        </is>
      </c>
      <c r="G171" s="47" t="inlineStr">
        <is>
          <t>8A10</t>
        </is>
      </c>
      <c r="H171" s="47" t="inlineStr">
        <is>
          <t>8</t>
        </is>
      </c>
      <c r="I171" s="49" t="n">
        <v>3</v>
      </c>
      <c r="J171" s="48" t="inlineStr"/>
    </row>
    <row r="172">
      <c r="A172" s="50" t="n">
        <v>23</v>
      </c>
      <c r="B172" s="51" t="inlineStr">
        <is>
          <t>Trần Thị Liễu</t>
        </is>
      </c>
      <c r="C172" s="50" t="inlineStr">
        <is>
          <t>Sinh-Hoá</t>
        </is>
      </c>
      <c r="D172" s="50" t="inlineStr">
        <is>
          <t>HĐK</t>
        </is>
      </c>
      <c r="E172" s="50" t="inlineStr"/>
      <c r="F172" s="51" t="inlineStr">
        <is>
          <t>Khoa học tự nhiên (Hóa học)</t>
        </is>
      </c>
      <c r="G172" s="50" t="inlineStr">
        <is>
          <t>7A7</t>
        </is>
      </c>
      <c r="H172" s="50" t="inlineStr">
        <is>
          <t>7</t>
        </is>
      </c>
      <c r="I172" s="52" t="n">
        <v>1</v>
      </c>
      <c r="J172" s="51" t="inlineStr"/>
    </row>
    <row r="173">
      <c r="A173" s="47" t="n">
        <v>23</v>
      </c>
      <c r="B173" s="48" t="inlineStr">
        <is>
          <t>Trần Thị Liễu</t>
        </is>
      </c>
      <c r="C173" s="47" t="inlineStr">
        <is>
          <t>Sinh-Hoá</t>
        </is>
      </c>
      <c r="D173" s="47" t="inlineStr">
        <is>
          <t>HĐK</t>
        </is>
      </c>
      <c r="E173" s="47" t="inlineStr"/>
      <c r="F173" s="48" t="inlineStr">
        <is>
          <t>Khoa học tự nhiên (Hóa học)</t>
        </is>
      </c>
      <c r="G173" s="47" t="inlineStr">
        <is>
          <t>7A8</t>
        </is>
      </c>
      <c r="H173" s="47" t="inlineStr">
        <is>
          <t>7</t>
        </is>
      </c>
      <c r="I173" s="49" t="n">
        <v>1</v>
      </c>
      <c r="J173" s="48" t="inlineStr"/>
    </row>
    <row r="174">
      <c r="A174" s="50" t="n">
        <v>23</v>
      </c>
      <c r="B174" s="51" t="inlineStr">
        <is>
          <t>Trần Thị Liễu</t>
        </is>
      </c>
      <c r="C174" s="50" t="inlineStr">
        <is>
          <t>Sinh-Hoá</t>
        </is>
      </c>
      <c r="D174" s="50" t="inlineStr">
        <is>
          <t>HĐK</t>
        </is>
      </c>
      <c r="E174" s="50" t="inlineStr"/>
      <c r="F174" s="51" t="inlineStr">
        <is>
          <t>Khoa học tự nhiên (Hóa học)</t>
        </is>
      </c>
      <c r="G174" s="50" t="inlineStr">
        <is>
          <t>7A9</t>
        </is>
      </c>
      <c r="H174" s="50" t="inlineStr">
        <is>
          <t>7</t>
        </is>
      </c>
      <c r="I174" s="52" t="n">
        <v>1</v>
      </c>
      <c r="J174" s="51" t="inlineStr"/>
    </row>
    <row r="175">
      <c r="A175" s="47" t="n">
        <v>23</v>
      </c>
      <c r="B175" s="48" t="inlineStr">
        <is>
          <t>Trần Thị Liễu</t>
        </is>
      </c>
      <c r="C175" s="47" t="inlineStr">
        <is>
          <t>Sinh-Hoá</t>
        </is>
      </c>
      <c r="D175" s="47" t="inlineStr">
        <is>
          <t>HĐK</t>
        </is>
      </c>
      <c r="E175" s="47" t="inlineStr"/>
      <c r="F175" s="48" t="inlineStr">
        <is>
          <t>Khoa học tự nhiên (Hóa học)</t>
        </is>
      </c>
      <c r="G175" s="47" t="inlineStr">
        <is>
          <t>7A10</t>
        </is>
      </c>
      <c r="H175" s="47" t="inlineStr">
        <is>
          <t>7</t>
        </is>
      </c>
      <c r="I175" s="49" t="n">
        <v>1</v>
      </c>
      <c r="J175" s="48" t="inlineStr"/>
    </row>
    <row r="176">
      <c r="A176" s="50" t="n">
        <v>23</v>
      </c>
      <c r="B176" s="51" t="inlineStr">
        <is>
          <t>Trần Thị Liễu</t>
        </is>
      </c>
      <c r="C176" s="50" t="inlineStr">
        <is>
          <t>Sinh-Hoá</t>
        </is>
      </c>
      <c r="D176" s="50" t="inlineStr">
        <is>
          <t>HĐK</t>
        </is>
      </c>
      <c r="E176" s="50" t="inlineStr"/>
      <c r="F176" s="51" t="inlineStr">
        <is>
          <t>Khoa học tự nhiên (Hóa học)</t>
        </is>
      </c>
      <c r="G176" s="50" t="inlineStr">
        <is>
          <t>7A11</t>
        </is>
      </c>
      <c r="H176" s="50" t="inlineStr">
        <is>
          <t>7</t>
        </is>
      </c>
      <c r="I176" s="52" t="n">
        <v>1</v>
      </c>
      <c r="J176" s="51" t="inlineStr"/>
    </row>
    <row r="177">
      <c r="A177" s="47" t="n">
        <v>23</v>
      </c>
      <c r="B177" s="48" t="inlineStr">
        <is>
          <t>Trần Thị Liễu</t>
        </is>
      </c>
      <c r="C177" s="47" t="inlineStr">
        <is>
          <t>Sinh-Hoá</t>
        </is>
      </c>
      <c r="D177" s="47" t="inlineStr">
        <is>
          <t>HĐK</t>
        </is>
      </c>
      <c r="E177" s="47" t="inlineStr"/>
      <c r="F177" s="48" t="inlineStr">
        <is>
          <t>Khoa học tự nhiên (Hóa học)</t>
        </is>
      </c>
      <c r="G177" s="47" t="inlineStr">
        <is>
          <t>8A7</t>
        </is>
      </c>
      <c r="H177" s="47" t="inlineStr">
        <is>
          <t>8</t>
        </is>
      </c>
      <c r="I177" s="49" t="n">
        <v>1</v>
      </c>
      <c r="J177" s="48" t="inlineStr"/>
    </row>
    <row r="178">
      <c r="A178" s="50" t="n">
        <v>23</v>
      </c>
      <c r="B178" s="51" t="inlineStr">
        <is>
          <t>Trần Thị Liễu</t>
        </is>
      </c>
      <c r="C178" s="50" t="inlineStr">
        <is>
          <t>Sinh-Hoá</t>
        </is>
      </c>
      <c r="D178" s="50" t="inlineStr">
        <is>
          <t>HĐK</t>
        </is>
      </c>
      <c r="E178" s="50" t="inlineStr"/>
      <c r="F178" s="51" t="inlineStr">
        <is>
          <t>Khoa học tự nhiên (Hóa học)</t>
        </is>
      </c>
      <c r="G178" s="50" t="inlineStr">
        <is>
          <t>8A8</t>
        </is>
      </c>
      <c r="H178" s="50" t="inlineStr">
        <is>
          <t>8</t>
        </is>
      </c>
      <c r="I178" s="52" t="n">
        <v>1</v>
      </c>
      <c r="J178" s="51" t="inlineStr"/>
    </row>
    <row r="179">
      <c r="A179" s="47" t="n">
        <v>23</v>
      </c>
      <c r="B179" s="48" t="inlineStr">
        <is>
          <t>Trần Thị Liễu</t>
        </is>
      </c>
      <c r="C179" s="47" t="inlineStr">
        <is>
          <t>Sinh-Hoá</t>
        </is>
      </c>
      <c r="D179" s="47" t="inlineStr">
        <is>
          <t>HĐK</t>
        </is>
      </c>
      <c r="E179" s="47" t="inlineStr"/>
      <c r="F179" s="48" t="inlineStr">
        <is>
          <t>Khoa học tự nhiên (Hóa học)</t>
        </is>
      </c>
      <c r="G179" s="47" t="inlineStr">
        <is>
          <t>8A9</t>
        </is>
      </c>
      <c r="H179" s="47" t="inlineStr">
        <is>
          <t>8</t>
        </is>
      </c>
      <c r="I179" s="49" t="n">
        <v>1</v>
      </c>
      <c r="J179" s="48" t="inlineStr"/>
    </row>
    <row r="180">
      <c r="A180" s="50" t="n">
        <v>23</v>
      </c>
      <c r="B180" s="51" t="inlineStr">
        <is>
          <t>Trần Thị Liễu</t>
        </is>
      </c>
      <c r="C180" s="50" t="inlineStr">
        <is>
          <t>Sinh-Hoá</t>
        </is>
      </c>
      <c r="D180" s="50" t="inlineStr">
        <is>
          <t>HĐK</t>
        </is>
      </c>
      <c r="E180" s="50" t="inlineStr"/>
      <c r="F180" s="51" t="inlineStr">
        <is>
          <t>Khoa học tự nhiên (Hóa học)</t>
        </is>
      </c>
      <c r="G180" s="50" t="inlineStr">
        <is>
          <t>8A10</t>
        </is>
      </c>
      <c r="H180" s="50" t="inlineStr">
        <is>
          <t>8</t>
        </is>
      </c>
      <c r="I180" s="52" t="n">
        <v>1</v>
      </c>
      <c r="J180" s="51" t="inlineStr"/>
    </row>
    <row r="181">
      <c r="A181" s="47" t="n">
        <v>23</v>
      </c>
      <c r="B181" s="48" t="inlineStr">
        <is>
          <t>Trần Thị Liễu</t>
        </is>
      </c>
      <c r="C181" s="47" t="inlineStr">
        <is>
          <t>Sinh-Hoá</t>
        </is>
      </c>
      <c r="D181" s="47" t="inlineStr">
        <is>
          <t>HĐK</t>
        </is>
      </c>
      <c r="E181" s="47" t="inlineStr"/>
      <c r="F181" s="48" t="inlineStr">
        <is>
          <t>Khoa học tự nhiên (Hóa học)</t>
        </is>
      </c>
      <c r="G181" s="47" t="inlineStr">
        <is>
          <t>8A11</t>
        </is>
      </c>
      <c r="H181" s="47" t="inlineStr">
        <is>
          <t>8</t>
        </is>
      </c>
      <c r="I181" s="49" t="n">
        <v>1</v>
      </c>
      <c r="J181" s="48" t="inlineStr"/>
    </row>
    <row r="182">
      <c r="A182" s="50" t="n">
        <v>23</v>
      </c>
      <c r="B182" s="51" t="inlineStr">
        <is>
          <t>Trần Thị Liễu</t>
        </is>
      </c>
      <c r="C182" s="50" t="inlineStr">
        <is>
          <t>Sinh-Hoá</t>
        </is>
      </c>
      <c r="D182" s="50" t="inlineStr">
        <is>
          <t>HĐK</t>
        </is>
      </c>
      <c r="E182" s="50" t="inlineStr"/>
      <c r="F182" s="51" t="inlineStr">
        <is>
          <t>Khoa học tự nhiên (Hóa học)</t>
        </is>
      </c>
      <c r="G182" s="50" t="inlineStr">
        <is>
          <t>9A8</t>
        </is>
      </c>
      <c r="H182" s="50" t="inlineStr">
        <is>
          <t>9</t>
        </is>
      </c>
      <c r="I182" s="52" t="n">
        <v>1</v>
      </c>
      <c r="J182" s="51" t="inlineStr"/>
    </row>
    <row r="183">
      <c r="A183" s="47" t="n">
        <v>23</v>
      </c>
      <c r="B183" s="48" t="inlineStr">
        <is>
          <t>Trần Thị Liễu</t>
        </is>
      </c>
      <c r="C183" s="47" t="inlineStr">
        <is>
          <t>Sinh-Hoá</t>
        </is>
      </c>
      <c r="D183" s="47" t="inlineStr">
        <is>
          <t>HĐK</t>
        </is>
      </c>
      <c r="E183" s="47" t="inlineStr"/>
      <c r="F183" s="48" t="inlineStr">
        <is>
          <t>Khoa học tự nhiên (Hóa học)</t>
        </is>
      </c>
      <c r="G183" s="47" t="inlineStr">
        <is>
          <t>9A9</t>
        </is>
      </c>
      <c r="H183" s="47" t="inlineStr">
        <is>
          <t>9</t>
        </is>
      </c>
      <c r="I183" s="49" t="n">
        <v>1</v>
      </c>
      <c r="J183" s="48" t="inlineStr"/>
    </row>
    <row r="184">
      <c r="A184" s="50" t="n">
        <v>23</v>
      </c>
      <c r="B184" s="51" t="inlineStr">
        <is>
          <t>Trần Thị Liễu</t>
        </is>
      </c>
      <c r="C184" s="50" t="inlineStr">
        <is>
          <t>Sinh-Hoá</t>
        </is>
      </c>
      <c r="D184" s="50" t="inlineStr">
        <is>
          <t>HĐK</t>
        </is>
      </c>
      <c r="E184" s="50" t="inlineStr"/>
      <c r="F184" s="51" t="inlineStr">
        <is>
          <t>Khoa học tự nhiên (Hóa học)</t>
        </is>
      </c>
      <c r="G184" s="50" t="inlineStr">
        <is>
          <t>9A10</t>
        </is>
      </c>
      <c r="H184" s="50" t="inlineStr">
        <is>
          <t>9</t>
        </is>
      </c>
      <c r="I184" s="52" t="n">
        <v>1</v>
      </c>
      <c r="J184" s="51" t="inlineStr"/>
    </row>
    <row r="185">
      <c r="A185" s="47" t="n">
        <v>23</v>
      </c>
      <c r="B185" s="48" t="inlineStr">
        <is>
          <t>Trần Thị Liễu</t>
        </is>
      </c>
      <c r="C185" s="47" t="inlineStr">
        <is>
          <t>Sinh-Hoá</t>
        </is>
      </c>
      <c r="D185" s="47" t="inlineStr">
        <is>
          <t>HĐK</t>
        </is>
      </c>
      <c r="E185" s="47" t="inlineStr"/>
      <c r="F185" s="48" t="inlineStr">
        <is>
          <t>Khoa học tự nhiên (Hóa học)</t>
        </is>
      </c>
      <c r="G185" s="47" t="inlineStr">
        <is>
          <t>9A11</t>
        </is>
      </c>
      <c r="H185" s="47" t="inlineStr">
        <is>
          <t>9</t>
        </is>
      </c>
      <c r="I185" s="49" t="n">
        <v>1</v>
      </c>
      <c r="J185" s="48" t="inlineStr"/>
    </row>
    <row r="186">
      <c r="A186" s="50" t="n">
        <v>23</v>
      </c>
      <c r="B186" s="51" t="inlineStr">
        <is>
          <t>Trần Thị Liễu</t>
        </is>
      </c>
      <c r="C186" s="50" t="inlineStr">
        <is>
          <t>Sinh-Hoá</t>
        </is>
      </c>
      <c r="D186" s="50" t="inlineStr">
        <is>
          <t>HĐK</t>
        </is>
      </c>
      <c r="E186" s="50" t="inlineStr"/>
      <c r="F186" s="51" t="inlineStr">
        <is>
          <t>Khoa học tự nhiên (Hóa học)</t>
        </is>
      </c>
      <c r="G186" s="50" t="inlineStr">
        <is>
          <t>9A12</t>
        </is>
      </c>
      <c r="H186" s="50" t="inlineStr">
        <is>
          <t>9</t>
        </is>
      </c>
      <c r="I186" s="52" t="n">
        <v>1</v>
      </c>
      <c r="J186" s="51" t="inlineStr"/>
    </row>
    <row r="187">
      <c r="A187" s="47" t="n">
        <v>23</v>
      </c>
      <c r="B187" s="48" t="inlineStr">
        <is>
          <t>Trần Thị Liễu</t>
        </is>
      </c>
      <c r="C187" s="47" t="inlineStr">
        <is>
          <t>Sinh-Hoá</t>
        </is>
      </c>
      <c r="D187" s="47" t="inlineStr">
        <is>
          <t>HĐK</t>
        </is>
      </c>
      <c r="E187" s="47" t="inlineStr"/>
      <c r="F187" s="48" t="inlineStr">
        <is>
          <t>Khoa học tự nhiên (Hóa học)</t>
        </is>
      </c>
      <c r="G187" s="47" t="inlineStr">
        <is>
          <t>6A7</t>
        </is>
      </c>
      <c r="H187" s="47" t="inlineStr">
        <is>
          <t>6</t>
        </is>
      </c>
      <c r="I187" s="49" t="n">
        <v>1</v>
      </c>
      <c r="J187" s="48" t="inlineStr"/>
    </row>
    <row r="188">
      <c r="A188" s="50" t="n">
        <v>23</v>
      </c>
      <c r="B188" s="51" t="inlineStr">
        <is>
          <t>Trần Thị Liễu</t>
        </is>
      </c>
      <c r="C188" s="50" t="inlineStr">
        <is>
          <t>Sinh-Hoá</t>
        </is>
      </c>
      <c r="D188" s="50" t="inlineStr">
        <is>
          <t>HĐK</t>
        </is>
      </c>
      <c r="E188" s="50" t="inlineStr"/>
      <c r="F188" s="51" t="inlineStr">
        <is>
          <t>Khoa học tự nhiên (Hóa học)</t>
        </is>
      </c>
      <c r="G188" s="50" t="inlineStr">
        <is>
          <t>6A8</t>
        </is>
      </c>
      <c r="H188" s="50" t="inlineStr">
        <is>
          <t>6</t>
        </is>
      </c>
      <c r="I188" s="52" t="n">
        <v>1</v>
      </c>
      <c r="J188" s="51" t="inlineStr"/>
    </row>
    <row r="189">
      <c r="A189" s="47" t="n">
        <v>23</v>
      </c>
      <c r="B189" s="48" t="inlineStr">
        <is>
          <t>Trần Thị Liễu</t>
        </is>
      </c>
      <c r="C189" s="47" t="inlineStr">
        <is>
          <t>Sinh-Hoá</t>
        </is>
      </c>
      <c r="D189" s="47" t="inlineStr">
        <is>
          <t>HĐK</t>
        </is>
      </c>
      <c r="E189" s="47" t="inlineStr"/>
      <c r="F189" s="48" t="inlineStr">
        <is>
          <t>Khoa học tự nhiên (Hóa học)</t>
        </is>
      </c>
      <c r="G189" s="47" t="inlineStr">
        <is>
          <t>6A9</t>
        </is>
      </c>
      <c r="H189" s="47" t="inlineStr">
        <is>
          <t>6</t>
        </is>
      </c>
      <c r="I189" s="49" t="n">
        <v>1</v>
      </c>
      <c r="J189" s="48" t="inlineStr"/>
    </row>
    <row r="190">
      <c r="A190" s="50" t="n">
        <v>23</v>
      </c>
      <c r="B190" s="51" t="inlineStr">
        <is>
          <t>Trần Thị Liễu</t>
        </is>
      </c>
      <c r="C190" s="50" t="inlineStr">
        <is>
          <t>Sinh-Hoá</t>
        </is>
      </c>
      <c r="D190" s="50" t="inlineStr">
        <is>
          <t>HĐK</t>
        </is>
      </c>
      <c r="E190" s="50" t="inlineStr"/>
      <c r="F190" s="51" t="inlineStr">
        <is>
          <t>Khoa học tự nhiên (Hóa học)</t>
        </is>
      </c>
      <c r="G190" s="50" t="inlineStr">
        <is>
          <t>6A10</t>
        </is>
      </c>
      <c r="H190" s="50" t="inlineStr">
        <is>
          <t>6</t>
        </is>
      </c>
      <c r="I190" s="52" t="n">
        <v>1</v>
      </c>
      <c r="J190" s="51" t="inlineStr"/>
    </row>
    <row r="191">
      <c r="A191" s="47" t="n">
        <v>23</v>
      </c>
      <c r="B191" s="48" t="inlineStr">
        <is>
          <t>Trần Thị Liễu</t>
        </is>
      </c>
      <c r="C191" s="47" t="inlineStr">
        <is>
          <t>Sinh-Hoá</t>
        </is>
      </c>
      <c r="D191" s="47" t="inlineStr">
        <is>
          <t>HĐK</t>
        </is>
      </c>
      <c r="E191" s="47" t="inlineStr"/>
      <c r="F191" s="48" t="inlineStr">
        <is>
          <t>Khoa học tự nhiên (Hóa học)</t>
        </is>
      </c>
      <c r="G191" s="47" t="inlineStr">
        <is>
          <t>6A11</t>
        </is>
      </c>
      <c r="H191" s="47" t="inlineStr">
        <is>
          <t>6</t>
        </is>
      </c>
      <c r="I191" s="49" t="n">
        <v>1</v>
      </c>
      <c r="J191" s="48" t="inlineStr"/>
    </row>
    <row r="192">
      <c r="A192" s="50" t="n">
        <v>24</v>
      </c>
      <c r="B192" s="51" t="inlineStr">
        <is>
          <t>Trần Thị Quỳnh Hằng</t>
        </is>
      </c>
      <c r="C192" s="50" t="inlineStr">
        <is>
          <t>Sinh</t>
        </is>
      </c>
      <c r="D192" s="50" t="inlineStr">
        <is>
          <t>HĐK</t>
        </is>
      </c>
      <c r="E192" s="50" t="inlineStr"/>
      <c r="F192" s="51" t="inlineStr">
        <is>
          <t>Khoa học tự nhiên (Sinh học)</t>
        </is>
      </c>
      <c r="G192" s="50" t="inlineStr">
        <is>
          <t>8A7</t>
        </is>
      </c>
      <c r="H192" s="50" t="inlineStr">
        <is>
          <t>8</t>
        </is>
      </c>
      <c r="I192" s="52" t="n">
        <v>2</v>
      </c>
      <c r="J192" s="51" t="inlineStr"/>
    </row>
    <row r="193">
      <c r="A193" s="47" t="n">
        <v>24</v>
      </c>
      <c r="B193" s="48" t="inlineStr">
        <is>
          <t>Trần Thị Quỳnh Hằng</t>
        </is>
      </c>
      <c r="C193" s="47" t="inlineStr">
        <is>
          <t>Sinh</t>
        </is>
      </c>
      <c r="D193" s="47" t="inlineStr">
        <is>
          <t>HĐK</t>
        </is>
      </c>
      <c r="E193" s="47" t="inlineStr"/>
      <c r="F193" s="48" t="inlineStr">
        <is>
          <t>Khoa học tự nhiên (Sinh học)</t>
        </is>
      </c>
      <c r="G193" s="47" t="inlineStr">
        <is>
          <t>8A8</t>
        </is>
      </c>
      <c r="H193" s="47" t="inlineStr">
        <is>
          <t>8</t>
        </is>
      </c>
      <c r="I193" s="49" t="n">
        <v>2</v>
      </c>
      <c r="J193" s="48" t="inlineStr"/>
    </row>
    <row r="194">
      <c r="A194" s="50" t="n">
        <v>24</v>
      </c>
      <c r="B194" s="51" t="inlineStr">
        <is>
          <t>Trần Thị Quỳnh Hằng</t>
        </is>
      </c>
      <c r="C194" s="50" t="inlineStr">
        <is>
          <t>Sinh</t>
        </is>
      </c>
      <c r="D194" s="50" t="inlineStr">
        <is>
          <t>HĐK</t>
        </is>
      </c>
      <c r="E194" s="50" t="inlineStr"/>
      <c r="F194" s="51" t="inlineStr">
        <is>
          <t>Khoa học tự nhiên (Sinh học)</t>
        </is>
      </c>
      <c r="G194" s="50" t="inlineStr">
        <is>
          <t>8A9</t>
        </is>
      </c>
      <c r="H194" s="50" t="inlineStr">
        <is>
          <t>8</t>
        </is>
      </c>
      <c r="I194" s="52" t="n">
        <v>2</v>
      </c>
      <c r="J194" s="51" t="inlineStr"/>
    </row>
    <row r="195">
      <c r="A195" s="47" t="n">
        <v>24</v>
      </c>
      <c r="B195" s="48" t="inlineStr">
        <is>
          <t>Trần Thị Quỳnh Hằng</t>
        </is>
      </c>
      <c r="C195" s="47" t="inlineStr">
        <is>
          <t>Sinh</t>
        </is>
      </c>
      <c r="D195" s="47" t="inlineStr">
        <is>
          <t>HĐK</t>
        </is>
      </c>
      <c r="E195" s="47" t="inlineStr"/>
      <c r="F195" s="48" t="inlineStr">
        <is>
          <t>Khoa học tự nhiên (Sinh học)</t>
        </is>
      </c>
      <c r="G195" s="47" t="inlineStr">
        <is>
          <t>8A11</t>
        </is>
      </c>
      <c r="H195" s="47" t="inlineStr">
        <is>
          <t>8</t>
        </is>
      </c>
      <c r="I195" s="49" t="n">
        <v>2</v>
      </c>
      <c r="J195" s="48" t="inlineStr"/>
    </row>
    <row r="196">
      <c r="A196" s="50" t="n">
        <v>25</v>
      </c>
      <c r="B196" s="51" t="inlineStr">
        <is>
          <t>Nguyễn Ánh Hồng</t>
        </is>
      </c>
      <c r="C196" s="50" t="inlineStr">
        <is>
          <t>Sinh</t>
        </is>
      </c>
      <c r="D196" s="50" t="inlineStr">
        <is>
          <t>HĐK</t>
        </is>
      </c>
      <c r="E196" s="50" t="inlineStr"/>
      <c r="F196" s="51" t="inlineStr">
        <is>
          <t>Khoa học tự nhiên (Sinh học)</t>
        </is>
      </c>
      <c r="G196" s="50" t="inlineStr">
        <is>
          <t>7A8</t>
        </is>
      </c>
      <c r="H196" s="50" t="inlineStr">
        <is>
          <t>7</t>
        </is>
      </c>
      <c r="I196" s="52" t="n">
        <v>2</v>
      </c>
      <c r="J196" s="51" t="inlineStr"/>
    </row>
    <row r="197">
      <c r="A197" s="47" t="n">
        <v>25</v>
      </c>
      <c r="B197" s="48" t="inlineStr">
        <is>
          <t>Nguyễn Ánh Hồng</t>
        </is>
      </c>
      <c r="C197" s="47" t="inlineStr">
        <is>
          <t>Sinh</t>
        </is>
      </c>
      <c r="D197" s="47" t="inlineStr">
        <is>
          <t>HĐK</t>
        </is>
      </c>
      <c r="E197" s="47" t="inlineStr"/>
      <c r="F197" s="48" t="inlineStr">
        <is>
          <t>Khoa học tự nhiên (Sinh học)</t>
        </is>
      </c>
      <c r="G197" s="47" t="inlineStr">
        <is>
          <t>7A9</t>
        </is>
      </c>
      <c r="H197" s="47" t="inlineStr">
        <is>
          <t>7</t>
        </is>
      </c>
      <c r="I197" s="49" t="n">
        <v>2</v>
      </c>
      <c r="J197" s="48" t="inlineStr"/>
    </row>
    <row r="198">
      <c r="A198" s="50" t="n">
        <v>25</v>
      </c>
      <c r="B198" s="51" t="inlineStr">
        <is>
          <t>Nguyễn Ánh Hồng</t>
        </is>
      </c>
      <c r="C198" s="50" t="inlineStr">
        <is>
          <t>Sinh</t>
        </is>
      </c>
      <c r="D198" s="50" t="inlineStr">
        <is>
          <t>HĐK</t>
        </is>
      </c>
      <c r="E198" s="50" t="inlineStr"/>
      <c r="F198" s="51" t="inlineStr">
        <is>
          <t>Khoa học tự nhiên (Sinh học)</t>
        </is>
      </c>
      <c r="G198" s="50" t="inlineStr">
        <is>
          <t>7A10</t>
        </is>
      </c>
      <c r="H198" s="50" t="inlineStr">
        <is>
          <t>7</t>
        </is>
      </c>
      <c r="I198" s="52" t="n">
        <v>2</v>
      </c>
      <c r="J198" s="51" t="inlineStr"/>
    </row>
    <row r="199">
      <c r="A199" s="47" t="n">
        <v>25</v>
      </c>
      <c r="B199" s="48" t="inlineStr">
        <is>
          <t>Nguyễn Ánh Hồng</t>
        </is>
      </c>
      <c r="C199" s="47" t="inlineStr">
        <is>
          <t>Sinh</t>
        </is>
      </c>
      <c r="D199" s="47" t="inlineStr">
        <is>
          <t>HĐK</t>
        </is>
      </c>
      <c r="E199" s="47" t="inlineStr"/>
      <c r="F199" s="48" t="inlineStr">
        <is>
          <t>Khoa học tự nhiên (Sinh học)</t>
        </is>
      </c>
      <c r="G199" s="47" t="inlineStr">
        <is>
          <t>7A11</t>
        </is>
      </c>
      <c r="H199" s="47" t="inlineStr">
        <is>
          <t>7</t>
        </is>
      </c>
      <c r="I199" s="49" t="n">
        <v>2</v>
      </c>
      <c r="J199" s="48" t="inlineStr"/>
    </row>
    <row r="200">
      <c r="A200" s="50" t="n">
        <v>26</v>
      </c>
      <c r="B200" s="51" t="inlineStr">
        <is>
          <t>Vũ Thị Bích Hằng</t>
        </is>
      </c>
      <c r="C200" s="50" t="inlineStr">
        <is>
          <t>Sinh(Hoá-Địa)</t>
        </is>
      </c>
      <c r="D200" s="50" t="inlineStr"/>
      <c r="E200" s="50" t="inlineStr"/>
      <c r="F200" s="51" t="inlineStr">
        <is>
          <t>Lịch sử và Địa Lý (Địa lý)</t>
        </is>
      </c>
      <c r="G200" s="50" t="inlineStr">
        <is>
          <t>6A7</t>
        </is>
      </c>
      <c r="H200" s="50" t="inlineStr">
        <is>
          <t>6</t>
        </is>
      </c>
      <c r="I200" s="52" t="n">
        <v>2</v>
      </c>
      <c r="J200" s="51" t="inlineStr"/>
    </row>
    <row r="201">
      <c r="A201" s="47" t="n">
        <v>26</v>
      </c>
      <c r="B201" s="48" t="inlineStr">
        <is>
          <t>Vũ Thị Bích Hằng</t>
        </is>
      </c>
      <c r="C201" s="47" t="inlineStr">
        <is>
          <t>Sinh(Hoá-Địa)</t>
        </is>
      </c>
      <c r="D201" s="47" t="inlineStr"/>
      <c r="E201" s="47" t="inlineStr"/>
      <c r="F201" s="48" t="inlineStr">
        <is>
          <t>Lịch sử và Địa Lý (Địa lý)</t>
        </is>
      </c>
      <c r="G201" s="47" t="inlineStr">
        <is>
          <t>6A8</t>
        </is>
      </c>
      <c r="H201" s="47" t="inlineStr">
        <is>
          <t>6</t>
        </is>
      </c>
      <c r="I201" s="49" t="n">
        <v>2</v>
      </c>
      <c r="J201" s="48" t="inlineStr"/>
    </row>
    <row r="202">
      <c r="A202" s="50" t="n">
        <v>26</v>
      </c>
      <c r="B202" s="51" t="inlineStr">
        <is>
          <t>Vũ Thị Bích Hằng</t>
        </is>
      </c>
      <c r="C202" s="50" t="inlineStr">
        <is>
          <t>Sinh(Hoá-Địa)</t>
        </is>
      </c>
      <c r="D202" s="50" t="inlineStr"/>
      <c r="E202" s="50" t="inlineStr"/>
      <c r="F202" s="51" t="inlineStr">
        <is>
          <t>Lịch sử và Địa Lý (Địa lý)</t>
        </is>
      </c>
      <c r="G202" s="50" t="inlineStr">
        <is>
          <t>6A9</t>
        </is>
      </c>
      <c r="H202" s="50" t="inlineStr">
        <is>
          <t>6</t>
        </is>
      </c>
      <c r="I202" s="52" t="n">
        <v>2</v>
      </c>
      <c r="J202" s="51" t="inlineStr"/>
    </row>
    <row r="203">
      <c r="A203" s="47" t="n">
        <v>26</v>
      </c>
      <c r="B203" s="48" t="inlineStr">
        <is>
          <t>Vũ Thị Bích Hằng</t>
        </is>
      </c>
      <c r="C203" s="47" t="inlineStr">
        <is>
          <t>Sinh(Hoá-Địa)</t>
        </is>
      </c>
      <c r="D203" s="47" t="inlineStr"/>
      <c r="E203" s="47" t="inlineStr"/>
      <c r="F203" s="48" t="inlineStr">
        <is>
          <t>Lịch sử và Địa Lý (Địa lý)</t>
        </is>
      </c>
      <c r="G203" s="47" t="inlineStr">
        <is>
          <t>6A10</t>
        </is>
      </c>
      <c r="H203" s="47" t="inlineStr">
        <is>
          <t>6</t>
        </is>
      </c>
      <c r="I203" s="49" t="n">
        <v>2</v>
      </c>
      <c r="J203" s="48" t="inlineStr"/>
    </row>
    <row r="204">
      <c r="A204" s="50" t="n">
        <v>26</v>
      </c>
      <c r="B204" s="51" t="inlineStr">
        <is>
          <t>Vũ Thị Bích Hằng</t>
        </is>
      </c>
      <c r="C204" s="50" t="inlineStr">
        <is>
          <t>Sinh(Hoá-Địa)</t>
        </is>
      </c>
      <c r="D204" s="50" t="inlineStr"/>
      <c r="E204" s="50" t="inlineStr"/>
      <c r="F204" s="51" t="inlineStr">
        <is>
          <t>Lịch sử và Địa Lý (Địa lý)</t>
        </is>
      </c>
      <c r="G204" s="50" t="inlineStr">
        <is>
          <t>6A11</t>
        </is>
      </c>
      <c r="H204" s="50" t="inlineStr">
        <is>
          <t>6</t>
        </is>
      </c>
      <c r="I204" s="52" t="n">
        <v>2</v>
      </c>
      <c r="J204" s="51" t="inlineStr"/>
    </row>
    <row r="205">
      <c r="A205" s="47" t="n">
        <v>26</v>
      </c>
      <c r="B205" s="48" t="inlineStr">
        <is>
          <t>Vũ Thị Bích Hằng</t>
        </is>
      </c>
      <c r="C205" s="47" t="inlineStr">
        <is>
          <t>Sinh(Hoá-Địa)</t>
        </is>
      </c>
      <c r="D205" s="47" t="inlineStr"/>
      <c r="E205" s="47" t="inlineStr"/>
      <c r="F205" s="48" t="inlineStr">
        <is>
          <t>Lịch sử và Địa Lý (Địa lý)</t>
        </is>
      </c>
      <c r="G205" s="47" t="inlineStr">
        <is>
          <t>7A7</t>
        </is>
      </c>
      <c r="H205" s="47" t="inlineStr">
        <is>
          <t>7</t>
        </is>
      </c>
      <c r="I205" s="49" t="n">
        <v>1</v>
      </c>
      <c r="J205" s="48" t="inlineStr"/>
    </row>
    <row r="206">
      <c r="A206" s="50" t="n">
        <v>26</v>
      </c>
      <c r="B206" s="51" t="inlineStr">
        <is>
          <t>Vũ Thị Bích Hằng</t>
        </is>
      </c>
      <c r="C206" s="50" t="inlineStr">
        <is>
          <t>Sinh(Hoá-Địa)</t>
        </is>
      </c>
      <c r="D206" s="50" t="inlineStr"/>
      <c r="E206" s="50" t="inlineStr"/>
      <c r="F206" s="51" t="inlineStr">
        <is>
          <t>Lịch sử và Địa Lý (Địa lý)</t>
        </is>
      </c>
      <c r="G206" s="50" t="inlineStr">
        <is>
          <t>7A8</t>
        </is>
      </c>
      <c r="H206" s="50" t="inlineStr">
        <is>
          <t>7</t>
        </is>
      </c>
      <c r="I206" s="52" t="n">
        <v>1</v>
      </c>
      <c r="J206" s="51" t="inlineStr"/>
    </row>
    <row r="207">
      <c r="A207" s="47" t="n">
        <v>26</v>
      </c>
      <c r="B207" s="48" t="inlineStr">
        <is>
          <t>Vũ Thị Bích Hằng</t>
        </is>
      </c>
      <c r="C207" s="47" t="inlineStr">
        <is>
          <t>Sinh(Hoá-Địa)</t>
        </is>
      </c>
      <c r="D207" s="47" t="inlineStr"/>
      <c r="E207" s="47" t="inlineStr"/>
      <c r="F207" s="48" t="inlineStr">
        <is>
          <t>Lịch sử và Địa Lý (Địa lý)</t>
        </is>
      </c>
      <c r="G207" s="47" t="inlineStr">
        <is>
          <t>7A9</t>
        </is>
      </c>
      <c r="H207" s="47" t="inlineStr">
        <is>
          <t>7</t>
        </is>
      </c>
      <c r="I207" s="49" t="n">
        <v>1</v>
      </c>
      <c r="J207" s="48" t="inlineStr"/>
    </row>
    <row r="208">
      <c r="A208" s="50" t="n">
        <v>26</v>
      </c>
      <c r="B208" s="51" t="inlineStr">
        <is>
          <t>Vũ Thị Bích Hằng</t>
        </is>
      </c>
      <c r="C208" s="50" t="inlineStr">
        <is>
          <t>Sinh(Hoá-Địa)</t>
        </is>
      </c>
      <c r="D208" s="50" t="inlineStr"/>
      <c r="E208" s="50" t="inlineStr"/>
      <c r="F208" s="51" t="inlineStr">
        <is>
          <t>Lịch sử và Địa Lý (Địa lý)</t>
        </is>
      </c>
      <c r="G208" s="50" t="inlineStr">
        <is>
          <t>7A10</t>
        </is>
      </c>
      <c r="H208" s="50" t="inlineStr">
        <is>
          <t>7</t>
        </is>
      </c>
      <c r="I208" s="52" t="n">
        <v>1</v>
      </c>
      <c r="J208" s="51" t="inlineStr"/>
    </row>
    <row r="209">
      <c r="A209" s="47" t="n">
        <v>26</v>
      </c>
      <c r="B209" s="48" t="inlineStr">
        <is>
          <t>Vũ Thị Bích Hằng</t>
        </is>
      </c>
      <c r="C209" s="47" t="inlineStr">
        <is>
          <t>Sinh(Hoá-Địa)</t>
        </is>
      </c>
      <c r="D209" s="47" t="inlineStr"/>
      <c r="E209" s="47" t="inlineStr"/>
      <c r="F209" s="48" t="inlineStr">
        <is>
          <t>Lịch sử và Địa Lý (Địa lý)</t>
        </is>
      </c>
      <c r="G209" s="47" t="inlineStr">
        <is>
          <t>7A11</t>
        </is>
      </c>
      <c r="H209" s="47" t="inlineStr">
        <is>
          <t>7</t>
        </is>
      </c>
      <c r="I209" s="49" t="n">
        <v>1</v>
      </c>
      <c r="J209" s="48" t="inlineStr"/>
    </row>
    <row r="210">
      <c r="A210" s="50" t="n">
        <v>26</v>
      </c>
      <c r="B210" s="51" t="inlineStr">
        <is>
          <t>Vũ Thị Bích Hằng</t>
        </is>
      </c>
      <c r="C210" s="50" t="inlineStr">
        <is>
          <t>Sinh(Hoá-Địa)</t>
        </is>
      </c>
      <c r="D210" s="50" t="inlineStr"/>
      <c r="E210" s="50" t="inlineStr"/>
      <c r="F210" s="51" t="inlineStr">
        <is>
          <t>Công nghệ</t>
        </is>
      </c>
      <c r="G210" s="50" t="inlineStr">
        <is>
          <t>6A7</t>
        </is>
      </c>
      <c r="H210" s="50" t="inlineStr">
        <is>
          <t>6</t>
        </is>
      </c>
      <c r="I210" s="52" t="n">
        <v>1</v>
      </c>
      <c r="J210" s="51" t="inlineStr"/>
    </row>
    <row r="211">
      <c r="A211" s="47" t="n">
        <v>26</v>
      </c>
      <c r="B211" s="48" t="inlineStr">
        <is>
          <t>Vũ Thị Bích Hằng</t>
        </is>
      </c>
      <c r="C211" s="47" t="inlineStr">
        <is>
          <t>Sinh(Hoá-Địa)</t>
        </is>
      </c>
      <c r="D211" s="47" t="inlineStr"/>
      <c r="E211" s="47" t="inlineStr"/>
      <c r="F211" s="48" t="inlineStr">
        <is>
          <t>Công nghệ</t>
        </is>
      </c>
      <c r="G211" s="47" t="inlineStr">
        <is>
          <t>6A8</t>
        </is>
      </c>
      <c r="H211" s="47" t="inlineStr">
        <is>
          <t>6</t>
        </is>
      </c>
      <c r="I211" s="49" t="n">
        <v>1</v>
      </c>
      <c r="J211" s="48" t="inlineStr"/>
    </row>
    <row r="212">
      <c r="A212" s="50" t="n">
        <v>26</v>
      </c>
      <c r="B212" s="51" t="inlineStr">
        <is>
          <t>Vũ Thị Bích Hằng</t>
        </is>
      </c>
      <c r="C212" s="50" t="inlineStr">
        <is>
          <t>Sinh(Hoá-Địa)</t>
        </is>
      </c>
      <c r="D212" s="50" t="inlineStr"/>
      <c r="E212" s="50" t="inlineStr"/>
      <c r="F212" s="51" t="inlineStr">
        <is>
          <t>Công nghệ</t>
        </is>
      </c>
      <c r="G212" s="50" t="inlineStr">
        <is>
          <t>6A9</t>
        </is>
      </c>
      <c r="H212" s="50" t="inlineStr">
        <is>
          <t>6</t>
        </is>
      </c>
      <c r="I212" s="52" t="n">
        <v>1</v>
      </c>
      <c r="J212" s="51" t="inlineStr"/>
    </row>
    <row r="213">
      <c r="A213" s="47" t="n">
        <v>26</v>
      </c>
      <c r="B213" s="48" t="inlineStr">
        <is>
          <t>Vũ Thị Bích Hằng</t>
        </is>
      </c>
      <c r="C213" s="47" t="inlineStr">
        <is>
          <t>Sinh(Hoá-Địa)</t>
        </is>
      </c>
      <c r="D213" s="47" t="inlineStr"/>
      <c r="E213" s="47" t="inlineStr"/>
      <c r="F213" s="48" t="inlineStr">
        <is>
          <t>Công nghệ</t>
        </is>
      </c>
      <c r="G213" s="47" t="inlineStr">
        <is>
          <t>6A10</t>
        </is>
      </c>
      <c r="H213" s="47" t="inlineStr">
        <is>
          <t>6</t>
        </is>
      </c>
      <c r="I213" s="49" t="n">
        <v>1</v>
      </c>
      <c r="J213" s="48" t="inlineStr"/>
    </row>
    <row r="214">
      <c r="A214" s="50" t="n">
        <v>27</v>
      </c>
      <c r="B214" s="51" t="inlineStr">
        <is>
          <t>Chu Diệu Linh</t>
        </is>
      </c>
      <c r="C214" s="50" t="inlineStr">
        <is>
          <t>Địa</t>
        </is>
      </c>
      <c r="D214" s="50" t="inlineStr">
        <is>
          <t>GVCN</t>
        </is>
      </c>
      <c r="E214" s="50" t="inlineStr">
        <is>
          <t>9A11</t>
        </is>
      </c>
      <c r="F214" s="51" t="inlineStr">
        <is>
          <t>Lịch sử và Địa Lý (Địa lý)</t>
        </is>
      </c>
      <c r="G214" s="50" t="inlineStr">
        <is>
          <t>9A8</t>
        </is>
      </c>
      <c r="H214" s="50" t="inlineStr">
        <is>
          <t>9</t>
        </is>
      </c>
      <c r="I214" s="52" t="n">
        <v>1</v>
      </c>
      <c r="J214" s="51" t="inlineStr"/>
    </row>
    <row r="215">
      <c r="A215" s="47" t="n">
        <v>27</v>
      </c>
      <c r="B215" s="48" t="inlineStr">
        <is>
          <t>Chu Diệu Linh</t>
        </is>
      </c>
      <c r="C215" s="47" t="inlineStr">
        <is>
          <t>Địa</t>
        </is>
      </c>
      <c r="D215" s="47" t="inlineStr">
        <is>
          <t>GVCN</t>
        </is>
      </c>
      <c r="E215" s="47" t="inlineStr">
        <is>
          <t>9A11</t>
        </is>
      </c>
      <c r="F215" s="48" t="inlineStr">
        <is>
          <t>Lịch sử và Địa Lý (Địa lý)</t>
        </is>
      </c>
      <c r="G215" s="47" t="inlineStr">
        <is>
          <t>9A9</t>
        </is>
      </c>
      <c r="H215" s="47" t="inlineStr">
        <is>
          <t>9</t>
        </is>
      </c>
      <c r="I215" s="49" t="n">
        <v>1</v>
      </c>
      <c r="J215" s="48" t="inlineStr"/>
    </row>
    <row r="216">
      <c r="A216" s="50" t="n">
        <v>27</v>
      </c>
      <c r="B216" s="51" t="inlineStr">
        <is>
          <t>Chu Diệu Linh</t>
        </is>
      </c>
      <c r="C216" s="50" t="inlineStr">
        <is>
          <t>Địa</t>
        </is>
      </c>
      <c r="D216" s="50" t="inlineStr">
        <is>
          <t>GVCN</t>
        </is>
      </c>
      <c r="E216" s="50" t="inlineStr">
        <is>
          <t>9A11</t>
        </is>
      </c>
      <c r="F216" s="51" t="inlineStr">
        <is>
          <t>Lịch sử và Địa Lý (Địa lý)</t>
        </is>
      </c>
      <c r="G216" s="50" t="inlineStr">
        <is>
          <t>9A10</t>
        </is>
      </c>
      <c r="H216" s="50" t="inlineStr">
        <is>
          <t>9</t>
        </is>
      </c>
      <c r="I216" s="52" t="n">
        <v>1</v>
      </c>
      <c r="J216" s="51" t="inlineStr"/>
    </row>
    <row r="217">
      <c r="A217" s="47" t="n">
        <v>27</v>
      </c>
      <c r="B217" s="48" t="inlineStr">
        <is>
          <t>Chu Diệu Linh</t>
        </is>
      </c>
      <c r="C217" s="47" t="inlineStr">
        <is>
          <t>Địa</t>
        </is>
      </c>
      <c r="D217" s="47" t="inlineStr">
        <is>
          <t>GVCN</t>
        </is>
      </c>
      <c r="E217" s="47" t="inlineStr">
        <is>
          <t>9A11</t>
        </is>
      </c>
      <c r="F217" s="48" t="inlineStr">
        <is>
          <t>Lịch sử và Địa Lý (Địa lý)</t>
        </is>
      </c>
      <c r="G217" s="47" t="inlineStr">
        <is>
          <t>9A11</t>
        </is>
      </c>
      <c r="H217" s="47" t="inlineStr">
        <is>
          <t>9</t>
        </is>
      </c>
      <c r="I217" s="49" t="n">
        <v>1</v>
      </c>
      <c r="J217" s="48" t="inlineStr"/>
    </row>
    <row r="218">
      <c r="A218" s="50" t="n">
        <v>27</v>
      </c>
      <c r="B218" s="51" t="inlineStr">
        <is>
          <t>Chu Diệu Linh</t>
        </is>
      </c>
      <c r="C218" s="50" t="inlineStr">
        <is>
          <t>Địa</t>
        </is>
      </c>
      <c r="D218" s="50" t="inlineStr">
        <is>
          <t>GVCN</t>
        </is>
      </c>
      <c r="E218" s="50" t="inlineStr">
        <is>
          <t>9A11</t>
        </is>
      </c>
      <c r="F218" s="51" t="inlineStr">
        <is>
          <t>Lịch sử và Địa Lý (Địa lý)</t>
        </is>
      </c>
      <c r="G218" s="50" t="inlineStr">
        <is>
          <t>9A12</t>
        </is>
      </c>
      <c r="H218" s="50" t="inlineStr">
        <is>
          <t>9</t>
        </is>
      </c>
      <c r="I218" s="52" t="n">
        <v>1</v>
      </c>
      <c r="J218" s="51" t="inlineStr"/>
    </row>
    <row r="219">
      <c r="A219" s="47" t="n">
        <v>27</v>
      </c>
      <c r="B219" s="48" t="inlineStr">
        <is>
          <t>Chu Diệu Linh</t>
        </is>
      </c>
      <c r="C219" s="47" t="inlineStr">
        <is>
          <t>Địa</t>
        </is>
      </c>
      <c r="D219" s="47" t="inlineStr">
        <is>
          <t>GVCN</t>
        </is>
      </c>
      <c r="E219" s="47" t="inlineStr">
        <is>
          <t>9A11</t>
        </is>
      </c>
      <c r="F219" s="48" t="inlineStr">
        <is>
          <t>Lịch sử và Địa Lý (Địa lý)</t>
        </is>
      </c>
      <c r="G219" s="47" t="inlineStr">
        <is>
          <t>8A7</t>
        </is>
      </c>
      <c r="H219" s="47" t="inlineStr">
        <is>
          <t>8</t>
        </is>
      </c>
      <c r="I219" s="49" t="n">
        <v>2</v>
      </c>
      <c r="J219" s="48" t="inlineStr"/>
    </row>
    <row r="220">
      <c r="A220" s="50" t="n">
        <v>27</v>
      </c>
      <c r="B220" s="51" t="inlineStr">
        <is>
          <t>Chu Diệu Linh</t>
        </is>
      </c>
      <c r="C220" s="50" t="inlineStr">
        <is>
          <t>Địa</t>
        </is>
      </c>
      <c r="D220" s="50" t="inlineStr">
        <is>
          <t>GVCN</t>
        </is>
      </c>
      <c r="E220" s="50" t="inlineStr">
        <is>
          <t>9A11</t>
        </is>
      </c>
      <c r="F220" s="51" t="inlineStr">
        <is>
          <t>Lịch sử và Địa Lý (Địa lý)</t>
        </is>
      </c>
      <c r="G220" s="50" t="inlineStr">
        <is>
          <t>8A8</t>
        </is>
      </c>
      <c r="H220" s="50" t="inlineStr">
        <is>
          <t>8</t>
        </is>
      </c>
      <c r="I220" s="52" t="n">
        <v>2</v>
      </c>
      <c r="J220" s="51" t="inlineStr"/>
    </row>
    <row r="221">
      <c r="A221" s="47" t="n">
        <v>27</v>
      </c>
      <c r="B221" s="48" t="inlineStr">
        <is>
          <t>Chu Diệu Linh</t>
        </is>
      </c>
      <c r="C221" s="47" t="inlineStr">
        <is>
          <t>Địa</t>
        </is>
      </c>
      <c r="D221" s="47" t="inlineStr">
        <is>
          <t>GVCN</t>
        </is>
      </c>
      <c r="E221" s="47" t="inlineStr">
        <is>
          <t>9A11</t>
        </is>
      </c>
      <c r="F221" s="48" t="inlineStr">
        <is>
          <t>Lịch sử và Địa Lý (Địa lý)</t>
        </is>
      </c>
      <c r="G221" s="47" t="inlineStr">
        <is>
          <t>8A9</t>
        </is>
      </c>
      <c r="H221" s="47" t="inlineStr">
        <is>
          <t>8</t>
        </is>
      </c>
      <c r="I221" s="49" t="n">
        <v>2</v>
      </c>
      <c r="J221" s="48" t="inlineStr"/>
    </row>
    <row r="222">
      <c r="A222" s="50" t="n">
        <v>27</v>
      </c>
      <c r="B222" s="51" t="inlineStr">
        <is>
          <t>Chu Diệu Linh</t>
        </is>
      </c>
      <c r="C222" s="50" t="inlineStr">
        <is>
          <t>Địa</t>
        </is>
      </c>
      <c r="D222" s="50" t="inlineStr">
        <is>
          <t>GVCN</t>
        </is>
      </c>
      <c r="E222" s="50" t="inlineStr">
        <is>
          <t>9A11</t>
        </is>
      </c>
      <c r="F222" s="51" t="inlineStr">
        <is>
          <t>Lịch sử và Địa Lý (Địa lý)</t>
        </is>
      </c>
      <c r="G222" s="50" t="inlineStr">
        <is>
          <t>8A10</t>
        </is>
      </c>
      <c r="H222" s="50" t="inlineStr">
        <is>
          <t>8</t>
        </is>
      </c>
      <c r="I222" s="52" t="n">
        <v>2</v>
      </c>
      <c r="J222" s="51" t="inlineStr"/>
    </row>
    <row r="223">
      <c r="A223" s="47" t="n">
        <v>27</v>
      </c>
      <c r="B223" s="48" t="inlineStr">
        <is>
          <t>Chu Diệu Linh</t>
        </is>
      </c>
      <c r="C223" s="47" t="inlineStr">
        <is>
          <t>Địa</t>
        </is>
      </c>
      <c r="D223" s="47" t="inlineStr">
        <is>
          <t>GVCN</t>
        </is>
      </c>
      <c r="E223" s="47" t="inlineStr">
        <is>
          <t>9A11</t>
        </is>
      </c>
      <c r="F223" s="48" t="inlineStr">
        <is>
          <t>Lịch sử và Địa Lý (Địa lý)</t>
        </is>
      </c>
      <c r="G223" s="47" t="inlineStr">
        <is>
          <t>8A11</t>
        </is>
      </c>
      <c r="H223" s="47" t="inlineStr">
        <is>
          <t>8</t>
        </is>
      </c>
      <c r="I223" s="49" t="n">
        <v>2</v>
      </c>
      <c r="J223" s="48" t="inlineStr"/>
    </row>
    <row r="224">
      <c r="A224" s="50" t="n">
        <v>28</v>
      </c>
      <c r="B224" s="51" t="inlineStr">
        <is>
          <t>Trương Thị Thu Hương</t>
        </is>
      </c>
      <c r="C224" s="50" t="inlineStr">
        <is>
          <t>Lí-CN</t>
        </is>
      </c>
      <c r="D224" s="50" t="inlineStr">
        <is>
          <t>GVCN</t>
        </is>
      </c>
      <c r="E224" s="50" t="inlineStr">
        <is>
          <t>7A11</t>
        </is>
      </c>
      <c r="F224" s="51" t="inlineStr">
        <is>
          <t>Khoa học tự nhiên (Vật lý)</t>
        </is>
      </c>
      <c r="G224" s="50" t="inlineStr">
        <is>
          <t>9A8</t>
        </is>
      </c>
      <c r="H224" s="50" t="inlineStr">
        <is>
          <t>9</t>
        </is>
      </c>
      <c r="I224" s="52" t="n">
        <v>2</v>
      </c>
      <c r="J224" s="51" t="inlineStr"/>
    </row>
    <row r="225">
      <c r="A225" s="47" t="n">
        <v>28</v>
      </c>
      <c r="B225" s="48" t="inlineStr">
        <is>
          <t>Trương Thị Thu Hương</t>
        </is>
      </c>
      <c r="C225" s="47" t="inlineStr">
        <is>
          <t>Lí-CN</t>
        </is>
      </c>
      <c r="D225" s="47" t="inlineStr">
        <is>
          <t>GVCN</t>
        </is>
      </c>
      <c r="E225" s="47" t="inlineStr">
        <is>
          <t>7A11</t>
        </is>
      </c>
      <c r="F225" s="48" t="inlineStr">
        <is>
          <t>Khoa học tự nhiên (Vật lý)</t>
        </is>
      </c>
      <c r="G225" s="47" t="inlineStr">
        <is>
          <t>9A9</t>
        </is>
      </c>
      <c r="H225" s="47" t="inlineStr">
        <is>
          <t>9</t>
        </is>
      </c>
      <c r="I225" s="49" t="n">
        <v>2</v>
      </c>
      <c r="J225" s="48" t="inlineStr"/>
    </row>
    <row r="226">
      <c r="A226" s="50" t="n">
        <v>28</v>
      </c>
      <c r="B226" s="51" t="inlineStr">
        <is>
          <t>Trương Thị Thu Hương</t>
        </is>
      </c>
      <c r="C226" s="50" t="inlineStr">
        <is>
          <t>Lí-CN</t>
        </is>
      </c>
      <c r="D226" s="50" t="inlineStr">
        <is>
          <t>GVCN</t>
        </is>
      </c>
      <c r="E226" s="50" t="inlineStr">
        <is>
          <t>7A11</t>
        </is>
      </c>
      <c r="F226" s="51" t="inlineStr">
        <is>
          <t>Khoa học tự nhiên (Vật lý)</t>
        </is>
      </c>
      <c r="G226" s="50" t="inlineStr">
        <is>
          <t>9A10</t>
        </is>
      </c>
      <c r="H226" s="50" t="inlineStr">
        <is>
          <t>9</t>
        </is>
      </c>
      <c r="I226" s="52" t="n">
        <v>2</v>
      </c>
      <c r="J226" s="51" t="inlineStr"/>
    </row>
    <row r="227">
      <c r="A227" s="47" t="n">
        <v>28</v>
      </c>
      <c r="B227" s="48" t="inlineStr">
        <is>
          <t>Trương Thị Thu Hương</t>
        </is>
      </c>
      <c r="C227" s="47" t="inlineStr">
        <is>
          <t>Lí-CN</t>
        </is>
      </c>
      <c r="D227" s="47" t="inlineStr">
        <is>
          <t>GVCN</t>
        </is>
      </c>
      <c r="E227" s="47" t="inlineStr">
        <is>
          <t>7A11</t>
        </is>
      </c>
      <c r="F227" s="48" t="inlineStr">
        <is>
          <t>Khoa học tự nhiên (Vật lý)</t>
        </is>
      </c>
      <c r="G227" s="47" t="inlineStr">
        <is>
          <t>9A11</t>
        </is>
      </c>
      <c r="H227" s="47" t="inlineStr">
        <is>
          <t>9</t>
        </is>
      </c>
      <c r="I227" s="49" t="n">
        <v>2</v>
      </c>
      <c r="J227" s="48" t="inlineStr"/>
    </row>
    <row r="228">
      <c r="A228" s="50" t="n">
        <v>28</v>
      </c>
      <c r="B228" s="51" t="inlineStr">
        <is>
          <t>Trương Thị Thu Hương</t>
        </is>
      </c>
      <c r="C228" s="50" t="inlineStr">
        <is>
          <t>Lí-CN</t>
        </is>
      </c>
      <c r="D228" s="50" t="inlineStr">
        <is>
          <t>GVCN</t>
        </is>
      </c>
      <c r="E228" s="50" t="inlineStr">
        <is>
          <t>7A11</t>
        </is>
      </c>
      <c r="F228" s="51" t="inlineStr">
        <is>
          <t>Khoa học tự nhiên (Vật lý)</t>
        </is>
      </c>
      <c r="G228" s="50" t="inlineStr">
        <is>
          <t>9A12</t>
        </is>
      </c>
      <c r="H228" s="50" t="inlineStr">
        <is>
          <t>9</t>
        </is>
      </c>
      <c r="I228" s="52" t="n">
        <v>2</v>
      </c>
      <c r="J228" s="51" t="inlineStr"/>
    </row>
    <row r="229">
      <c r="A229" s="47" t="n">
        <v>28</v>
      </c>
      <c r="B229" s="48" t="inlineStr">
        <is>
          <t>Trương Thị Thu Hương</t>
        </is>
      </c>
      <c r="C229" s="47" t="inlineStr">
        <is>
          <t>Lí-CN</t>
        </is>
      </c>
      <c r="D229" s="47" t="inlineStr">
        <is>
          <t>GVCN</t>
        </is>
      </c>
      <c r="E229" s="47" t="inlineStr">
        <is>
          <t>7A11</t>
        </is>
      </c>
      <c r="F229" s="48" t="inlineStr">
        <is>
          <t>Khoa học tự nhiên (Vật lý)</t>
        </is>
      </c>
      <c r="G229" s="47" t="inlineStr">
        <is>
          <t>7A7</t>
        </is>
      </c>
      <c r="H229" s="47" t="inlineStr">
        <is>
          <t>7</t>
        </is>
      </c>
      <c r="I229" s="49" t="n">
        <v>1</v>
      </c>
      <c r="J229" s="48" t="inlineStr"/>
    </row>
    <row r="230">
      <c r="A230" s="50" t="n">
        <v>28</v>
      </c>
      <c r="B230" s="51" t="inlineStr">
        <is>
          <t>Trương Thị Thu Hương</t>
        </is>
      </c>
      <c r="C230" s="50" t="inlineStr">
        <is>
          <t>Lí-CN</t>
        </is>
      </c>
      <c r="D230" s="50" t="inlineStr">
        <is>
          <t>GVCN</t>
        </is>
      </c>
      <c r="E230" s="50" t="inlineStr">
        <is>
          <t>7A11</t>
        </is>
      </c>
      <c r="F230" s="51" t="inlineStr">
        <is>
          <t>Khoa học tự nhiên (Vật lý)</t>
        </is>
      </c>
      <c r="G230" s="50" t="inlineStr">
        <is>
          <t>7A8</t>
        </is>
      </c>
      <c r="H230" s="50" t="inlineStr">
        <is>
          <t>7</t>
        </is>
      </c>
      <c r="I230" s="52" t="n">
        <v>1</v>
      </c>
      <c r="J230" s="51" t="inlineStr"/>
    </row>
    <row r="231">
      <c r="A231" s="47" t="n">
        <v>28</v>
      </c>
      <c r="B231" s="48" t="inlineStr">
        <is>
          <t>Trương Thị Thu Hương</t>
        </is>
      </c>
      <c r="C231" s="47" t="inlineStr">
        <is>
          <t>Lí-CN</t>
        </is>
      </c>
      <c r="D231" s="47" t="inlineStr">
        <is>
          <t>GVCN</t>
        </is>
      </c>
      <c r="E231" s="47" t="inlineStr">
        <is>
          <t>7A11</t>
        </is>
      </c>
      <c r="F231" s="48" t="inlineStr">
        <is>
          <t>Khoa học tự nhiên (Vật lý)</t>
        </is>
      </c>
      <c r="G231" s="47" t="inlineStr">
        <is>
          <t>7A9</t>
        </is>
      </c>
      <c r="H231" s="47" t="inlineStr">
        <is>
          <t>7</t>
        </is>
      </c>
      <c r="I231" s="49" t="n">
        <v>1</v>
      </c>
      <c r="J231" s="48" t="inlineStr"/>
    </row>
    <row r="232">
      <c r="A232" s="50" t="n">
        <v>28</v>
      </c>
      <c r="B232" s="51" t="inlineStr">
        <is>
          <t>Trương Thị Thu Hương</t>
        </is>
      </c>
      <c r="C232" s="50" t="inlineStr">
        <is>
          <t>Lí-CN</t>
        </is>
      </c>
      <c r="D232" s="50" t="inlineStr">
        <is>
          <t>GVCN</t>
        </is>
      </c>
      <c r="E232" s="50" t="inlineStr">
        <is>
          <t>7A11</t>
        </is>
      </c>
      <c r="F232" s="51" t="inlineStr">
        <is>
          <t>Khoa học tự nhiên (Vật lý)</t>
        </is>
      </c>
      <c r="G232" s="50" t="inlineStr">
        <is>
          <t>7A10</t>
        </is>
      </c>
      <c r="H232" s="50" t="inlineStr">
        <is>
          <t>7</t>
        </is>
      </c>
      <c r="I232" s="52" t="n">
        <v>1</v>
      </c>
      <c r="J232" s="51" t="inlineStr"/>
    </row>
    <row r="233">
      <c r="A233" s="47" t="n">
        <v>28</v>
      </c>
      <c r="B233" s="48" t="inlineStr">
        <is>
          <t>Trương Thị Thu Hương</t>
        </is>
      </c>
      <c r="C233" s="47" t="inlineStr">
        <is>
          <t>Lí-CN</t>
        </is>
      </c>
      <c r="D233" s="47" t="inlineStr">
        <is>
          <t>GVCN</t>
        </is>
      </c>
      <c r="E233" s="47" t="inlineStr">
        <is>
          <t>7A11</t>
        </is>
      </c>
      <c r="F233" s="48" t="inlineStr">
        <is>
          <t>Khoa học tự nhiên (Vật lý)</t>
        </is>
      </c>
      <c r="G233" s="47" t="inlineStr">
        <is>
          <t>7A11</t>
        </is>
      </c>
      <c r="H233" s="47" t="inlineStr">
        <is>
          <t>7</t>
        </is>
      </c>
      <c r="I233" s="49" t="n">
        <v>1</v>
      </c>
      <c r="J233" s="48" t="inlineStr"/>
    </row>
    <row r="234">
      <c r="A234" s="50" t="n">
        <v>29</v>
      </c>
      <c r="B234" s="51" t="inlineStr">
        <is>
          <t>Đỗ Thị Thu Hiền</t>
        </is>
      </c>
      <c r="C234" s="50" t="inlineStr">
        <is>
          <t>Lí</t>
        </is>
      </c>
      <c r="D234" s="50" t="inlineStr"/>
      <c r="E234" s="50" t="inlineStr"/>
      <c r="F234" s="51" t="inlineStr">
        <is>
          <t>Khoa học tự nhiên (Vật lý)</t>
        </is>
      </c>
      <c r="G234" s="50" t="inlineStr">
        <is>
          <t>6A7</t>
        </is>
      </c>
      <c r="H234" s="50" t="inlineStr">
        <is>
          <t>6</t>
        </is>
      </c>
      <c r="I234" s="52" t="n">
        <v>2</v>
      </c>
      <c r="J234" s="51" t="inlineStr"/>
    </row>
    <row r="235">
      <c r="A235" s="47" t="n">
        <v>29</v>
      </c>
      <c r="B235" s="48" t="inlineStr">
        <is>
          <t>Đỗ Thị Thu Hiền</t>
        </is>
      </c>
      <c r="C235" s="47" t="inlineStr">
        <is>
          <t>Lí</t>
        </is>
      </c>
      <c r="D235" s="47" t="inlineStr"/>
      <c r="E235" s="47" t="inlineStr"/>
      <c r="F235" s="48" t="inlineStr">
        <is>
          <t>Khoa học tự nhiên (Vật lý)</t>
        </is>
      </c>
      <c r="G235" s="47" t="inlineStr">
        <is>
          <t>6A8</t>
        </is>
      </c>
      <c r="H235" s="47" t="inlineStr">
        <is>
          <t>6</t>
        </is>
      </c>
      <c r="I235" s="49" t="n">
        <v>2</v>
      </c>
      <c r="J235" s="48" t="inlineStr"/>
    </row>
    <row r="236">
      <c r="A236" s="50" t="n">
        <v>29</v>
      </c>
      <c r="B236" s="51" t="inlineStr">
        <is>
          <t>Đỗ Thị Thu Hiền</t>
        </is>
      </c>
      <c r="C236" s="50" t="inlineStr">
        <is>
          <t>Lí</t>
        </is>
      </c>
      <c r="D236" s="50" t="inlineStr"/>
      <c r="E236" s="50" t="inlineStr"/>
      <c r="F236" s="51" t="inlineStr">
        <is>
          <t>Khoa học tự nhiên (Vật lý)</t>
        </is>
      </c>
      <c r="G236" s="50" t="inlineStr">
        <is>
          <t>6A9</t>
        </is>
      </c>
      <c r="H236" s="50" t="inlineStr">
        <is>
          <t>6</t>
        </is>
      </c>
      <c r="I236" s="52" t="n">
        <v>2</v>
      </c>
      <c r="J236" s="51" t="inlineStr"/>
    </row>
    <row r="237">
      <c r="A237" s="47" t="n">
        <v>29</v>
      </c>
      <c r="B237" s="48" t="inlineStr">
        <is>
          <t>Đỗ Thị Thu Hiền</t>
        </is>
      </c>
      <c r="C237" s="47" t="inlineStr">
        <is>
          <t>Lí</t>
        </is>
      </c>
      <c r="D237" s="47" t="inlineStr"/>
      <c r="E237" s="47" t="inlineStr"/>
      <c r="F237" s="48" t="inlineStr">
        <is>
          <t>Khoa học tự nhiên (Vật lý)</t>
        </is>
      </c>
      <c r="G237" s="47" t="inlineStr">
        <is>
          <t>6A10</t>
        </is>
      </c>
      <c r="H237" s="47" t="inlineStr">
        <is>
          <t>6</t>
        </is>
      </c>
      <c r="I237" s="49" t="n">
        <v>2</v>
      </c>
      <c r="J237" s="48" t="inlineStr"/>
    </row>
    <row r="238">
      <c r="A238" s="50" t="n">
        <v>29</v>
      </c>
      <c r="B238" s="51" t="inlineStr">
        <is>
          <t>Đỗ Thị Thu Hiền</t>
        </is>
      </c>
      <c r="C238" s="50" t="inlineStr">
        <is>
          <t>Lí</t>
        </is>
      </c>
      <c r="D238" s="50" t="inlineStr"/>
      <c r="E238" s="50" t="inlineStr"/>
      <c r="F238" s="51" t="inlineStr">
        <is>
          <t>Khoa học tự nhiên (Vật lý)</t>
        </is>
      </c>
      <c r="G238" s="50" t="inlineStr">
        <is>
          <t>6A11</t>
        </is>
      </c>
      <c r="H238" s="50" t="inlineStr">
        <is>
          <t>6</t>
        </is>
      </c>
      <c r="I238" s="52" t="n">
        <v>2</v>
      </c>
      <c r="J238" s="51" t="inlineStr"/>
    </row>
    <row r="239">
      <c r="A239" s="47" t="n">
        <v>29</v>
      </c>
      <c r="B239" s="48" t="inlineStr">
        <is>
          <t>Đỗ Thị Thu Hiền</t>
        </is>
      </c>
      <c r="C239" s="47" t="inlineStr">
        <is>
          <t>Lí</t>
        </is>
      </c>
      <c r="D239" s="47" t="inlineStr"/>
      <c r="E239" s="47" t="inlineStr"/>
      <c r="F239" s="48" t="inlineStr">
        <is>
          <t>Khoa học tự nhiên (Vật lý)</t>
        </is>
      </c>
      <c r="G239" s="47" t="inlineStr">
        <is>
          <t>8A7</t>
        </is>
      </c>
      <c r="H239" s="47" t="inlineStr">
        <is>
          <t>8</t>
        </is>
      </c>
      <c r="I239" s="49" t="n">
        <v>1</v>
      </c>
      <c r="J239" s="48" t="inlineStr"/>
    </row>
    <row r="240">
      <c r="A240" s="50" t="n">
        <v>29</v>
      </c>
      <c r="B240" s="51" t="inlineStr">
        <is>
          <t>Đỗ Thị Thu Hiền</t>
        </is>
      </c>
      <c r="C240" s="50" t="inlineStr">
        <is>
          <t>Lí</t>
        </is>
      </c>
      <c r="D240" s="50" t="inlineStr"/>
      <c r="E240" s="50" t="inlineStr"/>
      <c r="F240" s="51" t="inlineStr">
        <is>
          <t>Khoa học tự nhiên (Vật lý)</t>
        </is>
      </c>
      <c r="G240" s="50" t="inlineStr">
        <is>
          <t>8A8</t>
        </is>
      </c>
      <c r="H240" s="50" t="inlineStr">
        <is>
          <t>8</t>
        </is>
      </c>
      <c r="I240" s="52" t="n">
        <v>1</v>
      </c>
      <c r="J240" s="51" t="inlineStr"/>
    </row>
    <row r="241">
      <c r="A241" s="47" t="n">
        <v>29</v>
      </c>
      <c r="B241" s="48" t="inlineStr">
        <is>
          <t>Đỗ Thị Thu Hiền</t>
        </is>
      </c>
      <c r="C241" s="47" t="inlineStr">
        <is>
          <t>Lí</t>
        </is>
      </c>
      <c r="D241" s="47" t="inlineStr"/>
      <c r="E241" s="47" t="inlineStr"/>
      <c r="F241" s="48" t="inlineStr">
        <is>
          <t>Khoa học tự nhiên (Vật lý)</t>
        </is>
      </c>
      <c r="G241" s="47" t="inlineStr">
        <is>
          <t>8A9</t>
        </is>
      </c>
      <c r="H241" s="47" t="inlineStr">
        <is>
          <t>8</t>
        </is>
      </c>
      <c r="I241" s="49" t="n">
        <v>1</v>
      </c>
      <c r="J241" s="48" t="inlineStr"/>
    </row>
    <row r="242">
      <c r="A242" s="50" t="n">
        <v>29</v>
      </c>
      <c r="B242" s="51" t="inlineStr">
        <is>
          <t>Đỗ Thị Thu Hiền</t>
        </is>
      </c>
      <c r="C242" s="50" t="inlineStr">
        <is>
          <t>Lí</t>
        </is>
      </c>
      <c r="D242" s="50" t="inlineStr"/>
      <c r="E242" s="50" t="inlineStr"/>
      <c r="F242" s="51" t="inlineStr">
        <is>
          <t>Khoa học tự nhiên (Vật lý)</t>
        </is>
      </c>
      <c r="G242" s="50" t="inlineStr">
        <is>
          <t>8A10</t>
        </is>
      </c>
      <c r="H242" s="50" t="inlineStr">
        <is>
          <t>8</t>
        </is>
      </c>
      <c r="I242" s="52" t="n">
        <v>1</v>
      </c>
      <c r="J242" s="51" t="inlineStr"/>
    </row>
    <row r="243">
      <c r="A243" s="47" t="n">
        <v>29</v>
      </c>
      <c r="B243" s="48" t="inlineStr">
        <is>
          <t>Đỗ Thị Thu Hiền</t>
        </is>
      </c>
      <c r="C243" s="47" t="inlineStr">
        <is>
          <t>Lí</t>
        </is>
      </c>
      <c r="D243" s="47" t="inlineStr"/>
      <c r="E243" s="47" t="inlineStr"/>
      <c r="F243" s="48" t="inlineStr">
        <is>
          <t>Khoa học tự nhiên (Vật lý)</t>
        </is>
      </c>
      <c r="G243" s="47" t="inlineStr">
        <is>
          <t>8A11</t>
        </is>
      </c>
      <c r="H243" s="47" t="inlineStr">
        <is>
          <t>8</t>
        </is>
      </c>
      <c r="I243" s="49" t="n">
        <v>1</v>
      </c>
      <c r="J243" s="48" t="inlineStr"/>
    </row>
    <row r="244">
      <c r="A244" s="50" t="n">
        <v>29</v>
      </c>
      <c r="B244" s="51" t="inlineStr">
        <is>
          <t>Đỗ Thị Thu Hiền</t>
        </is>
      </c>
      <c r="C244" s="50" t="inlineStr">
        <is>
          <t>Lí</t>
        </is>
      </c>
      <c r="D244" s="50" t="inlineStr"/>
      <c r="E244" s="50" t="inlineStr"/>
      <c r="F244" s="51" t="inlineStr">
        <is>
          <t>Hoạt động trải nghiệm, hướng nghiệp</t>
        </is>
      </c>
      <c r="G244" s="50" t="inlineStr">
        <is>
          <t>6A8</t>
        </is>
      </c>
      <c r="H244" s="50" t="inlineStr">
        <is>
          <t>6</t>
        </is>
      </c>
      <c r="I244" s="52" t="n">
        <v>3</v>
      </c>
      <c r="J244" s="51" t="inlineStr"/>
    </row>
    <row r="245">
      <c r="A245" s="47" t="n">
        <v>29</v>
      </c>
      <c r="B245" s="48" t="inlineStr">
        <is>
          <t>Đỗ Thị Thu Hiền</t>
        </is>
      </c>
      <c r="C245" s="47" t="inlineStr">
        <is>
          <t>Lí</t>
        </is>
      </c>
      <c r="D245" s="47" t="inlineStr"/>
      <c r="E245" s="47" t="inlineStr"/>
      <c r="F245" s="48" t="inlineStr">
        <is>
          <t>Hoạt động trải nghiệm, hướng nghiệp</t>
        </is>
      </c>
      <c r="G245" s="47" t="inlineStr">
        <is>
          <t>8A11</t>
        </is>
      </c>
      <c r="H245" s="47" t="inlineStr">
        <is>
          <t>8</t>
        </is>
      </c>
      <c r="I245" s="49" t="n">
        <v>1</v>
      </c>
      <c r="J245" s="48" t="inlineStr">
        <is>
          <t>Dạy chung 1 tiết HĐTN 8A11</t>
        </is>
      </c>
    </row>
    <row r="246">
      <c r="A246" s="50" t="n">
        <v>30</v>
      </c>
      <c r="B246" s="51" t="inlineStr">
        <is>
          <t>Lê Văn Hậu</t>
        </is>
      </c>
      <c r="C246" s="50" t="inlineStr">
        <is>
          <t>GDTC</t>
        </is>
      </c>
      <c r="D246" s="50" t="inlineStr"/>
      <c r="E246" s="50" t="inlineStr"/>
      <c r="F246" s="51" t="inlineStr">
        <is>
          <t>Giáo dục thể chất</t>
        </is>
      </c>
      <c r="G246" s="50" t="inlineStr">
        <is>
          <t>6A7</t>
        </is>
      </c>
      <c r="H246" s="50" t="inlineStr">
        <is>
          <t>6</t>
        </is>
      </c>
      <c r="I246" s="52" t="n">
        <v>2</v>
      </c>
      <c r="J246" s="51" t="inlineStr"/>
    </row>
    <row r="247">
      <c r="A247" s="47" t="n">
        <v>30</v>
      </c>
      <c r="B247" s="48" t="inlineStr">
        <is>
          <t>Lê Văn Hậu</t>
        </is>
      </c>
      <c r="C247" s="47" t="inlineStr">
        <is>
          <t>GDTC</t>
        </is>
      </c>
      <c r="D247" s="47" t="inlineStr"/>
      <c r="E247" s="47" t="inlineStr"/>
      <c r="F247" s="48" t="inlineStr">
        <is>
          <t>Giáo dục thể chất</t>
        </is>
      </c>
      <c r="G247" s="47" t="inlineStr">
        <is>
          <t>6A8</t>
        </is>
      </c>
      <c r="H247" s="47" t="inlineStr">
        <is>
          <t>6</t>
        </is>
      </c>
      <c r="I247" s="49" t="n">
        <v>2</v>
      </c>
      <c r="J247" s="48" t="inlineStr"/>
    </row>
    <row r="248">
      <c r="A248" s="50" t="n">
        <v>30</v>
      </c>
      <c r="B248" s="51" t="inlineStr">
        <is>
          <t>Lê Văn Hậu</t>
        </is>
      </c>
      <c r="C248" s="50" t="inlineStr">
        <is>
          <t>GDTC</t>
        </is>
      </c>
      <c r="D248" s="50" t="inlineStr"/>
      <c r="E248" s="50" t="inlineStr"/>
      <c r="F248" s="51" t="inlineStr">
        <is>
          <t>Giáo dục thể chất</t>
        </is>
      </c>
      <c r="G248" s="50" t="inlineStr">
        <is>
          <t>6A9</t>
        </is>
      </c>
      <c r="H248" s="50" t="inlineStr">
        <is>
          <t>6</t>
        </is>
      </c>
      <c r="I248" s="52" t="n">
        <v>2</v>
      </c>
      <c r="J248" s="51" t="inlineStr"/>
    </row>
    <row r="249">
      <c r="A249" s="47" t="n">
        <v>30</v>
      </c>
      <c r="B249" s="48" t="inlineStr">
        <is>
          <t>Lê Văn Hậu</t>
        </is>
      </c>
      <c r="C249" s="47" t="inlineStr">
        <is>
          <t>GDTC</t>
        </is>
      </c>
      <c r="D249" s="47" t="inlineStr"/>
      <c r="E249" s="47" t="inlineStr"/>
      <c r="F249" s="48" t="inlineStr">
        <is>
          <t>Giáo dục thể chất</t>
        </is>
      </c>
      <c r="G249" s="47" t="inlineStr">
        <is>
          <t>6A10</t>
        </is>
      </c>
      <c r="H249" s="47" t="inlineStr">
        <is>
          <t>6</t>
        </is>
      </c>
      <c r="I249" s="49" t="n">
        <v>2</v>
      </c>
      <c r="J249" s="48" t="inlineStr"/>
    </row>
    <row r="250">
      <c r="A250" s="50" t="n">
        <v>30</v>
      </c>
      <c r="B250" s="51" t="inlineStr">
        <is>
          <t>Lê Văn Hậu</t>
        </is>
      </c>
      <c r="C250" s="50" t="inlineStr">
        <is>
          <t>GDTC</t>
        </is>
      </c>
      <c r="D250" s="50" t="inlineStr"/>
      <c r="E250" s="50" t="inlineStr"/>
      <c r="F250" s="51" t="inlineStr">
        <is>
          <t>Giáo dục thể chất</t>
        </is>
      </c>
      <c r="G250" s="50" t="inlineStr">
        <is>
          <t>6A11</t>
        </is>
      </c>
      <c r="H250" s="50" t="inlineStr">
        <is>
          <t>6</t>
        </is>
      </c>
      <c r="I250" s="52" t="n">
        <v>2</v>
      </c>
      <c r="J250" s="51" t="inlineStr"/>
    </row>
    <row r="251">
      <c r="A251" s="47" t="n">
        <v>30</v>
      </c>
      <c r="B251" s="48" t="inlineStr">
        <is>
          <t>Lê Văn Hậu</t>
        </is>
      </c>
      <c r="C251" s="47" t="inlineStr">
        <is>
          <t>GDTC</t>
        </is>
      </c>
      <c r="D251" s="47" t="inlineStr"/>
      <c r="E251" s="47" t="inlineStr"/>
      <c r="F251" s="48" t="inlineStr">
        <is>
          <t>Giáo dục thể chất</t>
        </is>
      </c>
      <c r="G251" s="47" t="inlineStr">
        <is>
          <t>7A7</t>
        </is>
      </c>
      <c r="H251" s="47" t="inlineStr">
        <is>
          <t>7</t>
        </is>
      </c>
      <c r="I251" s="49" t="n">
        <v>2</v>
      </c>
      <c r="J251" s="48" t="inlineStr"/>
    </row>
    <row r="252">
      <c r="A252" s="50" t="n">
        <v>30</v>
      </c>
      <c r="B252" s="51" t="inlineStr">
        <is>
          <t>Lê Văn Hậu</t>
        </is>
      </c>
      <c r="C252" s="50" t="inlineStr">
        <is>
          <t>GDTC</t>
        </is>
      </c>
      <c r="D252" s="50" t="inlineStr"/>
      <c r="E252" s="50" t="inlineStr"/>
      <c r="F252" s="51" t="inlineStr">
        <is>
          <t>Giáo dục thể chất</t>
        </is>
      </c>
      <c r="G252" s="50" t="inlineStr">
        <is>
          <t>7A8</t>
        </is>
      </c>
      <c r="H252" s="50" t="inlineStr">
        <is>
          <t>7</t>
        </is>
      </c>
      <c r="I252" s="52" t="n">
        <v>2</v>
      </c>
      <c r="J252" s="51" t="inlineStr"/>
    </row>
    <row r="253">
      <c r="A253" s="47" t="n">
        <v>30</v>
      </c>
      <c r="B253" s="48" t="inlineStr">
        <is>
          <t>Lê Văn Hậu</t>
        </is>
      </c>
      <c r="C253" s="47" t="inlineStr">
        <is>
          <t>GDTC</t>
        </is>
      </c>
      <c r="D253" s="47" t="inlineStr"/>
      <c r="E253" s="47" t="inlineStr"/>
      <c r="F253" s="48" t="inlineStr">
        <is>
          <t>Giáo dục thể chất</t>
        </is>
      </c>
      <c r="G253" s="47" t="inlineStr">
        <is>
          <t>7A9</t>
        </is>
      </c>
      <c r="H253" s="47" t="inlineStr">
        <is>
          <t>7</t>
        </is>
      </c>
      <c r="I253" s="49" t="n">
        <v>2</v>
      </c>
      <c r="J253" s="48" t="inlineStr"/>
    </row>
    <row r="254">
      <c r="A254" s="50" t="n">
        <v>30</v>
      </c>
      <c r="B254" s="51" t="inlineStr">
        <is>
          <t>Lê Văn Hậu</t>
        </is>
      </c>
      <c r="C254" s="50" t="inlineStr">
        <is>
          <t>GDTC</t>
        </is>
      </c>
      <c r="D254" s="50" t="inlineStr"/>
      <c r="E254" s="50" t="inlineStr"/>
      <c r="F254" s="51" t="inlineStr">
        <is>
          <t>Giáo dục thể chất</t>
        </is>
      </c>
      <c r="G254" s="50" t="inlineStr">
        <is>
          <t>7A10</t>
        </is>
      </c>
      <c r="H254" s="50" t="inlineStr">
        <is>
          <t>7</t>
        </is>
      </c>
      <c r="I254" s="52" t="n">
        <v>2</v>
      </c>
      <c r="J254" s="51" t="inlineStr"/>
    </row>
    <row r="255">
      <c r="A255" s="47" t="n">
        <v>30</v>
      </c>
      <c r="B255" s="48" t="inlineStr">
        <is>
          <t>Lê Văn Hậu</t>
        </is>
      </c>
      <c r="C255" s="47" t="inlineStr">
        <is>
          <t>GDTC</t>
        </is>
      </c>
      <c r="D255" s="47" t="inlineStr"/>
      <c r="E255" s="47" t="inlineStr"/>
      <c r="F255" s="48" t="inlineStr">
        <is>
          <t>Giáo dục thể chất</t>
        </is>
      </c>
      <c r="G255" s="47" t="inlineStr">
        <is>
          <t>7A11</t>
        </is>
      </c>
      <c r="H255" s="47" t="inlineStr">
        <is>
          <t>7</t>
        </is>
      </c>
      <c r="I255" s="49" t="n">
        <v>2</v>
      </c>
      <c r="J255" s="48" t="inlineStr"/>
    </row>
    <row r="256">
      <c r="A256" s="50" t="n">
        <v>31</v>
      </c>
      <c r="B256" s="51" t="inlineStr">
        <is>
          <t>GV môn GDTC</t>
        </is>
      </c>
      <c r="C256" s="50" t="inlineStr">
        <is>
          <t>GDTC</t>
        </is>
      </c>
      <c r="D256" s="50" t="inlineStr"/>
      <c r="E256" s="50" t="inlineStr"/>
      <c r="F256" s="51" t="inlineStr">
        <is>
          <t>Giáo dục thể chất</t>
        </is>
      </c>
      <c r="G256" s="50" t="inlineStr">
        <is>
          <t>8A7</t>
        </is>
      </c>
      <c r="H256" s="50" t="inlineStr">
        <is>
          <t>8</t>
        </is>
      </c>
      <c r="I256" s="52" t="n">
        <v>2</v>
      </c>
      <c r="J256" s="51" t="inlineStr"/>
    </row>
    <row r="257">
      <c r="A257" s="47" t="n">
        <v>31</v>
      </c>
      <c r="B257" s="48" t="inlineStr">
        <is>
          <t>GV môn GDTC</t>
        </is>
      </c>
      <c r="C257" s="47" t="inlineStr">
        <is>
          <t>GDTC</t>
        </is>
      </c>
      <c r="D257" s="47" t="inlineStr"/>
      <c r="E257" s="47" t="inlineStr"/>
      <c r="F257" s="48" t="inlineStr">
        <is>
          <t>Giáo dục thể chất</t>
        </is>
      </c>
      <c r="G257" s="47" t="inlineStr">
        <is>
          <t>8A8</t>
        </is>
      </c>
      <c r="H257" s="47" t="inlineStr">
        <is>
          <t>8</t>
        </is>
      </c>
      <c r="I257" s="49" t="n">
        <v>2</v>
      </c>
      <c r="J257" s="48" t="inlineStr"/>
    </row>
    <row r="258">
      <c r="A258" s="50" t="n">
        <v>31</v>
      </c>
      <c r="B258" s="51" t="inlineStr">
        <is>
          <t>GV môn GDTC</t>
        </is>
      </c>
      <c r="C258" s="50" t="inlineStr">
        <is>
          <t>GDTC</t>
        </is>
      </c>
      <c r="D258" s="50" t="inlineStr"/>
      <c r="E258" s="50" t="inlineStr"/>
      <c r="F258" s="51" t="inlineStr">
        <is>
          <t>Giáo dục thể chất</t>
        </is>
      </c>
      <c r="G258" s="50" t="inlineStr">
        <is>
          <t>8A9</t>
        </is>
      </c>
      <c r="H258" s="50" t="inlineStr">
        <is>
          <t>8</t>
        </is>
      </c>
      <c r="I258" s="52" t="n">
        <v>2</v>
      </c>
      <c r="J258" s="51" t="inlineStr"/>
    </row>
    <row r="259">
      <c r="A259" s="47" t="n">
        <v>31</v>
      </c>
      <c r="B259" s="48" t="inlineStr">
        <is>
          <t>GV môn GDTC</t>
        </is>
      </c>
      <c r="C259" s="47" t="inlineStr">
        <is>
          <t>GDTC</t>
        </is>
      </c>
      <c r="D259" s="47" t="inlineStr"/>
      <c r="E259" s="47" t="inlineStr"/>
      <c r="F259" s="48" t="inlineStr">
        <is>
          <t>Giáo dục thể chất</t>
        </is>
      </c>
      <c r="G259" s="47" t="inlineStr">
        <is>
          <t>8A10</t>
        </is>
      </c>
      <c r="H259" s="47" t="inlineStr">
        <is>
          <t>8</t>
        </is>
      </c>
      <c r="I259" s="49" t="n">
        <v>2</v>
      </c>
      <c r="J259" s="48" t="inlineStr"/>
    </row>
    <row r="260">
      <c r="A260" s="50" t="n">
        <v>31</v>
      </c>
      <c r="B260" s="51" t="inlineStr">
        <is>
          <t>GV môn GDTC</t>
        </is>
      </c>
      <c r="C260" s="50" t="inlineStr">
        <is>
          <t>GDTC</t>
        </is>
      </c>
      <c r="D260" s="50" t="inlineStr"/>
      <c r="E260" s="50" t="inlineStr"/>
      <c r="F260" s="51" t="inlineStr">
        <is>
          <t>Giáo dục thể chất</t>
        </is>
      </c>
      <c r="G260" s="50" t="inlineStr">
        <is>
          <t>9A8</t>
        </is>
      </c>
      <c r="H260" s="50" t="inlineStr">
        <is>
          <t>9</t>
        </is>
      </c>
      <c r="I260" s="52" t="n">
        <v>2</v>
      </c>
      <c r="J260" s="51" t="inlineStr"/>
    </row>
    <row r="261">
      <c r="A261" s="47" t="n">
        <v>31</v>
      </c>
      <c r="B261" s="48" t="inlineStr">
        <is>
          <t>GV môn GDTC</t>
        </is>
      </c>
      <c r="C261" s="47" t="inlineStr">
        <is>
          <t>GDTC</t>
        </is>
      </c>
      <c r="D261" s="47" t="inlineStr"/>
      <c r="E261" s="47" t="inlineStr"/>
      <c r="F261" s="48" t="inlineStr">
        <is>
          <t>Giáo dục thể chất</t>
        </is>
      </c>
      <c r="G261" s="47" t="inlineStr">
        <is>
          <t>9A9</t>
        </is>
      </c>
      <c r="H261" s="47" t="inlineStr">
        <is>
          <t>9</t>
        </is>
      </c>
      <c r="I261" s="49" t="n">
        <v>2</v>
      </c>
      <c r="J261" s="48" t="inlineStr"/>
    </row>
    <row r="262">
      <c r="A262" s="50" t="n">
        <v>31</v>
      </c>
      <c r="B262" s="51" t="inlineStr">
        <is>
          <t>GV môn GDTC</t>
        </is>
      </c>
      <c r="C262" s="50" t="inlineStr">
        <is>
          <t>GDTC</t>
        </is>
      </c>
      <c r="D262" s="50" t="inlineStr"/>
      <c r="E262" s="50" t="inlineStr"/>
      <c r="F262" s="51" t="inlineStr">
        <is>
          <t>Giáo dục thể chất</t>
        </is>
      </c>
      <c r="G262" s="50" t="inlineStr">
        <is>
          <t>9A10</t>
        </is>
      </c>
      <c r="H262" s="50" t="inlineStr">
        <is>
          <t>9</t>
        </is>
      </c>
      <c r="I262" s="52" t="n">
        <v>2</v>
      </c>
      <c r="J262" s="51" t="inlineStr"/>
    </row>
    <row r="263">
      <c r="A263" s="47" t="n">
        <v>31</v>
      </c>
      <c r="B263" s="48" t="inlineStr">
        <is>
          <t>GV môn GDTC</t>
        </is>
      </c>
      <c r="C263" s="47" t="inlineStr">
        <is>
          <t>GDTC</t>
        </is>
      </c>
      <c r="D263" s="47" t="inlineStr"/>
      <c r="E263" s="47" t="inlineStr"/>
      <c r="F263" s="48" t="inlineStr">
        <is>
          <t>Giáo dục thể chất</t>
        </is>
      </c>
      <c r="G263" s="47" t="inlineStr">
        <is>
          <t>9A11</t>
        </is>
      </c>
      <c r="H263" s="47" t="inlineStr">
        <is>
          <t>9</t>
        </is>
      </c>
      <c r="I263" s="49" t="n">
        <v>2</v>
      </c>
      <c r="J263" s="48" t="inlineStr"/>
    </row>
    <row r="264">
      <c r="A264" s="50" t="n">
        <v>31</v>
      </c>
      <c r="B264" s="51" t="inlineStr">
        <is>
          <t>GV môn GDTC</t>
        </is>
      </c>
      <c r="C264" s="50" t="inlineStr">
        <is>
          <t>GDTC</t>
        </is>
      </c>
      <c r="D264" s="50" t="inlineStr"/>
      <c r="E264" s="50" t="inlineStr"/>
      <c r="F264" s="51" t="inlineStr">
        <is>
          <t>Giáo dục thể chất</t>
        </is>
      </c>
      <c r="G264" s="50" t="inlineStr">
        <is>
          <t>9A12</t>
        </is>
      </c>
      <c r="H264" s="50" t="inlineStr">
        <is>
          <t>9</t>
        </is>
      </c>
      <c r="I264" s="52" t="n">
        <v>2</v>
      </c>
      <c r="J264" s="51" t="inlineStr"/>
    </row>
    <row r="265">
      <c r="A265" s="47" t="n">
        <v>32</v>
      </c>
      <c r="B265" s="48" t="inlineStr">
        <is>
          <t>Bùi Đức Anh</t>
        </is>
      </c>
      <c r="C265" s="47" t="inlineStr">
        <is>
          <t>GDTC</t>
        </is>
      </c>
      <c r="D265" s="47" t="inlineStr">
        <is>
          <t>Trường chính</t>
        </is>
      </c>
      <c r="E265" s="47" t="inlineStr"/>
      <c r="F265" s="48" t="inlineStr">
        <is>
          <t>Giáo dục thể chất</t>
        </is>
      </c>
      <c r="G265" s="47" t="inlineStr">
        <is>
          <t>8A11</t>
        </is>
      </c>
      <c r="H265" s="47" t="inlineStr">
        <is>
          <t>8</t>
        </is>
      </c>
      <c r="I265" s="49" t="n">
        <v>2</v>
      </c>
      <c r="J265" s="48" t="inlineStr">
        <is>
          <t>Trường chính</t>
        </is>
      </c>
    </row>
    <row r="266">
      <c r="A266" s="50" t="n">
        <v>33</v>
      </c>
      <c r="B266" s="51" t="inlineStr">
        <is>
          <t>Lý Thị Duyên</t>
        </is>
      </c>
      <c r="C266" s="50" t="inlineStr">
        <is>
          <t>MT-Đội</t>
        </is>
      </c>
      <c r="D266" s="50" t="inlineStr">
        <is>
          <t>GVCN</t>
        </is>
      </c>
      <c r="E266" s="50" t="inlineStr">
        <is>
          <t>6A10</t>
        </is>
      </c>
      <c r="F266" s="51" t="inlineStr">
        <is>
          <t>Nghệ thuật (Mỹ thuật)</t>
        </is>
      </c>
      <c r="G266" s="50" t="inlineStr">
        <is>
          <t>6A7</t>
        </is>
      </c>
      <c r="H266" s="50" t="inlineStr">
        <is>
          <t>6</t>
        </is>
      </c>
      <c r="I266" s="52" t="n">
        <v>1</v>
      </c>
      <c r="J266" s="51" t="inlineStr"/>
    </row>
    <row r="267">
      <c r="A267" s="47" t="n">
        <v>33</v>
      </c>
      <c r="B267" s="48" t="inlineStr">
        <is>
          <t>Lý Thị Duyên</t>
        </is>
      </c>
      <c r="C267" s="47" t="inlineStr">
        <is>
          <t>MT-Đội</t>
        </is>
      </c>
      <c r="D267" s="47" t="inlineStr">
        <is>
          <t>GVCN</t>
        </is>
      </c>
      <c r="E267" s="47" t="inlineStr">
        <is>
          <t>6A10</t>
        </is>
      </c>
      <c r="F267" s="48" t="inlineStr">
        <is>
          <t>Nghệ thuật (Mỹ thuật)</t>
        </is>
      </c>
      <c r="G267" s="47" t="inlineStr">
        <is>
          <t>6A8</t>
        </is>
      </c>
      <c r="H267" s="47" t="inlineStr">
        <is>
          <t>6</t>
        </is>
      </c>
      <c r="I267" s="49" t="n">
        <v>1</v>
      </c>
      <c r="J267" s="48" t="inlineStr"/>
    </row>
    <row r="268">
      <c r="A268" s="50" t="n">
        <v>33</v>
      </c>
      <c r="B268" s="51" t="inlineStr">
        <is>
          <t>Lý Thị Duyên</t>
        </is>
      </c>
      <c r="C268" s="50" t="inlineStr">
        <is>
          <t>MT-Đội</t>
        </is>
      </c>
      <c r="D268" s="50" t="inlineStr">
        <is>
          <t>GVCN</t>
        </is>
      </c>
      <c r="E268" s="50" t="inlineStr">
        <is>
          <t>6A10</t>
        </is>
      </c>
      <c r="F268" s="51" t="inlineStr">
        <is>
          <t>Nghệ thuật (Mỹ thuật)</t>
        </is>
      </c>
      <c r="G268" s="50" t="inlineStr">
        <is>
          <t>6A9</t>
        </is>
      </c>
      <c r="H268" s="50" t="inlineStr">
        <is>
          <t>6</t>
        </is>
      </c>
      <c r="I268" s="52" t="n">
        <v>1</v>
      </c>
      <c r="J268" s="51" t="inlineStr"/>
    </row>
    <row r="269">
      <c r="A269" s="47" t="n">
        <v>33</v>
      </c>
      <c r="B269" s="48" t="inlineStr">
        <is>
          <t>Lý Thị Duyên</t>
        </is>
      </c>
      <c r="C269" s="47" t="inlineStr">
        <is>
          <t>MT-Đội</t>
        </is>
      </c>
      <c r="D269" s="47" t="inlineStr">
        <is>
          <t>GVCN</t>
        </is>
      </c>
      <c r="E269" s="47" t="inlineStr">
        <is>
          <t>6A10</t>
        </is>
      </c>
      <c r="F269" s="48" t="inlineStr">
        <is>
          <t>Nghệ thuật (Mỹ thuật)</t>
        </is>
      </c>
      <c r="G269" s="47" t="inlineStr">
        <is>
          <t>6A10</t>
        </is>
      </c>
      <c r="H269" s="47" t="inlineStr">
        <is>
          <t>6</t>
        </is>
      </c>
      <c r="I269" s="49" t="n">
        <v>1</v>
      </c>
      <c r="J269" s="48" t="inlineStr"/>
    </row>
    <row r="270">
      <c r="A270" s="50" t="n">
        <v>33</v>
      </c>
      <c r="B270" s="51" t="inlineStr">
        <is>
          <t>Lý Thị Duyên</t>
        </is>
      </c>
      <c r="C270" s="50" t="inlineStr">
        <is>
          <t>MT-Đội</t>
        </is>
      </c>
      <c r="D270" s="50" t="inlineStr">
        <is>
          <t>GVCN</t>
        </is>
      </c>
      <c r="E270" s="50" t="inlineStr">
        <is>
          <t>6A10</t>
        </is>
      </c>
      <c r="F270" s="51" t="inlineStr">
        <is>
          <t>Nghệ thuật (Mỹ thuật)</t>
        </is>
      </c>
      <c r="G270" s="50" t="inlineStr">
        <is>
          <t>6A11</t>
        </is>
      </c>
      <c r="H270" s="50" t="inlineStr">
        <is>
          <t>6</t>
        </is>
      </c>
      <c r="I270" s="52" t="n">
        <v>1</v>
      </c>
      <c r="J270" s="51" t="inlineStr"/>
    </row>
    <row r="271">
      <c r="A271" s="47" t="n">
        <v>33</v>
      </c>
      <c r="B271" s="48" t="inlineStr">
        <is>
          <t>Lý Thị Duyên</t>
        </is>
      </c>
      <c r="C271" s="47" t="inlineStr">
        <is>
          <t>MT-Đội</t>
        </is>
      </c>
      <c r="D271" s="47" t="inlineStr">
        <is>
          <t>GVCN</t>
        </is>
      </c>
      <c r="E271" s="47" t="inlineStr">
        <is>
          <t>6A10</t>
        </is>
      </c>
      <c r="F271" s="48" t="inlineStr">
        <is>
          <t>Nghệ thuật (Mỹ thuật)</t>
        </is>
      </c>
      <c r="G271" s="47" t="inlineStr">
        <is>
          <t>8A7</t>
        </is>
      </c>
      <c r="H271" s="47" t="inlineStr">
        <is>
          <t>8</t>
        </is>
      </c>
      <c r="I271" s="49" t="n">
        <v>1</v>
      </c>
      <c r="J271" s="48" t="inlineStr"/>
    </row>
    <row r="272">
      <c r="A272" s="50" t="n">
        <v>33</v>
      </c>
      <c r="B272" s="51" t="inlineStr">
        <is>
          <t>Lý Thị Duyên</t>
        </is>
      </c>
      <c r="C272" s="50" t="inlineStr">
        <is>
          <t>MT-Đội</t>
        </is>
      </c>
      <c r="D272" s="50" t="inlineStr">
        <is>
          <t>GVCN</t>
        </is>
      </c>
      <c r="E272" s="50" t="inlineStr">
        <is>
          <t>6A10</t>
        </is>
      </c>
      <c r="F272" s="51" t="inlineStr">
        <is>
          <t>Nghệ thuật (Mỹ thuật)</t>
        </is>
      </c>
      <c r="G272" s="50" t="inlineStr">
        <is>
          <t>8A8</t>
        </is>
      </c>
      <c r="H272" s="50" t="inlineStr">
        <is>
          <t>8</t>
        </is>
      </c>
      <c r="I272" s="52" t="n">
        <v>1</v>
      </c>
      <c r="J272" s="51" t="inlineStr"/>
    </row>
    <row r="273">
      <c r="A273" s="47" t="n">
        <v>33</v>
      </c>
      <c r="B273" s="48" t="inlineStr">
        <is>
          <t>Lý Thị Duyên</t>
        </is>
      </c>
      <c r="C273" s="47" t="inlineStr">
        <is>
          <t>MT-Đội</t>
        </is>
      </c>
      <c r="D273" s="47" t="inlineStr">
        <is>
          <t>GVCN</t>
        </is>
      </c>
      <c r="E273" s="47" t="inlineStr">
        <is>
          <t>6A10</t>
        </is>
      </c>
      <c r="F273" s="48" t="inlineStr">
        <is>
          <t>Nghệ thuật (Mỹ thuật)</t>
        </is>
      </c>
      <c r="G273" s="47" t="inlineStr">
        <is>
          <t>8A9</t>
        </is>
      </c>
      <c r="H273" s="47" t="inlineStr">
        <is>
          <t>8</t>
        </is>
      </c>
      <c r="I273" s="49" t="n">
        <v>1</v>
      </c>
      <c r="J273" s="48" t="inlineStr"/>
    </row>
    <row r="274">
      <c r="A274" s="50" t="n">
        <v>33</v>
      </c>
      <c r="B274" s="51" t="inlineStr">
        <is>
          <t>Lý Thị Duyên</t>
        </is>
      </c>
      <c r="C274" s="50" t="inlineStr">
        <is>
          <t>MT-Đội</t>
        </is>
      </c>
      <c r="D274" s="50" t="inlineStr">
        <is>
          <t>GVCN</t>
        </is>
      </c>
      <c r="E274" s="50" t="inlineStr">
        <is>
          <t>6A10</t>
        </is>
      </c>
      <c r="F274" s="51" t="inlineStr">
        <is>
          <t>Nghệ thuật (Mỹ thuật)</t>
        </is>
      </c>
      <c r="G274" s="50" t="inlineStr">
        <is>
          <t>8A10</t>
        </is>
      </c>
      <c r="H274" s="50" t="inlineStr">
        <is>
          <t>8</t>
        </is>
      </c>
      <c r="I274" s="52" t="n">
        <v>1</v>
      </c>
      <c r="J274" s="51" t="inlineStr"/>
    </row>
    <row r="275">
      <c r="A275" s="47" t="n">
        <v>33</v>
      </c>
      <c r="B275" s="48" t="inlineStr">
        <is>
          <t>Lý Thị Duyên</t>
        </is>
      </c>
      <c r="C275" s="47" t="inlineStr">
        <is>
          <t>MT-Đội</t>
        </is>
      </c>
      <c r="D275" s="47" t="inlineStr">
        <is>
          <t>GVCN</t>
        </is>
      </c>
      <c r="E275" s="47" t="inlineStr">
        <is>
          <t>6A10</t>
        </is>
      </c>
      <c r="F275" s="48" t="inlineStr">
        <is>
          <t>Nghệ thuật (Mỹ thuật)</t>
        </is>
      </c>
      <c r="G275" s="47" t="inlineStr">
        <is>
          <t>8A11</t>
        </is>
      </c>
      <c r="H275" s="47" t="inlineStr">
        <is>
          <t>8</t>
        </is>
      </c>
      <c r="I275" s="49" t="n">
        <v>1</v>
      </c>
      <c r="J275" s="48" t="inlineStr"/>
    </row>
    <row r="276">
      <c r="A276" s="50" t="n">
        <v>33</v>
      </c>
      <c r="B276" s="51" t="inlineStr">
        <is>
          <t>Lý Thị Duyên</t>
        </is>
      </c>
      <c r="C276" s="50" t="inlineStr">
        <is>
          <t>MT-Đội</t>
        </is>
      </c>
      <c r="D276" s="50" t="inlineStr">
        <is>
          <t>GVCN</t>
        </is>
      </c>
      <c r="E276" s="50" t="inlineStr">
        <is>
          <t>6A10</t>
        </is>
      </c>
      <c r="F276" s="51" t="inlineStr">
        <is>
          <t>Nghệ thuật (Mỹ thuật)</t>
        </is>
      </c>
      <c r="G276" s="50" t="inlineStr">
        <is>
          <t>9A8</t>
        </is>
      </c>
      <c r="H276" s="50" t="inlineStr">
        <is>
          <t>9</t>
        </is>
      </c>
      <c r="I276" s="52" t="n">
        <v>1</v>
      </c>
      <c r="J276" s="51" t="inlineStr"/>
    </row>
    <row r="277">
      <c r="A277" s="47" t="n">
        <v>33</v>
      </c>
      <c r="B277" s="48" t="inlineStr">
        <is>
          <t>Lý Thị Duyên</t>
        </is>
      </c>
      <c r="C277" s="47" t="inlineStr">
        <is>
          <t>MT-Đội</t>
        </is>
      </c>
      <c r="D277" s="47" t="inlineStr">
        <is>
          <t>GVCN</t>
        </is>
      </c>
      <c r="E277" s="47" t="inlineStr">
        <is>
          <t>6A10</t>
        </is>
      </c>
      <c r="F277" s="48" t="inlineStr">
        <is>
          <t>Nghệ thuật (Mỹ thuật)</t>
        </is>
      </c>
      <c r="G277" s="47" t="inlineStr">
        <is>
          <t>9A9</t>
        </is>
      </c>
      <c r="H277" s="47" t="inlineStr">
        <is>
          <t>9</t>
        </is>
      </c>
      <c r="I277" s="49" t="n">
        <v>1</v>
      </c>
      <c r="J277" s="48" t="inlineStr"/>
    </row>
    <row r="278">
      <c r="A278" s="50" t="n">
        <v>33</v>
      </c>
      <c r="B278" s="51" t="inlineStr">
        <is>
          <t>Lý Thị Duyên</t>
        </is>
      </c>
      <c r="C278" s="50" t="inlineStr">
        <is>
          <t>MT-Đội</t>
        </is>
      </c>
      <c r="D278" s="50" t="inlineStr">
        <is>
          <t>GVCN</t>
        </is>
      </c>
      <c r="E278" s="50" t="inlineStr">
        <is>
          <t>6A10</t>
        </is>
      </c>
      <c r="F278" s="51" t="inlineStr">
        <is>
          <t>Nghệ thuật (Mỹ thuật)</t>
        </is>
      </c>
      <c r="G278" s="50" t="inlineStr">
        <is>
          <t>9A10</t>
        </is>
      </c>
      <c r="H278" s="50" t="inlineStr">
        <is>
          <t>9</t>
        </is>
      </c>
      <c r="I278" s="52" t="n">
        <v>1</v>
      </c>
      <c r="J278" s="51" t="inlineStr"/>
    </row>
    <row r="279">
      <c r="A279" s="47" t="n">
        <v>33</v>
      </c>
      <c r="B279" s="48" t="inlineStr">
        <is>
          <t>Lý Thị Duyên</t>
        </is>
      </c>
      <c r="C279" s="47" t="inlineStr">
        <is>
          <t>MT-Đội</t>
        </is>
      </c>
      <c r="D279" s="47" t="inlineStr">
        <is>
          <t>GVCN</t>
        </is>
      </c>
      <c r="E279" s="47" t="inlineStr">
        <is>
          <t>6A10</t>
        </is>
      </c>
      <c r="F279" s="48" t="inlineStr">
        <is>
          <t>Nghệ thuật (Mỹ thuật)</t>
        </is>
      </c>
      <c r="G279" s="47" t="inlineStr">
        <is>
          <t>9A11</t>
        </is>
      </c>
      <c r="H279" s="47" t="inlineStr">
        <is>
          <t>9</t>
        </is>
      </c>
      <c r="I279" s="49" t="n">
        <v>1</v>
      </c>
      <c r="J279" s="48" t="inlineStr"/>
    </row>
    <row r="280">
      <c r="A280" s="50" t="n">
        <v>33</v>
      </c>
      <c r="B280" s="51" t="inlineStr">
        <is>
          <t>Lý Thị Duyên</t>
        </is>
      </c>
      <c r="C280" s="50" t="inlineStr">
        <is>
          <t>MT-Đội</t>
        </is>
      </c>
      <c r="D280" s="50" t="inlineStr">
        <is>
          <t>GVCN</t>
        </is>
      </c>
      <c r="E280" s="50" t="inlineStr">
        <is>
          <t>6A10</t>
        </is>
      </c>
      <c r="F280" s="51" t="inlineStr">
        <is>
          <t>Nghệ thuật (Mỹ thuật)</t>
        </is>
      </c>
      <c r="G280" s="50" t="inlineStr">
        <is>
          <t>9A12</t>
        </is>
      </c>
      <c r="H280" s="50" t="inlineStr">
        <is>
          <t>9</t>
        </is>
      </c>
      <c r="I280" s="52" t="n">
        <v>1</v>
      </c>
      <c r="J280" s="51" t="inlineStr"/>
    </row>
    <row r="281">
      <c r="A281" s="47" t="n">
        <v>34</v>
      </c>
      <c r="B281" s="48" t="inlineStr">
        <is>
          <t>Lê Thị Minh Anh</t>
        </is>
      </c>
      <c r="C281" s="47" t="inlineStr">
        <is>
          <t>Mĩ thuật</t>
        </is>
      </c>
      <c r="D281" s="47" t="inlineStr">
        <is>
          <t>HĐK</t>
        </is>
      </c>
      <c r="E281" s="47" t="inlineStr"/>
      <c r="F281" s="48" t="inlineStr">
        <is>
          <t>Nghệ thuật (Mỹ thuật)</t>
        </is>
      </c>
      <c r="G281" s="47" t="inlineStr">
        <is>
          <t>7A7</t>
        </is>
      </c>
      <c r="H281" s="47" t="inlineStr">
        <is>
          <t>7</t>
        </is>
      </c>
      <c r="I281" s="49" t="n">
        <v>1</v>
      </c>
      <c r="J281" s="48" t="inlineStr"/>
    </row>
    <row r="282">
      <c r="A282" s="50" t="n">
        <v>34</v>
      </c>
      <c r="B282" s="51" t="inlineStr">
        <is>
          <t>Lê Thị Minh Anh</t>
        </is>
      </c>
      <c r="C282" s="50" t="inlineStr">
        <is>
          <t>Mĩ thuật</t>
        </is>
      </c>
      <c r="D282" s="50" t="inlineStr">
        <is>
          <t>HĐK</t>
        </is>
      </c>
      <c r="E282" s="50" t="inlineStr"/>
      <c r="F282" s="51" t="inlineStr">
        <is>
          <t>Nghệ thuật (Mỹ thuật)</t>
        </is>
      </c>
      <c r="G282" s="50" t="inlineStr">
        <is>
          <t>7A8</t>
        </is>
      </c>
      <c r="H282" s="50" t="inlineStr">
        <is>
          <t>7</t>
        </is>
      </c>
      <c r="I282" s="52" t="n">
        <v>1</v>
      </c>
      <c r="J282" s="51" t="inlineStr"/>
    </row>
    <row r="283">
      <c r="A283" s="47" t="n">
        <v>34</v>
      </c>
      <c r="B283" s="48" t="inlineStr">
        <is>
          <t>Lê Thị Minh Anh</t>
        </is>
      </c>
      <c r="C283" s="47" t="inlineStr">
        <is>
          <t>Mĩ thuật</t>
        </is>
      </c>
      <c r="D283" s="47" t="inlineStr">
        <is>
          <t>HĐK</t>
        </is>
      </c>
      <c r="E283" s="47" t="inlineStr"/>
      <c r="F283" s="48" t="inlineStr">
        <is>
          <t>Nghệ thuật (Mỹ thuật)</t>
        </is>
      </c>
      <c r="G283" s="47" t="inlineStr">
        <is>
          <t>7A9</t>
        </is>
      </c>
      <c r="H283" s="47" t="inlineStr">
        <is>
          <t>7</t>
        </is>
      </c>
      <c r="I283" s="49" t="n">
        <v>1</v>
      </c>
      <c r="J283" s="48" t="inlineStr"/>
    </row>
    <row r="284">
      <c r="A284" s="50" t="n">
        <v>34</v>
      </c>
      <c r="B284" s="51" t="inlineStr">
        <is>
          <t>Lê Thị Minh Anh</t>
        </is>
      </c>
      <c r="C284" s="50" t="inlineStr">
        <is>
          <t>Mĩ thuật</t>
        </is>
      </c>
      <c r="D284" s="50" t="inlineStr">
        <is>
          <t>HĐK</t>
        </is>
      </c>
      <c r="E284" s="50" t="inlineStr"/>
      <c r="F284" s="51" t="inlineStr">
        <is>
          <t>Nghệ thuật (Mỹ thuật)</t>
        </is>
      </c>
      <c r="G284" s="50" t="inlineStr">
        <is>
          <t>7A10</t>
        </is>
      </c>
      <c r="H284" s="50" t="inlineStr">
        <is>
          <t>7</t>
        </is>
      </c>
      <c r="I284" s="52" t="n">
        <v>1</v>
      </c>
      <c r="J284" s="51" t="inlineStr"/>
    </row>
    <row r="285">
      <c r="A285" s="47" t="n">
        <v>35</v>
      </c>
      <c r="B285" s="48" t="inlineStr">
        <is>
          <t>Ngô Thuý Vân</t>
        </is>
      </c>
      <c r="C285" s="47" t="inlineStr">
        <is>
          <t>MT-Đội</t>
        </is>
      </c>
      <c r="D285" s="47" t="inlineStr">
        <is>
          <t>Tổng phụ trách</t>
        </is>
      </c>
      <c r="E285" s="47" t="inlineStr"/>
      <c r="F285" s="48" t="inlineStr">
        <is>
          <t>Nghệ thuật (Mỹ thuật)</t>
        </is>
      </c>
      <c r="G285" s="47" t="inlineStr">
        <is>
          <t>7A11</t>
        </is>
      </c>
      <c r="H285" s="47" t="inlineStr">
        <is>
          <t>7</t>
        </is>
      </c>
      <c r="I285" s="49" t="n">
        <v>1</v>
      </c>
      <c r="J285" s="48" t="inlineStr">
        <is>
          <t>Dạy TPT</t>
        </is>
      </c>
    </row>
    <row r="286">
      <c r="A286" s="50" t="n">
        <v>36</v>
      </c>
      <c r="B286" s="51" t="inlineStr">
        <is>
          <t>Nguyễn Thị Luyến</t>
        </is>
      </c>
      <c r="C286" s="50" t="inlineStr">
        <is>
          <t>Âm Nhạc</t>
        </is>
      </c>
      <c r="D286" s="50" t="inlineStr"/>
      <c r="E286" s="50" t="inlineStr"/>
      <c r="F286" s="51" t="inlineStr">
        <is>
          <t>Nghệ thuật (Âm nhạc)</t>
        </is>
      </c>
      <c r="G286" s="50" t="inlineStr">
        <is>
          <t>6A7</t>
        </is>
      </c>
      <c r="H286" s="50" t="inlineStr">
        <is>
          <t>6</t>
        </is>
      </c>
      <c r="I286" s="52" t="n">
        <v>1</v>
      </c>
      <c r="J286" s="51" t="inlineStr"/>
    </row>
    <row r="287">
      <c r="A287" s="47" t="n">
        <v>36</v>
      </c>
      <c r="B287" s="48" t="inlineStr">
        <is>
          <t>Nguyễn Thị Luyến</t>
        </is>
      </c>
      <c r="C287" s="47" t="inlineStr">
        <is>
          <t>Âm Nhạc</t>
        </is>
      </c>
      <c r="D287" s="47" t="inlineStr"/>
      <c r="E287" s="47" t="inlineStr"/>
      <c r="F287" s="48" t="inlineStr">
        <is>
          <t>Nghệ thuật (Âm nhạc)</t>
        </is>
      </c>
      <c r="G287" s="47" t="inlineStr">
        <is>
          <t>6A8</t>
        </is>
      </c>
      <c r="H287" s="47" t="inlineStr">
        <is>
          <t>6</t>
        </is>
      </c>
      <c r="I287" s="49" t="n">
        <v>1</v>
      </c>
      <c r="J287" s="48" t="inlineStr"/>
    </row>
    <row r="288">
      <c r="A288" s="50" t="n">
        <v>36</v>
      </c>
      <c r="B288" s="51" t="inlineStr">
        <is>
          <t>Nguyễn Thị Luyến</t>
        </is>
      </c>
      <c r="C288" s="50" t="inlineStr">
        <is>
          <t>Âm Nhạc</t>
        </is>
      </c>
      <c r="D288" s="50" t="inlineStr"/>
      <c r="E288" s="50" t="inlineStr"/>
      <c r="F288" s="51" t="inlineStr">
        <is>
          <t>Nghệ thuật (Âm nhạc)</t>
        </is>
      </c>
      <c r="G288" s="50" t="inlineStr">
        <is>
          <t>6A9</t>
        </is>
      </c>
      <c r="H288" s="50" t="inlineStr">
        <is>
          <t>6</t>
        </is>
      </c>
      <c r="I288" s="52" t="n">
        <v>1</v>
      </c>
      <c r="J288" s="51" t="inlineStr"/>
    </row>
    <row r="289">
      <c r="A289" s="47" t="n">
        <v>36</v>
      </c>
      <c r="B289" s="48" t="inlineStr">
        <is>
          <t>Nguyễn Thị Luyến</t>
        </is>
      </c>
      <c r="C289" s="47" t="inlineStr">
        <is>
          <t>Âm Nhạc</t>
        </is>
      </c>
      <c r="D289" s="47" t="inlineStr"/>
      <c r="E289" s="47" t="inlineStr"/>
      <c r="F289" s="48" t="inlineStr">
        <is>
          <t>Nghệ thuật (Âm nhạc)</t>
        </is>
      </c>
      <c r="G289" s="47" t="inlineStr">
        <is>
          <t>6A10</t>
        </is>
      </c>
      <c r="H289" s="47" t="inlineStr">
        <is>
          <t>6</t>
        </is>
      </c>
      <c r="I289" s="49" t="n">
        <v>1</v>
      </c>
      <c r="J289" s="48" t="inlineStr"/>
    </row>
    <row r="290">
      <c r="A290" s="50" t="n">
        <v>36</v>
      </c>
      <c r="B290" s="51" t="inlineStr">
        <is>
          <t>Nguyễn Thị Luyến</t>
        </is>
      </c>
      <c r="C290" s="50" t="inlineStr">
        <is>
          <t>Âm Nhạc</t>
        </is>
      </c>
      <c r="D290" s="50" t="inlineStr"/>
      <c r="E290" s="50" t="inlineStr"/>
      <c r="F290" s="51" t="inlineStr">
        <is>
          <t>Nghệ thuật (Âm nhạc)</t>
        </is>
      </c>
      <c r="G290" s="50" t="inlineStr">
        <is>
          <t>6A11</t>
        </is>
      </c>
      <c r="H290" s="50" t="inlineStr">
        <is>
          <t>6</t>
        </is>
      </c>
      <c r="I290" s="52" t="n">
        <v>1</v>
      </c>
      <c r="J290" s="51" t="inlineStr"/>
    </row>
    <row r="291">
      <c r="A291" s="47" t="n">
        <v>36</v>
      </c>
      <c r="B291" s="48" t="inlineStr">
        <is>
          <t>Nguyễn Thị Luyến</t>
        </is>
      </c>
      <c r="C291" s="47" t="inlineStr">
        <is>
          <t>Âm Nhạc</t>
        </is>
      </c>
      <c r="D291" s="47" t="inlineStr"/>
      <c r="E291" s="47" t="inlineStr"/>
      <c r="F291" s="48" t="inlineStr">
        <is>
          <t>Nghệ thuật (Âm nhạc)</t>
        </is>
      </c>
      <c r="G291" s="47" t="inlineStr">
        <is>
          <t>7A7</t>
        </is>
      </c>
      <c r="H291" s="47" t="inlineStr">
        <is>
          <t>7</t>
        </is>
      </c>
      <c r="I291" s="49" t="n">
        <v>1</v>
      </c>
      <c r="J291" s="48" t="inlineStr"/>
    </row>
    <row r="292">
      <c r="A292" s="50" t="n">
        <v>36</v>
      </c>
      <c r="B292" s="51" t="inlineStr">
        <is>
          <t>Nguyễn Thị Luyến</t>
        </is>
      </c>
      <c r="C292" s="50" t="inlineStr">
        <is>
          <t>Âm Nhạc</t>
        </is>
      </c>
      <c r="D292" s="50" t="inlineStr"/>
      <c r="E292" s="50" t="inlineStr"/>
      <c r="F292" s="51" t="inlineStr">
        <is>
          <t>Nghệ thuật (Âm nhạc)</t>
        </is>
      </c>
      <c r="G292" s="50" t="inlineStr">
        <is>
          <t>7A8</t>
        </is>
      </c>
      <c r="H292" s="50" t="inlineStr">
        <is>
          <t>7</t>
        </is>
      </c>
      <c r="I292" s="52" t="n">
        <v>1</v>
      </c>
      <c r="J292" s="51" t="inlineStr"/>
    </row>
    <row r="293">
      <c r="A293" s="47" t="n">
        <v>36</v>
      </c>
      <c r="B293" s="48" t="inlineStr">
        <is>
          <t>Nguyễn Thị Luyến</t>
        </is>
      </c>
      <c r="C293" s="47" t="inlineStr">
        <is>
          <t>Âm Nhạc</t>
        </is>
      </c>
      <c r="D293" s="47" t="inlineStr"/>
      <c r="E293" s="47" t="inlineStr"/>
      <c r="F293" s="48" t="inlineStr">
        <is>
          <t>Nghệ thuật (Âm nhạc)</t>
        </is>
      </c>
      <c r="G293" s="47" t="inlineStr">
        <is>
          <t>7A9</t>
        </is>
      </c>
      <c r="H293" s="47" t="inlineStr">
        <is>
          <t>7</t>
        </is>
      </c>
      <c r="I293" s="49" t="n">
        <v>1</v>
      </c>
      <c r="J293" s="48" t="inlineStr"/>
    </row>
    <row r="294">
      <c r="A294" s="50" t="n">
        <v>36</v>
      </c>
      <c r="B294" s="51" t="inlineStr">
        <is>
          <t>Nguyễn Thị Luyến</t>
        </is>
      </c>
      <c r="C294" s="50" t="inlineStr">
        <is>
          <t>Âm Nhạc</t>
        </is>
      </c>
      <c r="D294" s="50" t="inlineStr"/>
      <c r="E294" s="50" t="inlineStr"/>
      <c r="F294" s="51" t="inlineStr">
        <is>
          <t>Nghệ thuật (Âm nhạc)</t>
        </is>
      </c>
      <c r="G294" s="50" t="inlineStr">
        <is>
          <t>7A10</t>
        </is>
      </c>
      <c r="H294" s="50" t="inlineStr">
        <is>
          <t>7</t>
        </is>
      </c>
      <c r="I294" s="52" t="n">
        <v>1</v>
      </c>
      <c r="J294" s="51" t="inlineStr"/>
    </row>
    <row r="295">
      <c r="A295" s="47" t="n">
        <v>36</v>
      </c>
      <c r="B295" s="48" t="inlineStr">
        <is>
          <t>Nguyễn Thị Luyến</t>
        </is>
      </c>
      <c r="C295" s="47" t="inlineStr">
        <is>
          <t>Âm Nhạc</t>
        </is>
      </c>
      <c r="D295" s="47" t="inlineStr"/>
      <c r="E295" s="47" t="inlineStr"/>
      <c r="F295" s="48" t="inlineStr">
        <is>
          <t>Nghệ thuật (Âm nhạc)</t>
        </is>
      </c>
      <c r="G295" s="47" t="inlineStr">
        <is>
          <t>7A11</t>
        </is>
      </c>
      <c r="H295" s="47" t="inlineStr">
        <is>
          <t>7</t>
        </is>
      </c>
      <c r="I295" s="49" t="n">
        <v>1</v>
      </c>
      <c r="J295" s="48" t="inlineStr"/>
    </row>
    <row r="296">
      <c r="A296" s="50" t="n">
        <v>36</v>
      </c>
      <c r="B296" s="51" t="inlineStr">
        <is>
          <t>Nguyễn Thị Luyến</t>
        </is>
      </c>
      <c r="C296" s="50" t="inlineStr">
        <is>
          <t>Âm Nhạc</t>
        </is>
      </c>
      <c r="D296" s="50" t="inlineStr"/>
      <c r="E296" s="50" t="inlineStr"/>
      <c r="F296" s="51" t="inlineStr">
        <is>
          <t>Nghệ thuật (Âm nhạc)</t>
        </is>
      </c>
      <c r="G296" s="50" t="inlineStr">
        <is>
          <t>8A7</t>
        </is>
      </c>
      <c r="H296" s="50" t="inlineStr">
        <is>
          <t>8</t>
        </is>
      </c>
      <c r="I296" s="52" t="n">
        <v>1</v>
      </c>
      <c r="J296" s="51" t="inlineStr"/>
    </row>
    <row r="297">
      <c r="A297" s="47" t="n">
        <v>36</v>
      </c>
      <c r="B297" s="48" t="inlineStr">
        <is>
          <t>Nguyễn Thị Luyến</t>
        </is>
      </c>
      <c r="C297" s="47" t="inlineStr">
        <is>
          <t>Âm Nhạc</t>
        </is>
      </c>
      <c r="D297" s="47" t="inlineStr"/>
      <c r="E297" s="47" t="inlineStr"/>
      <c r="F297" s="48" t="inlineStr">
        <is>
          <t>Nghệ thuật (Âm nhạc)</t>
        </is>
      </c>
      <c r="G297" s="47" t="inlineStr">
        <is>
          <t>8A8</t>
        </is>
      </c>
      <c r="H297" s="47" t="inlineStr">
        <is>
          <t>8</t>
        </is>
      </c>
      <c r="I297" s="49" t="n">
        <v>1</v>
      </c>
      <c r="J297" s="48" t="inlineStr"/>
    </row>
    <row r="298">
      <c r="A298" s="50" t="n">
        <v>36</v>
      </c>
      <c r="B298" s="51" t="inlineStr">
        <is>
          <t>Nguyễn Thị Luyến</t>
        </is>
      </c>
      <c r="C298" s="50" t="inlineStr">
        <is>
          <t>Âm Nhạc</t>
        </is>
      </c>
      <c r="D298" s="50" t="inlineStr"/>
      <c r="E298" s="50" t="inlineStr"/>
      <c r="F298" s="51" t="inlineStr">
        <is>
          <t>Nghệ thuật (Âm nhạc)</t>
        </is>
      </c>
      <c r="G298" s="50" t="inlineStr">
        <is>
          <t>8A9</t>
        </is>
      </c>
      <c r="H298" s="50" t="inlineStr">
        <is>
          <t>8</t>
        </is>
      </c>
      <c r="I298" s="52" t="n">
        <v>1</v>
      </c>
      <c r="J298" s="51" t="inlineStr"/>
    </row>
    <row r="299">
      <c r="A299" s="47" t="n">
        <v>36</v>
      </c>
      <c r="B299" s="48" t="inlineStr">
        <is>
          <t>Nguyễn Thị Luyến</t>
        </is>
      </c>
      <c r="C299" s="47" t="inlineStr">
        <is>
          <t>Âm Nhạc</t>
        </is>
      </c>
      <c r="D299" s="47" t="inlineStr"/>
      <c r="E299" s="47" t="inlineStr"/>
      <c r="F299" s="48" t="inlineStr">
        <is>
          <t>Nghệ thuật (Âm nhạc)</t>
        </is>
      </c>
      <c r="G299" s="47" t="inlineStr">
        <is>
          <t>8A10</t>
        </is>
      </c>
      <c r="H299" s="47" t="inlineStr">
        <is>
          <t>8</t>
        </is>
      </c>
      <c r="I299" s="49" t="n">
        <v>1</v>
      </c>
      <c r="J299" s="48" t="inlineStr"/>
    </row>
    <row r="300">
      <c r="A300" s="50" t="n">
        <v>36</v>
      </c>
      <c r="B300" s="51" t="inlineStr">
        <is>
          <t>Nguyễn Thị Luyến</t>
        </is>
      </c>
      <c r="C300" s="50" t="inlineStr">
        <is>
          <t>Âm Nhạc</t>
        </is>
      </c>
      <c r="D300" s="50" t="inlineStr"/>
      <c r="E300" s="50" t="inlineStr"/>
      <c r="F300" s="51" t="inlineStr">
        <is>
          <t>Nghệ thuật (Âm nhạc)</t>
        </is>
      </c>
      <c r="G300" s="50" t="inlineStr">
        <is>
          <t>8A11</t>
        </is>
      </c>
      <c r="H300" s="50" t="inlineStr">
        <is>
          <t>8</t>
        </is>
      </c>
      <c r="I300" s="52" t="n">
        <v>1</v>
      </c>
      <c r="J300" s="51" t="inlineStr"/>
    </row>
    <row r="301">
      <c r="A301" s="47" t="n">
        <v>36</v>
      </c>
      <c r="B301" s="48" t="inlineStr">
        <is>
          <t>Nguyễn Thị Luyến</t>
        </is>
      </c>
      <c r="C301" s="47" t="inlineStr">
        <is>
          <t>Âm Nhạc</t>
        </is>
      </c>
      <c r="D301" s="47" t="inlineStr"/>
      <c r="E301" s="47" t="inlineStr"/>
      <c r="F301" s="48" t="inlineStr">
        <is>
          <t>Nghệ thuật (Âm nhạc)</t>
        </is>
      </c>
      <c r="G301" s="47" t="inlineStr">
        <is>
          <t>9A8</t>
        </is>
      </c>
      <c r="H301" s="47" t="inlineStr">
        <is>
          <t>9</t>
        </is>
      </c>
      <c r="I301" s="49" t="n">
        <v>1</v>
      </c>
      <c r="J301" s="48" t="inlineStr"/>
    </row>
    <row r="302">
      <c r="A302" s="50" t="n">
        <v>36</v>
      </c>
      <c r="B302" s="51" t="inlineStr">
        <is>
          <t>Nguyễn Thị Luyến</t>
        </is>
      </c>
      <c r="C302" s="50" t="inlineStr">
        <is>
          <t>Âm Nhạc</t>
        </is>
      </c>
      <c r="D302" s="50" t="inlineStr"/>
      <c r="E302" s="50" t="inlineStr"/>
      <c r="F302" s="51" t="inlineStr">
        <is>
          <t>Nghệ thuật (Âm nhạc)</t>
        </is>
      </c>
      <c r="G302" s="50" t="inlineStr">
        <is>
          <t>9A9</t>
        </is>
      </c>
      <c r="H302" s="50" t="inlineStr">
        <is>
          <t>9</t>
        </is>
      </c>
      <c r="I302" s="52" t="n">
        <v>1</v>
      </c>
      <c r="J302" s="51" t="inlineStr"/>
    </row>
    <row r="303">
      <c r="A303" s="47" t="n">
        <v>36</v>
      </c>
      <c r="B303" s="48" t="inlineStr">
        <is>
          <t>Nguyễn Thị Luyến</t>
        </is>
      </c>
      <c r="C303" s="47" t="inlineStr">
        <is>
          <t>Âm Nhạc</t>
        </is>
      </c>
      <c r="D303" s="47" t="inlineStr"/>
      <c r="E303" s="47" t="inlineStr"/>
      <c r="F303" s="48" t="inlineStr">
        <is>
          <t>Nghệ thuật (Âm nhạc)</t>
        </is>
      </c>
      <c r="G303" s="47" t="inlineStr">
        <is>
          <t>9A10</t>
        </is>
      </c>
      <c r="H303" s="47" t="inlineStr">
        <is>
          <t>9</t>
        </is>
      </c>
      <c r="I303" s="49" t="n">
        <v>1</v>
      </c>
      <c r="J303" s="48" t="inlineStr"/>
    </row>
    <row r="304">
      <c r="A304" s="50" t="n">
        <v>36</v>
      </c>
      <c r="B304" s="51" t="inlineStr">
        <is>
          <t>Nguyễn Thị Luyến</t>
        </is>
      </c>
      <c r="C304" s="50" t="inlineStr">
        <is>
          <t>Âm Nhạc</t>
        </is>
      </c>
      <c r="D304" s="50" t="inlineStr"/>
      <c r="E304" s="50" t="inlineStr"/>
      <c r="F304" s="51" t="inlineStr">
        <is>
          <t>Nghệ thuật (Âm nhạc)</t>
        </is>
      </c>
      <c r="G304" s="50" t="inlineStr">
        <is>
          <t>9A11</t>
        </is>
      </c>
      <c r="H304" s="50" t="inlineStr">
        <is>
          <t>9</t>
        </is>
      </c>
      <c r="I304" s="52" t="n">
        <v>1</v>
      </c>
      <c r="J304" s="51" t="inlineStr"/>
    </row>
    <row r="305">
      <c r="A305" s="47" t="n">
        <v>36</v>
      </c>
      <c r="B305" s="48" t="inlineStr">
        <is>
          <t>Nguyễn Thị Luyến</t>
        </is>
      </c>
      <c r="C305" s="47" t="inlineStr">
        <is>
          <t>Âm Nhạc</t>
        </is>
      </c>
      <c r="D305" s="47" t="inlineStr"/>
      <c r="E305" s="47" t="inlineStr"/>
      <c r="F305" s="48" t="inlineStr">
        <is>
          <t>Nghệ thuật (Âm nhạc)</t>
        </is>
      </c>
      <c r="G305" s="47" t="inlineStr">
        <is>
          <t>9A12</t>
        </is>
      </c>
      <c r="H305" s="47" t="inlineStr">
        <is>
          <t>9</t>
        </is>
      </c>
      <c r="I305" s="49" t="n">
        <v>1</v>
      </c>
      <c r="J305" s="48" t="inlineStr"/>
    </row>
    <row r="306">
      <c r="A306" s="50" t="n">
        <v>37</v>
      </c>
      <c r="B306" s="51" t="inlineStr">
        <is>
          <t>Nguyễn Đình Tiến</t>
        </is>
      </c>
      <c r="C306" s="50" t="inlineStr">
        <is>
          <t>Tiếng Anh</t>
        </is>
      </c>
      <c r="D306" s="50" t="inlineStr">
        <is>
          <t>GVCN</t>
        </is>
      </c>
      <c r="E306" s="50" t="inlineStr">
        <is>
          <t>9A8</t>
        </is>
      </c>
      <c r="F306" s="51" t="inlineStr">
        <is>
          <t>Tiếng Anh</t>
        </is>
      </c>
      <c r="G306" s="50" t="inlineStr">
        <is>
          <t>9A8</t>
        </is>
      </c>
      <c r="H306" s="50" t="inlineStr">
        <is>
          <t>9</t>
        </is>
      </c>
      <c r="I306" s="52" t="n">
        <v>3</v>
      </c>
      <c r="J306" s="51" t="inlineStr"/>
    </row>
    <row r="307">
      <c r="A307" s="47" t="n">
        <v>37</v>
      </c>
      <c r="B307" s="48" t="inlineStr">
        <is>
          <t>Nguyễn Đình Tiến</t>
        </is>
      </c>
      <c r="C307" s="47" t="inlineStr">
        <is>
          <t>Tiếng Anh</t>
        </is>
      </c>
      <c r="D307" s="47" t="inlineStr">
        <is>
          <t>GVCN</t>
        </is>
      </c>
      <c r="E307" s="47" t="inlineStr">
        <is>
          <t>9A8</t>
        </is>
      </c>
      <c r="F307" s="48" t="inlineStr">
        <is>
          <t>Tiếng Anh</t>
        </is>
      </c>
      <c r="G307" s="47" t="inlineStr">
        <is>
          <t>9A9</t>
        </is>
      </c>
      <c r="H307" s="47" t="inlineStr">
        <is>
          <t>9</t>
        </is>
      </c>
      <c r="I307" s="49" t="n">
        <v>3</v>
      </c>
      <c r="J307" s="48" t="inlineStr"/>
    </row>
    <row r="308">
      <c r="A308" s="50" t="n">
        <v>37</v>
      </c>
      <c r="B308" s="51" t="inlineStr">
        <is>
          <t>Nguyễn Đình Tiến</t>
        </is>
      </c>
      <c r="C308" s="50" t="inlineStr">
        <is>
          <t>Tiếng Anh</t>
        </is>
      </c>
      <c r="D308" s="50" t="inlineStr">
        <is>
          <t>GVCN</t>
        </is>
      </c>
      <c r="E308" s="50" t="inlineStr">
        <is>
          <t>9A8</t>
        </is>
      </c>
      <c r="F308" s="51" t="inlineStr">
        <is>
          <t>Tiếng Anh</t>
        </is>
      </c>
      <c r="G308" s="50" t="inlineStr">
        <is>
          <t>7A7</t>
        </is>
      </c>
      <c r="H308" s="50" t="inlineStr">
        <is>
          <t>7</t>
        </is>
      </c>
      <c r="I308" s="52" t="n">
        <v>3</v>
      </c>
      <c r="J308" s="51" t="inlineStr"/>
    </row>
    <row r="309">
      <c r="A309" s="47" t="n">
        <v>37</v>
      </c>
      <c r="B309" s="48" t="inlineStr">
        <is>
          <t>Nguyễn Đình Tiến</t>
        </is>
      </c>
      <c r="C309" s="47" t="inlineStr">
        <is>
          <t>Tiếng Anh</t>
        </is>
      </c>
      <c r="D309" s="47" t="inlineStr">
        <is>
          <t>GVCN</t>
        </is>
      </c>
      <c r="E309" s="47" t="inlineStr">
        <is>
          <t>9A8</t>
        </is>
      </c>
      <c r="F309" s="48" t="inlineStr">
        <is>
          <t>Tiếng Anh</t>
        </is>
      </c>
      <c r="G309" s="47" t="inlineStr">
        <is>
          <t>7A8</t>
        </is>
      </c>
      <c r="H309" s="47" t="inlineStr">
        <is>
          <t>7</t>
        </is>
      </c>
      <c r="I309" s="49" t="n">
        <v>3</v>
      </c>
      <c r="J309" s="48" t="inlineStr"/>
    </row>
    <row r="310">
      <c r="A310" s="50" t="n">
        <v>37</v>
      </c>
      <c r="B310" s="51" t="inlineStr">
        <is>
          <t>Nguyễn Đình Tiến</t>
        </is>
      </c>
      <c r="C310" s="50" t="inlineStr">
        <is>
          <t>Tiếng Anh</t>
        </is>
      </c>
      <c r="D310" s="50" t="inlineStr">
        <is>
          <t>GVCN</t>
        </is>
      </c>
      <c r="E310" s="50" t="inlineStr">
        <is>
          <t>9A8</t>
        </is>
      </c>
      <c r="F310" s="51" t="inlineStr">
        <is>
          <t>Tiếng Anh</t>
        </is>
      </c>
      <c r="G310" s="50" t="inlineStr">
        <is>
          <t>7A9</t>
        </is>
      </c>
      <c r="H310" s="50" t="inlineStr">
        <is>
          <t>7</t>
        </is>
      </c>
      <c r="I310" s="52" t="n">
        <v>3</v>
      </c>
      <c r="J310" s="51" t="inlineStr"/>
    </row>
    <row r="311">
      <c r="A311" s="47" t="n">
        <v>38</v>
      </c>
      <c r="B311" s="48" t="inlineStr">
        <is>
          <t>Phan Thị Minh</t>
        </is>
      </c>
      <c r="C311" s="47" t="inlineStr">
        <is>
          <t>Tiếng Anh</t>
        </is>
      </c>
      <c r="D311" s="47" t="inlineStr">
        <is>
          <t>Tổ phó</t>
        </is>
      </c>
      <c r="E311" s="47" t="inlineStr">
        <is>
          <t>6A9</t>
        </is>
      </c>
      <c r="F311" s="48" t="inlineStr">
        <is>
          <t>Tiếng Anh</t>
        </is>
      </c>
      <c r="G311" s="47" t="inlineStr">
        <is>
          <t>6A9</t>
        </is>
      </c>
      <c r="H311" s="47" t="inlineStr">
        <is>
          <t>6</t>
        </is>
      </c>
      <c r="I311" s="49" t="n">
        <v>3</v>
      </c>
      <c r="J311" s="48" t="inlineStr"/>
    </row>
    <row r="312">
      <c r="A312" s="50" t="n">
        <v>38</v>
      </c>
      <c r="B312" s="51" t="inlineStr">
        <is>
          <t>Phan Thị Minh</t>
        </is>
      </c>
      <c r="C312" s="50" t="inlineStr">
        <is>
          <t>Tiếng Anh</t>
        </is>
      </c>
      <c r="D312" s="50" t="inlineStr">
        <is>
          <t>Tổ phó</t>
        </is>
      </c>
      <c r="E312" s="50" t="inlineStr">
        <is>
          <t>6A9</t>
        </is>
      </c>
      <c r="F312" s="51" t="inlineStr">
        <is>
          <t>Tiếng Anh</t>
        </is>
      </c>
      <c r="G312" s="50" t="inlineStr">
        <is>
          <t>6A10</t>
        </is>
      </c>
      <c r="H312" s="50" t="inlineStr">
        <is>
          <t>6</t>
        </is>
      </c>
      <c r="I312" s="52" t="n">
        <v>3</v>
      </c>
      <c r="J312" s="51" t="inlineStr"/>
    </row>
    <row r="313">
      <c r="A313" s="47" t="n">
        <v>38</v>
      </c>
      <c r="B313" s="48" t="inlineStr">
        <is>
          <t>Phan Thị Minh</t>
        </is>
      </c>
      <c r="C313" s="47" t="inlineStr">
        <is>
          <t>Tiếng Anh</t>
        </is>
      </c>
      <c r="D313" s="47" t="inlineStr">
        <is>
          <t>Tổ phó</t>
        </is>
      </c>
      <c r="E313" s="47" t="inlineStr">
        <is>
          <t>6A9</t>
        </is>
      </c>
      <c r="F313" s="48" t="inlineStr">
        <is>
          <t>Tiếng Anh</t>
        </is>
      </c>
      <c r="G313" s="47" t="inlineStr">
        <is>
          <t>9A10</t>
        </is>
      </c>
      <c r="H313" s="47" t="inlineStr">
        <is>
          <t>9</t>
        </is>
      </c>
      <c r="I313" s="49" t="n">
        <v>3</v>
      </c>
      <c r="J313" s="48" t="inlineStr"/>
    </row>
    <row r="314">
      <c r="A314" s="50" t="n">
        <v>38</v>
      </c>
      <c r="B314" s="51" t="inlineStr">
        <is>
          <t>Phan Thị Minh</t>
        </is>
      </c>
      <c r="C314" s="50" t="inlineStr">
        <is>
          <t>Tiếng Anh</t>
        </is>
      </c>
      <c r="D314" s="50" t="inlineStr">
        <is>
          <t>Tổ phó</t>
        </is>
      </c>
      <c r="E314" s="50" t="inlineStr">
        <is>
          <t>6A9</t>
        </is>
      </c>
      <c r="F314" s="51" t="inlineStr">
        <is>
          <t>Tiếng Anh</t>
        </is>
      </c>
      <c r="G314" s="50" t="inlineStr">
        <is>
          <t>9A11</t>
        </is>
      </c>
      <c r="H314" s="50" t="inlineStr">
        <is>
          <t>9</t>
        </is>
      </c>
      <c r="I314" s="52" t="n">
        <v>3</v>
      </c>
      <c r="J314" s="51" t="inlineStr"/>
    </row>
    <row r="315">
      <c r="A315" s="47" t="n">
        <v>38</v>
      </c>
      <c r="B315" s="48" t="inlineStr">
        <is>
          <t>Phan Thị Minh</t>
        </is>
      </c>
      <c r="C315" s="47" t="inlineStr">
        <is>
          <t>Tiếng Anh</t>
        </is>
      </c>
      <c r="D315" s="47" t="inlineStr">
        <is>
          <t>Tổ phó</t>
        </is>
      </c>
      <c r="E315" s="47" t="inlineStr">
        <is>
          <t>6A9</t>
        </is>
      </c>
      <c r="F315" s="48" t="inlineStr">
        <is>
          <t>Hoạt động trải nghiệm, hướng nghiệp</t>
        </is>
      </c>
      <c r="G315" s="47" t="inlineStr">
        <is>
          <t>6A9</t>
        </is>
      </c>
      <c r="H315" s="47" t="inlineStr">
        <is>
          <t>6</t>
        </is>
      </c>
      <c r="I315" s="49" t="n">
        <v>3</v>
      </c>
      <c r="J315" s="48" t="inlineStr"/>
    </row>
    <row r="316">
      <c r="A316" s="50" t="n">
        <v>39</v>
      </c>
      <c r="B316" s="51" t="inlineStr">
        <is>
          <t>Trần Đức Ngân</t>
        </is>
      </c>
      <c r="C316" s="50" t="inlineStr">
        <is>
          <t>Tiếng Anh</t>
        </is>
      </c>
      <c r="D316" s="50" t="inlineStr">
        <is>
          <t>GVCN</t>
        </is>
      </c>
      <c r="E316" s="50" t="inlineStr">
        <is>
          <t>8A11</t>
        </is>
      </c>
      <c r="F316" s="51" t="inlineStr">
        <is>
          <t>Tiếng Anh</t>
        </is>
      </c>
      <c r="G316" s="50" t="inlineStr">
        <is>
          <t>8A7</t>
        </is>
      </c>
      <c r="H316" s="50" t="inlineStr">
        <is>
          <t>8</t>
        </is>
      </c>
      <c r="I316" s="52" t="n">
        <v>3</v>
      </c>
      <c r="J316" s="51" t="inlineStr"/>
    </row>
    <row r="317">
      <c r="A317" s="47" t="n">
        <v>39</v>
      </c>
      <c r="B317" s="48" t="inlineStr">
        <is>
          <t>Trần Đức Ngân</t>
        </is>
      </c>
      <c r="C317" s="47" t="inlineStr">
        <is>
          <t>Tiếng Anh</t>
        </is>
      </c>
      <c r="D317" s="47" t="inlineStr">
        <is>
          <t>GVCN</t>
        </is>
      </c>
      <c r="E317" s="47" t="inlineStr">
        <is>
          <t>8A11</t>
        </is>
      </c>
      <c r="F317" s="48" t="inlineStr">
        <is>
          <t>Tiếng Anh</t>
        </is>
      </c>
      <c r="G317" s="47" t="inlineStr">
        <is>
          <t>8A9</t>
        </is>
      </c>
      <c r="H317" s="47" t="inlineStr">
        <is>
          <t>8</t>
        </is>
      </c>
      <c r="I317" s="49" t="n">
        <v>3</v>
      </c>
      <c r="J317" s="48" t="inlineStr"/>
    </row>
    <row r="318">
      <c r="A318" s="50" t="n">
        <v>39</v>
      </c>
      <c r="B318" s="51" t="inlineStr">
        <is>
          <t>Trần Đức Ngân</t>
        </is>
      </c>
      <c r="C318" s="50" t="inlineStr">
        <is>
          <t>Tiếng Anh</t>
        </is>
      </c>
      <c r="D318" s="50" t="inlineStr">
        <is>
          <t>GVCN</t>
        </is>
      </c>
      <c r="E318" s="50" t="inlineStr">
        <is>
          <t>8A11</t>
        </is>
      </c>
      <c r="F318" s="51" t="inlineStr">
        <is>
          <t>Tiếng Anh</t>
        </is>
      </c>
      <c r="G318" s="50" t="inlineStr">
        <is>
          <t>8A10</t>
        </is>
      </c>
      <c r="H318" s="50" t="inlineStr">
        <is>
          <t>8</t>
        </is>
      </c>
      <c r="I318" s="52" t="n">
        <v>3</v>
      </c>
      <c r="J318" s="51" t="inlineStr"/>
    </row>
    <row r="319">
      <c r="A319" s="47" t="n">
        <v>39</v>
      </c>
      <c r="B319" s="48" t="inlineStr">
        <is>
          <t>Trần Đức Ngân</t>
        </is>
      </c>
      <c r="C319" s="47" t="inlineStr">
        <is>
          <t>Tiếng Anh</t>
        </is>
      </c>
      <c r="D319" s="47" t="inlineStr">
        <is>
          <t>GVCN</t>
        </is>
      </c>
      <c r="E319" s="47" t="inlineStr">
        <is>
          <t>8A11</t>
        </is>
      </c>
      <c r="F319" s="48" t="inlineStr">
        <is>
          <t>Tiếng Anh</t>
        </is>
      </c>
      <c r="G319" s="47" t="inlineStr">
        <is>
          <t>8A11</t>
        </is>
      </c>
      <c r="H319" s="47" t="inlineStr">
        <is>
          <t>8</t>
        </is>
      </c>
      <c r="I319" s="49" t="n">
        <v>3</v>
      </c>
      <c r="J319" s="48" t="inlineStr"/>
    </row>
    <row r="320">
      <c r="A320" s="50" t="n">
        <v>39</v>
      </c>
      <c r="B320" s="51" t="inlineStr">
        <is>
          <t>Trần Đức Ngân</t>
        </is>
      </c>
      <c r="C320" s="50" t="inlineStr">
        <is>
          <t>Tiếng Anh</t>
        </is>
      </c>
      <c r="D320" s="50" t="inlineStr">
        <is>
          <t>GVCN</t>
        </is>
      </c>
      <c r="E320" s="50" t="inlineStr">
        <is>
          <t>8A11</t>
        </is>
      </c>
      <c r="F320" s="51" t="inlineStr">
        <is>
          <t>Tiếng Anh</t>
        </is>
      </c>
      <c r="G320" s="50" t="inlineStr">
        <is>
          <t>9A12</t>
        </is>
      </c>
      <c r="H320" s="50" t="inlineStr">
        <is>
          <t>9</t>
        </is>
      </c>
      <c r="I320" s="52" t="n">
        <v>3</v>
      </c>
      <c r="J320" s="51" t="inlineStr"/>
    </row>
    <row r="321">
      <c r="A321" s="47" t="n">
        <v>39</v>
      </c>
      <c r="B321" s="48" t="inlineStr">
        <is>
          <t>Trần Đức Ngân</t>
        </is>
      </c>
      <c r="C321" s="47" t="inlineStr">
        <is>
          <t>Tiếng Anh</t>
        </is>
      </c>
      <c r="D321" s="47" t="inlineStr">
        <is>
          <t>GVCN</t>
        </is>
      </c>
      <c r="E321" s="47" t="inlineStr">
        <is>
          <t>8A11</t>
        </is>
      </c>
      <c r="F321" s="48" t="inlineStr">
        <is>
          <t>Hoạt động trải nghiệm, hướng nghiệp</t>
        </is>
      </c>
      <c r="G321" s="47" t="inlineStr">
        <is>
          <t>8A11</t>
        </is>
      </c>
      <c r="H321" s="47" t="inlineStr">
        <is>
          <t>8</t>
        </is>
      </c>
      <c r="I321" s="49" t="n">
        <v>2</v>
      </c>
      <c r="J321" s="48" t="inlineStr">
        <is>
          <t>Dạy 2 tiết HĐTN 8A11 (Cô Hiền dạy 1t)</t>
        </is>
      </c>
    </row>
    <row r="322">
      <c r="A322" s="50" t="n">
        <v>40</v>
      </c>
      <c r="B322" s="51" t="inlineStr">
        <is>
          <t>Nguyễn Thị Hồng Minh</t>
        </is>
      </c>
      <c r="C322" s="50" t="inlineStr">
        <is>
          <t>Tiếng Anh</t>
        </is>
      </c>
      <c r="D322" s="50" t="inlineStr">
        <is>
          <t>HĐ235</t>
        </is>
      </c>
      <c r="E322" s="50" t="inlineStr"/>
      <c r="F322" s="51" t="inlineStr">
        <is>
          <t>Tiếng Anh</t>
        </is>
      </c>
      <c r="G322" s="50" t="inlineStr">
        <is>
          <t>8A8</t>
        </is>
      </c>
      <c r="H322" s="50" t="inlineStr">
        <is>
          <t>8</t>
        </is>
      </c>
      <c r="I322" s="52" t="n">
        <v>3</v>
      </c>
      <c r="J322" s="51" t="inlineStr"/>
    </row>
    <row r="323">
      <c r="A323" s="47" t="n">
        <v>40</v>
      </c>
      <c r="B323" s="48" t="inlineStr">
        <is>
          <t>Nguyễn Thị Hồng Minh</t>
        </is>
      </c>
      <c r="C323" s="47" t="inlineStr">
        <is>
          <t>Tiếng Anh</t>
        </is>
      </c>
      <c r="D323" s="47" t="inlineStr">
        <is>
          <t>HĐ235</t>
        </is>
      </c>
      <c r="E323" s="47" t="inlineStr"/>
      <c r="F323" s="48" t="inlineStr">
        <is>
          <t>Tiếng Anh</t>
        </is>
      </c>
      <c r="G323" s="47" t="inlineStr">
        <is>
          <t>6A7</t>
        </is>
      </c>
      <c r="H323" s="47" t="inlineStr">
        <is>
          <t>6</t>
        </is>
      </c>
      <c r="I323" s="49" t="n">
        <v>2</v>
      </c>
      <c r="J323" s="48" t="inlineStr">
        <is>
          <t>Dạy 2 tiết TA 6A7 (Cô Sa dạy 1t)</t>
        </is>
      </c>
    </row>
    <row r="324">
      <c r="A324" s="50" t="n">
        <v>40</v>
      </c>
      <c r="B324" s="51" t="inlineStr">
        <is>
          <t>Nguyễn Thị Hồng Minh</t>
        </is>
      </c>
      <c r="C324" s="50" t="inlineStr">
        <is>
          <t>Tiếng Anh</t>
        </is>
      </c>
      <c r="D324" s="50" t="inlineStr">
        <is>
          <t>HĐ235</t>
        </is>
      </c>
      <c r="E324" s="50" t="inlineStr"/>
      <c r="F324" s="51" t="inlineStr">
        <is>
          <t>Tiếng Anh</t>
        </is>
      </c>
      <c r="G324" s="50" t="inlineStr">
        <is>
          <t>6A8</t>
        </is>
      </c>
      <c r="H324" s="50" t="inlineStr">
        <is>
          <t>6</t>
        </is>
      </c>
      <c r="I324" s="52" t="n">
        <v>2</v>
      </c>
      <c r="J324" s="51" t="inlineStr">
        <is>
          <t>Dạy 2 tiết TA 6A8 (Cô Sa dạy 1t)</t>
        </is>
      </c>
    </row>
    <row r="325">
      <c r="A325" s="47" t="n">
        <v>40</v>
      </c>
      <c r="B325" s="48" t="inlineStr">
        <is>
          <t>Nguyễn Thị Hồng Minh</t>
        </is>
      </c>
      <c r="C325" s="47" t="inlineStr">
        <is>
          <t>Tiếng Anh</t>
        </is>
      </c>
      <c r="D325" s="47" t="inlineStr">
        <is>
          <t>HĐ235</t>
        </is>
      </c>
      <c r="E325" s="47" t="inlineStr"/>
      <c r="F325" s="48" t="inlineStr">
        <is>
          <t>Tiếng Anh</t>
        </is>
      </c>
      <c r="G325" s="47" t="inlineStr">
        <is>
          <t>6A11</t>
        </is>
      </c>
      <c r="H325" s="47" t="inlineStr">
        <is>
          <t>6</t>
        </is>
      </c>
      <c r="I325" s="49" t="n">
        <v>3</v>
      </c>
      <c r="J325" s="48" t="inlineStr"/>
    </row>
    <row r="326">
      <c r="A326" s="50" t="n">
        <v>40</v>
      </c>
      <c r="B326" s="51" t="inlineStr">
        <is>
          <t>Nguyễn Thị Hồng Minh</t>
        </is>
      </c>
      <c r="C326" s="50" t="inlineStr">
        <is>
          <t>Tiếng Anh</t>
        </is>
      </c>
      <c r="D326" s="50" t="inlineStr">
        <is>
          <t>HĐ235</t>
        </is>
      </c>
      <c r="E326" s="50" t="inlineStr"/>
      <c r="F326" s="51" t="inlineStr">
        <is>
          <t>Tiếng Anh</t>
        </is>
      </c>
      <c r="G326" s="50" t="inlineStr">
        <is>
          <t>7A10</t>
        </is>
      </c>
      <c r="H326" s="50" t="inlineStr">
        <is>
          <t>7</t>
        </is>
      </c>
      <c r="I326" s="52" t="n">
        <v>3</v>
      </c>
      <c r="J326" s="51" t="inlineStr"/>
    </row>
    <row r="327">
      <c r="A327" s="47" t="n">
        <v>40</v>
      </c>
      <c r="B327" s="48" t="inlineStr">
        <is>
          <t>Nguyễn Thị Hồng Minh</t>
        </is>
      </c>
      <c r="C327" s="47" t="inlineStr">
        <is>
          <t>Tiếng Anh</t>
        </is>
      </c>
      <c r="D327" s="47" t="inlineStr">
        <is>
          <t>HĐ235</t>
        </is>
      </c>
      <c r="E327" s="47" t="inlineStr"/>
      <c r="F327" s="48" t="inlineStr">
        <is>
          <t>Tiếng Anh</t>
        </is>
      </c>
      <c r="G327" s="47" t="inlineStr">
        <is>
          <t>7A11</t>
        </is>
      </c>
      <c r="H327" s="47" t="inlineStr">
        <is>
          <t>7</t>
        </is>
      </c>
      <c r="I327" s="49" t="n">
        <v>3</v>
      </c>
      <c r="J327" s="48" t="inlineStr"/>
    </row>
    <row r="328">
      <c r="A328" s="50" t="n">
        <v>40</v>
      </c>
      <c r="B328" s="51" t="inlineStr">
        <is>
          <t>Nguyễn Thị Hồng Minh</t>
        </is>
      </c>
      <c r="C328" s="50" t="inlineStr">
        <is>
          <t>Tiếng Anh</t>
        </is>
      </c>
      <c r="D328" s="50" t="inlineStr">
        <is>
          <t>HĐ235</t>
        </is>
      </c>
      <c r="E328" s="50" t="inlineStr"/>
      <c r="F328" s="51" t="inlineStr">
        <is>
          <t>Hoạt động trải nghiệm, hướng nghiệp</t>
        </is>
      </c>
      <c r="G328" s="50" t="inlineStr">
        <is>
          <t>7A9</t>
        </is>
      </c>
      <c r="H328" s="50" t="inlineStr">
        <is>
          <t>7</t>
        </is>
      </c>
      <c r="I328" s="52" t="n">
        <v>3</v>
      </c>
      <c r="J328" s="51" t="inlineStr"/>
    </row>
    <row r="329">
      <c r="A329" s="47" t="n">
        <v>41</v>
      </c>
      <c r="B329" s="48" t="inlineStr">
        <is>
          <t>Bàng Như Quỳnh</t>
        </is>
      </c>
      <c r="C329" s="47" t="inlineStr">
        <is>
          <t>Tiếng Anh</t>
        </is>
      </c>
      <c r="D329" s="47" t="inlineStr">
        <is>
          <t>Trường chính</t>
        </is>
      </c>
      <c r="E329" s="47" t="inlineStr"/>
      <c r="F329" s="48" t="inlineStr">
        <is>
          <t>Công nghệ</t>
        </is>
      </c>
      <c r="G329" s="47" t="inlineStr">
        <is>
          <t>6A11</t>
        </is>
      </c>
      <c r="H329" s="47" t="inlineStr">
        <is>
          <t>6</t>
        </is>
      </c>
      <c r="I329" s="49" t="n">
        <v>1</v>
      </c>
      <c r="J329" s="48" t="inlineStr">
        <is>
          <t>Trường chính</t>
        </is>
      </c>
    </row>
    <row r="330">
      <c r="A330" s="53" t="inlineStr">
        <is>
          <t>TỔNG</t>
        </is>
      </c>
      <c r="B330" s="54" t="n"/>
      <c r="C330" s="54" t="n"/>
      <c r="D330" s="54" t="n"/>
      <c r="E330" s="54" t="n"/>
      <c r="F330" s="54" t="n"/>
      <c r="G330" s="54" t="n"/>
      <c r="H330" s="54" t="n"/>
      <c r="I330" s="55">
        <f>SUM(I5:I329)</f>
        <v/>
      </c>
      <c r="J330" s="5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16" customWidth="1" min="3" max="3"/>
    <col width="10" customWidth="1" min="4" max="4"/>
    <col width="10" customWidth="1" min="5" max="5"/>
    <col width="18" customWidth="1" min="6" max="6"/>
    <col width="14" customWidth="1" min="7" max="7"/>
    <col width="38" customWidth="1" min="8" max="8"/>
    <col width="10" customWidth="1" min="9" max="9"/>
    <col width="38" customWidth="1" min="10" max="10"/>
    <col width="10" customWidth="1" min="11" max="11"/>
    <col width="38" customWidth="1" min="12" max="12"/>
    <col width="10" customWidth="1" min="13" max="13"/>
    <col width="38" customWidth="1" min="14" max="14"/>
    <col width="10" customWidth="1" min="15" max="15"/>
    <col width="12" customWidth="1" min="16" max="16"/>
    <col width="10" customWidth="1" min="17" max="17"/>
    <col width="14" customWidth="1" min="18" max="18"/>
    <col width="10" customWidth="1" min="19" max="19"/>
    <col width="11" customWidth="1" min="20" max="20"/>
    <col width="10" customWidth="1" min="21" max="21"/>
    <col width="21" customWidth="1" min="22" max="22"/>
  </cols>
  <sheetData>
    <row r="1">
      <c r="A1" s="56" t="inlineStr">
        <is>
          <t>UBND PHƯỜNG PHỔ YÊN</t>
        </is>
      </c>
      <c r="H1" s="57" t="inlineStr">
        <is>
          <t>PHÂN CÔNG CHUYÊN MÔN HỌC KỲ I NĂM HỌC 2026-2027</t>
        </is>
      </c>
    </row>
    <row r="2">
      <c r="A2" s="58" t="inlineStr">
        <is>
          <t>TRƯỜNG THCS ĐỖ CẬN - PHÂN HIỆU</t>
        </is>
      </c>
      <c r="H2" s="45" t="inlineStr">
        <is>
          <t>Thực hiện từ 7/9/2026</t>
        </is>
      </c>
    </row>
    <row r="3"/>
    <row r="4">
      <c r="A4" s="46" t="inlineStr">
        <is>
          <t>STT</t>
        </is>
      </c>
      <c r="B4" s="46" t="inlineStr">
        <is>
          <t>Họ và tên giáo viên</t>
        </is>
      </c>
      <c r="C4" s="46" t="inlineStr">
        <is>
          <t>Chuyên môn</t>
        </is>
      </c>
      <c r="D4" s="46" t="inlineStr">
        <is>
          <t>CN Lớp</t>
        </is>
      </c>
      <c r="E4" s="46" t="inlineStr">
        <is>
          <t>CN S.t</t>
        </is>
      </c>
      <c r="F4" s="46" t="inlineStr">
        <is>
          <t>K.nhiệm khác</t>
        </is>
      </c>
      <c r="G4" s="46" t="inlineStr">
        <is>
          <t>K.nhiệm S.t</t>
        </is>
      </c>
      <c r="H4" s="46" t="inlineStr">
        <is>
          <t>Dạy môn 1</t>
        </is>
      </c>
      <c r="I4" s="46" t="inlineStr">
        <is>
          <t>S.t 1</t>
        </is>
      </c>
      <c r="J4" s="46" t="inlineStr">
        <is>
          <t>Dạy môn 2</t>
        </is>
      </c>
      <c r="K4" s="46" t="inlineStr">
        <is>
          <t>S.t 2</t>
        </is>
      </c>
      <c r="L4" s="46" t="inlineStr">
        <is>
          <t>Dạy môn 3</t>
        </is>
      </c>
      <c r="M4" s="46" t="inlineStr">
        <is>
          <t>S.t 3</t>
        </is>
      </c>
      <c r="N4" s="46" t="inlineStr">
        <is>
          <t>Dạy môn 4</t>
        </is>
      </c>
      <c r="O4" s="46" t="inlineStr">
        <is>
          <t>S.t 4</t>
        </is>
      </c>
      <c r="P4" s="46" t="inlineStr">
        <is>
          <t>Dạy môn 5</t>
        </is>
      </c>
      <c r="Q4" s="46" t="inlineStr">
        <is>
          <t>S.t 5</t>
        </is>
      </c>
      <c r="R4" s="46" t="inlineStr">
        <is>
          <t>BDHSG / CLB</t>
        </is>
      </c>
      <c r="S4" s="46" t="inlineStr">
        <is>
          <t>S.t BD</t>
        </is>
      </c>
      <c r="T4" s="46" t="inlineStr">
        <is>
          <t>Thực dạy</t>
        </is>
      </c>
      <c r="U4" s="46" t="inlineStr">
        <is>
          <t>Tổng</t>
        </is>
      </c>
      <c r="V4" s="46" t="inlineStr">
        <is>
          <t>Thừa (+)/Thiếu (-)</t>
        </is>
      </c>
    </row>
    <row r="5">
      <c r="A5" s="50" t="n">
        <v>1</v>
      </c>
      <c r="B5" s="51" t="inlineStr">
        <is>
          <t>Đỗ Thị Sa</t>
        </is>
      </c>
      <c r="C5" s="50" t="inlineStr">
        <is>
          <t>Tiếng Anh</t>
        </is>
      </c>
      <c r="D5" s="50" t="inlineStr"/>
      <c r="E5" s="50" t="inlineStr"/>
      <c r="F5" s="50" t="inlineStr">
        <is>
          <t>Hiệu trưởng</t>
        </is>
      </c>
      <c r="G5" s="50" t="n">
        <v>17</v>
      </c>
      <c r="H5" s="51" t="inlineStr">
        <is>
          <t>Tiếng Anh 6A7,6A8</t>
        </is>
      </c>
      <c r="I5" s="50" t="n">
        <v>2</v>
      </c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2" t="n">
        <v>2</v>
      </c>
      <c r="U5" s="52" t="n">
        <v>2</v>
      </c>
      <c r="V5" s="52" t="inlineStr"/>
    </row>
    <row r="6">
      <c r="A6" s="47" t="n">
        <v>2</v>
      </c>
      <c r="B6" s="48" t="inlineStr">
        <is>
          <t>Đoàn Tiến Quân</t>
        </is>
      </c>
      <c r="C6" s="47" t="inlineStr">
        <is>
          <t>Sinh-Kỹ</t>
        </is>
      </c>
      <c r="D6" s="47" t="inlineStr"/>
      <c r="E6" s="47" t="inlineStr"/>
      <c r="F6" s="47" t="inlineStr">
        <is>
          <t>Phó hiệu trưởng</t>
        </is>
      </c>
      <c r="G6" s="47" t="n">
        <v>15</v>
      </c>
      <c r="H6" s="48" t="inlineStr">
        <is>
          <t>Khoa học tự nhiên (Sinh học) 7A7</t>
        </is>
      </c>
      <c r="I6" s="47" t="n">
        <v>2</v>
      </c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49" t="n">
        <v>2</v>
      </c>
      <c r="U6" s="49" t="n">
        <v>2</v>
      </c>
      <c r="V6" s="49" t="inlineStr"/>
    </row>
    <row r="7">
      <c r="A7" s="50" t="n">
        <v>3</v>
      </c>
      <c r="B7" s="51" t="inlineStr">
        <is>
          <t>Phan Thị Thùy Linh</t>
        </is>
      </c>
      <c r="C7" s="50" t="inlineStr">
        <is>
          <t>Văn-Sử</t>
        </is>
      </c>
      <c r="D7" s="50" t="inlineStr">
        <is>
          <t>8A7</t>
        </is>
      </c>
      <c r="E7" s="50" t="n">
        <v>4</v>
      </c>
      <c r="F7" s="50" t="inlineStr">
        <is>
          <t>Tổ trưởng</t>
        </is>
      </c>
      <c r="G7" s="50" t="n">
        <v>3</v>
      </c>
      <c r="H7" s="51" t="inlineStr">
        <is>
          <t>Ngữ văn 8A7,9A9</t>
        </is>
      </c>
      <c r="I7" s="50" t="n">
        <v>8</v>
      </c>
      <c r="J7" s="51" t="inlineStr">
        <is>
          <t>Nội dung giáo dục của địa phương 6A7</t>
        </is>
      </c>
      <c r="K7" s="50" t="n">
        <v>2</v>
      </c>
      <c r="L7" s="59" t="n"/>
      <c r="M7" s="59" t="n"/>
      <c r="N7" s="59" t="n"/>
      <c r="O7" s="59" t="n"/>
      <c r="P7" s="59" t="n"/>
      <c r="Q7" s="59" t="n"/>
      <c r="R7" s="51" t="inlineStr">
        <is>
          <t>BDHSG Văn</t>
        </is>
      </c>
      <c r="S7" s="50" t="n">
        <v>2</v>
      </c>
      <c r="T7" s="52" t="n">
        <v>12</v>
      </c>
      <c r="U7" s="52" t="n">
        <v>19</v>
      </c>
      <c r="V7" s="52" t="n">
        <v>0</v>
      </c>
    </row>
    <row r="8">
      <c r="A8" s="47" t="n">
        <v>4</v>
      </c>
      <c r="B8" s="48" t="inlineStr">
        <is>
          <t>Nguyễn Thị Thu Hương</t>
        </is>
      </c>
      <c r="C8" s="47" t="inlineStr">
        <is>
          <t>Văn-Sử</t>
        </is>
      </c>
      <c r="D8" s="47" t="inlineStr">
        <is>
          <t>8A9</t>
        </is>
      </c>
      <c r="E8" s="47" t="n">
        <v>4</v>
      </c>
      <c r="F8" s="47" t="inlineStr"/>
      <c r="G8" s="47" t="inlineStr"/>
      <c r="H8" s="48" t="inlineStr">
        <is>
          <t>Ngữ văn 8A9,9A11</t>
        </is>
      </c>
      <c r="I8" s="47" t="n">
        <v>8</v>
      </c>
      <c r="J8" s="48" t="inlineStr">
        <is>
          <t>Lịch sử và Địa Lý (Lịch sử) 7A9,7A10,6A7,6A8,6A9,6A10,6A11</t>
        </is>
      </c>
      <c r="K8" s="47" t="n">
        <v>9</v>
      </c>
      <c r="L8" s="60" t="n"/>
      <c r="M8" s="60" t="n"/>
      <c r="N8" s="60" t="n"/>
      <c r="O8" s="60" t="n"/>
      <c r="P8" s="60" t="n"/>
      <c r="Q8" s="60" t="n"/>
      <c r="R8" s="60" t="n"/>
      <c r="S8" s="60" t="n"/>
      <c r="T8" s="49" t="n">
        <v>17</v>
      </c>
      <c r="U8" s="49" t="n">
        <v>21</v>
      </c>
      <c r="V8" s="49" t="n">
        <v>2</v>
      </c>
    </row>
    <row r="9">
      <c r="A9" s="50" t="n">
        <v>5</v>
      </c>
      <c r="B9" s="51" t="inlineStr">
        <is>
          <t>Đồng Thị Hiền</t>
        </is>
      </c>
      <c r="C9" s="50" t="inlineStr">
        <is>
          <t>Văn-Sử</t>
        </is>
      </c>
      <c r="D9" s="50" t="inlineStr">
        <is>
          <t>7A8</t>
        </is>
      </c>
      <c r="E9" s="50" t="n">
        <v>4</v>
      </c>
      <c r="F9" s="50" t="inlineStr"/>
      <c r="G9" s="50" t="inlineStr"/>
      <c r="H9" s="51" t="inlineStr">
        <is>
          <t>Ngữ văn 7A8,9A8</t>
        </is>
      </c>
      <c r="I9" s="50" t="n">
        <v>8</v>
      </c>
      <c r="J9" s="51" t="inlineStr">
        <is>
          <t>Lịch sử và Địa Lý (Lịch sử) 9A8,9A10</t>
        </is>
      </c>
      <c r="K9" s="50" t="n">
        <v>4</v>
      </c>
      <c r="L9" s="51" t="inlineStr">
        <is>
          <t>Nội dung giáo dục của địa phương 9A11,9A12</t>
        </is>
      </c>
      <c r="M9" s="50" t="n">
        <v>2</v>
      </c>
      <c r="N9" s="59" t="n"/>
      <c r="O9" s="59" t="n"/>
      <c r="P9" s="59" t="n"/>
      <c r="Q9" s="59" t="n"/>
      <c r="R9" s="51" t="inlineStr">
        <is>
          <t>BDHSG Sử</t>
        </is>
      </c>
      <c r="S9" s="50" t="n">
        <v>2</v>
      </c>
      <c r="T9" s="52" t="n">
        <v>16</v>
      </c>
      <c r="U9" s="52" t="n">
        <v>20</v>
      </c>
      <c r="V9" s="52" t="n">
        <v>1</v>
      </c>
    </row>
    <row r="10">
      <c r="A10" s="47" t="n">
        <v>6</v>
      </c>
      <c r="B10" s="48" t="inlineStr">
        <is>
          <t>Hoàng Thị Phương Duyên</t>
        </is>
      </c>
      <c r="C10" s="47" t="inlineStr">
        <is>
          <t>Văn-Sử</t>
        </is>
      </c>
      <c r="D10" s="47" t="inlineStr">
        <is>
          <t>6A8</t>
        </is>
      </c>
      <c r="E10" s="47" t="n">
        <v>4</v>
      </c>
      <c r="F10" s="47" t="inlineStr"/>
      <c r="G10" s="47" t="inlineStr"/>
      <c r="H10" s="48" t="inlineStr">
        <is>
          <t>Ngữ văn 6A8,6A9,8A10</t>
        </is>
      </c>
      <c r="I10" s="47" t="n">
        <v>12</v>
      </c>
      <c r="J10" s="48" t="inlineStr">
        <is>
          <t>GDCD 9A8,9A9,9A10,9A11,9A12</t>
        </is>
      </c>
      <c r="K10" s="47" t="n">
        <v>5</v>
      </c>
      <c r="L10" s="60" t="n"/>
      <c r="M10" s="60" t="n"/>
      <c r="N10" s="60" t="n"/>
      <c r="O10" s="60" t="n"/>
      <c r="P10" s="60" t="n"/>
      <c r="Q10" s="60" t="n"/>
      <c r="R10" s="60" t="n"/>
      <c r="S10" s="60" t="n"/>
      <c r="T10" s="49" t="n">
        <v>17</v>
      </c>
      <c r="U10" s="49" t="n">
        <v>21</v>
      </c>
      <c r="V10" s="49" t="n">
        <v>2</v>
      </c>
    </row>
    <row r="11">
      <c r="A11" s="50" t="n">
        <v>7</v>
      </c>
      <c r="B11" s="51" t="inlineStr">
        <is>
          <t>Ngô Thị Xuân Hương</t>
        </is>
      </c>
      <c r="C11" s="50" t="inlineStr">
        <is>
          <t>Văn</t>
        </is>
      </c>
      <c r="D11" s="50" t="inlineStr">
        <is>
          <t>8A8</t>
        </is>
      </c>
      <c r="E11" s="50" t="n">
        <v>4</v>
      </c>
      <c r="F11" s="50" t="inlineStr"/>
      <c r="G11" s="50" t="inlineStr"/>
      <c r="H11" s="51" t="inlineStr">
        <is>
          <t>Ngữ văn 8A8,8A11,6A7</t>
        </is>
      </c>
      <c r="I11" s="50" t="n">
        <v>12</v>
      </c>
      <c r="J11" s="51" t="inlineStr">
        <is>
          <t>Nội dung giáo dục của địa phương 8A7,8A8,8A9,8A10,8A11</t>
        </is>
      </c>
      <c r="K11" s="50" t="n">
        <v>5</v>
      </c>
      <c r="L11" s="59" t="n"/>
      <c r="M11" s="59" t="n"/>
      <c r="N11" s="59" t="n"/>
      <c r="O11" s="59" t="n"/>
      <c r="P11" s="59" t="n"/>
      <c r="Q11" s="59" t="n"/>
      <c r="R11" s="59" t="n"/>
      <c r="S11" s="59" t="n"/>
      <c r="T11" s="52" t="n">
        <v>17</v>
      </c>
      <c r="U11" s="52" t="n">
        <v>21</v>
      </c>
      <c r="V11" s="52" t="n">
        <v>2</v>
      </c>
    </row>
    <row r="12">
      <c r="A12" s="47" t="n">
        <v>8</v>
      </c>
      <c r="B12" s="48" t="inlineStr">
        <is>
          <t>Bùi Thị Mỹ Hạnh</t>
        </is>
      </c>
      <c r="C12" s="47" t="inlineStr">
        <is>
          <t>Văn-Sử</t>
        </is>
      </c>
      <c r="D12" s="47" t="inlineStr">
        <is>
          <t>7A9</t>
        </is>
      </c>
      <c r="E12" s="47" t="n">
        <v>4</v>
      </c>
      <c r="F12" s="47" t="inlineStr"/>
      <c r="G12" s="47" t="inlineStr"/>
      <c r="H12" s="48" t="inlineStr">
        <is>
          <t>Ngữ văn 7A9,7A10,9A10</t>
        </is>
      </c>
      <c r="I12" s="47" t="n">
        <v>12</v>
      </c>
      <c r="J12" s="48" t="inlineStr">
        <is>
          <t>GDCD 8A7,8A8,8A9,8A10,8A11</t>
        </is>
      </c>
      <c r="K12" s="47" t="n">
        <v>5</v>
      </c>
      <c r="L12" s="60" t="n"/>
      <c r="M12" s="60" t="n"/>
      <c r="N12" s="60" t="n"/>
      <c r="O12" s="60" t="n"/>
      <c r="P12" s="60" t="n"/>
      <c r="Q12" s="60" t="n"/>
      <c r="R12" s="60" t="n"/>
      <c r="S12" s="60" t="n"/>
      <c r="T12" s="49" t="n">
        <v>17</v>
      </c>
      <c r="U12" s="49" t="n">
        <v>21</v>
      </c>
      <c r="V12" s="49" t="n">
        <v>2</v>
      </c>
    </row>
    <row r="13">
      <c r="A13" s="50" t="n">
        <v>9</v>
      </c>
      <c r="B13" s="51" t="inlineStr">
        <is>
          <t>Triệu Thị Luyến</t>
        </is>
      </c>
      <c r="C13" s="50" t="inlineStr">
        <is>
          <t>Văn</t>
        </is>
      </c>
      <c r="D13" s="50" t="inlineStr">
        <is>
          <t>9A12</t>
        </is>
      </c>
      <c r="E13" s="50" t="n">
        <v>4</v>
      </c>
      <c r="F13" s="50" t="inlineStr"/>
      <c r="G13" s="50" t="inlineStr"/>
      <c r="H13" s="51" t="inlineStr">
        <is>
          <t>Ngữ văn 9A12,7A7</t>
        </is>
      </c>
      <c r="I13" s="50" t="n">
        <v>8</v>
      </c>
      <c r="J13" s="51" t="inlineStr">
        <is>
          <t>Nội dung giáo dục của địa phương 7A7,7A8,7A9,7A10,7A11,9A8,9A9,9A10</t>
        </is>
      </c>
      <c r="K13" s="50" t="n">
        <v>8</v>
      </c>
      <c r="L13" s="59" t="n"/>
      <c r="M13" s="59" t="n"/>
      <c r="N13" s="59" t="n"/>
      <c r="O13" s="59" t="n"/>
      <c r="P13" s="59" t="n"/>
      <c r="Q13" s="59" t="n"/>
      <c r="R13" s="59" t="n"/>
      <c r="S13" s="59" t="n"/>
      <c r="T13" s="52" t="n">
        <v>16</v>
      </c>
      <c r="U13" s="52" t="n">
        <v>20</v>
      </c>
      <c r="V13" s="52" t="n">
        <v>1</v>
      </c>
    </row>
    <row r="14">
      <c r="A14" s="47" t="n">
        <v>10</v>
      </c>
      <c r="B14" s="48" t="inlineStr">
        <is>
          <t>Hoàng Thị Kiều Loan</t>
        </is>
      </c>
      <c r="C14" s="47" t="inlineStr">
        <is>
          <t>Văn</t>
        </is>
      </c>
      <c r="D14" s="47" t="inlineStr"/>
      <c r="E14" s="47" t="inlineStr"/>
      <c r="F14" s="47" t="inlineStr">
        <is>
          <t>HĐ235</t>
        </is>
      </c>
      <c r="G14" s="47" t="inlineStr"/>
      <c r="H14" s="48" t="inlineStr">
        <is>
          <t>Ngữ văn 7A11</t>
        </is>
      </c>
      <c r="I14" s="47" t="n">
        <v>4</v>
      </c>
      <c r="J14" s="48" t="inlineStr">
        <is>
          <t>GDCD 6A7,6A8,6A9,6A10,6A11</t>
        </is>
      </c>
      <c r="K14" s="47" t="n">
        <v>5</v>
      </c>
      <c r="L14" s="48" t="inlineStr">
        <is>
          <t>Hoạt động trải nghiệm, hướng nghiệp 8A7,8A8,8A9</t>
        </is>
      </c>
      <c r="M14" s="47" t="n">
        <v>9</v>
      </c>
      <c r="N14" s="48" t="inlineStr">
        <is>
          <t>Công nghệ 7A7</t>
        </is>
      </c>
      <c r="O14" s="47" t="n">
        <v>1</v>
      </c>
      <c r="P14" s="60" t="n"/>
      <c r="Q14" s="60" t="n"/>
      <c r="R14" s="60" t="n"/>
      <c r="S14" s="60" t="n"/>
      <c r="T14" s="49" t="n">
        <v>19</v>
      </c>
      <c r="U14" s="49" t="n">
        <v>19</v>
      </c>
      <c r="V14" s="49" t="n">
        <v>0</v>
      </c>
    </row>
    <row r="15">
      <c r="A15" s="50" t="n">
        <v>11</v>
      </c>
      <c r="B15" s="51" t="inlineStr">
        <is>
          <t>Bàng Thị Phượng</t>
        </is>
      </c>
      <c r="C15" s="50" t="inlineStr">
        <is>
          <t>Văn</t>
        </is>
      </c>
      <c r="D15" s="50" t="inlineStr"/>
      <c r="E15" s="50" t="inlineStr"/>
      <c r="F15" s="50" t="inlineStr">
        <is>
          <t>HĐ235</t>
        </is>
      </c>
      <c r="G15" s="50" t="inlineStr"/>
      <c r="H15" s="51" t="inlineStr">
        <is>
          <t>Ngữ văn 6A11</t>
        </is>
      </c>
      <c r="I15" s="50" t="n">
        <v>4</v>
      </c>
      <c r="J15" s="51" t="inlineStr">
        <is>
          <t>GDCD 7A7,7A8,7A9,7A10,7A11</t>
        </is>
      </c>
      <c r="K15" s="50" t="n">
        <v>5</v>
      </c>
      <c r="L15" s="51" t="inlineStr">
        <is>
          <t>Hoạt động trải nghiệm, hướng nghiệp 6A10,6A11</t>
        </is>
      </c>
      <c r="M15" s="50" t="n">
        <v>6</v>
      </c>
      <c r="N15" s="51" t="inlineStr">
        <is>
          <t>Nội dung giáo dục của địa phương 6A8,6A9,6A10,6A11</t>
        </is>
      </c>
      <c r="O15" s="50" t="n">
        <v>4</v>
      </c>
      <c r="P15" s="59" t="n"/>
      <c r="Q15" s="59" t="n"/>
      <c r="R15" s="59" t="n"/>
      <c r="S15" s="59" t="n"/>
      <c r="T15" s="52" t="n">
        <v>19</v>
      </c>
      <c r="U15" s="52" t="n">
        <v>19</v>
      </c>
      <c r="V15" s="52" t="n">
        <v>0</v>
      </c>
    </row>
    <row r="16">
      <c r="A16" s="47" t="n">
        <v>12</v>
      </c>
      <c r="B16" s="48" t="inlineStr">
        <is>
          <t>Nông Thị Trà</t>
        </is>
      </c>
      <c r="C16" s="47" t="inlineStr">
        <is>
          <t>Văn</t>
        </is>
      </c>
      <c r="D16" s="47" t="inlineStr"/>
      <c r="E16" s="47" t="inlineStr"/>
      <c r="F16" s="47" t="inlineStr">
        <is>
          <t>HĐ235</t>
        </is>
      </c>
      <c r="G16" s="47" t="inlineStr"/>
      <c r="H16" s="48" t="inlineStr">
        <is>
          <t>Ngữ văn 6A10</t>
        </is>
      </c>
      <c r="I16" s="47" t="n">
        <v>4</v>
      </c>
      <c r="J16" s="48" t="inlineStr">
        <is>
          <t>Hoạt động trải nghiệm, hướng nghiệp 9A8,9A9,9A11,9A12,7A11</t>
        </is>
      </c>
      <c r="K16" s="47" t="n">
        <v>15</v>
      </c>
      <c r="L16" s="60" t="n"/>
      <c r="M16" s="60" t="n"/>
      <c r="N16" s="60" t="n"/>
      <c r="O16" s="60" t="n"/>
      <c r="P16" s="60" t="n"/>
      <c r="Q16" s="60" t="n"/>
      <c r="R16" s="60" t="n"/>
      <c r="S16" s="60" t="n"/>
      <c r="T16" s="49" t="n">
        <v>19</v>
      </c>
      <c r="U16" s="49" t="n">
        <v>19</v>
      </c>
      <c r="V16" s="49" t="n">
        <v>0</v>
      </c>
    </row>
    <row r="17">
      <c r="A17" s="50" t="n">
        <v>13</v>
      </c>
      <c r="B17" s="51" t="inlineStr">
        <is>
          <t>Bùi Thị Hòa</t>
        </is>
      </c>
      <c r="C17" s="50" t="inlineStr">
        <is>
          <t>Lịch Sử</t>
        </is>
      </c>
      <c r="D17" s="50" t="inlineStr">
        <is>
          <t>9A9</t>
        </is>
      </c>
      <c r="E17" s="50" t="n">
        <v>4</v>
      </c>
      <c r="F17" s="50" t="inlineStr"/>
      <c r="G17" s="50" t="inlineStr"/>
      <c r="H17" s="51" t="inlineStr">
        <is>
          <t>Lịch sử và Địa Lý (Lịch sử) 9A9,9A11,9A12,8A7,8A8,8A9,8A10,8A11,7A7,7A8,7A11</t>
        </is>
      </c>
      <c r="I17" s="50" t="n">
        <v>17</v>
      </c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2" t="n">
        <v>17</v>
      </c>
      <c r="U17" s="52" t="n">
        <v>21</v>
      </c>
      <c r="V17" s="52" t="n">
        <v>2</v>
      </c>
    </row>
    <row r="18">
      <c r="A18" s="47" t="n">
        <v>14</v>
      </c>
      <c r="B18" s="48" t="inlineStr">
        <is>
          <t>Lại Thị Thanh Huyền</t>
        </is>
      </c>
      <c r="C18" s="47" t="inlineStr">
        <is>
          <t>Toán</t>
        </is>
      </c>
      <c r="D18" s="47" t="inlineStr">
        <is>
          <t>6A7</t>
        </is>
      </c>
      <c r="E18" s="47" t="n">
        <v>4</v>
      </c>
      <c r="F18" s="47" t="inlineStr">
        <is>
          <t>Tổ phó</t>
        </is>
      </c>
      <c r="G18" s="47" t="n">
        <v>1</v>
      </c>
      <c r="H18" s="48" t="inlineStr">
        <is>
          <t>Toán học 6A7,6A8,9A9</t>
        </is>
      </c>
      <c r="I18" s="47" t="n">
        <v>12</v>
      </c>
      <c r="J18" s="48" t="inlineStr">
        <is>
          <t>Hoạt động trải nghiệm, hướng nghiệp 6A7</t>
        </is>
      </c>
      <c r="K18" s="47" t="n">
        <v>3</v>
      </c>
      <c r="L18" s="60" t="n"/>
      <c r="M18" s="60" t="n"/>
      <c r="N18" s="60" t="n"/>
      <c r="O18" s="60" t="n"/>
      <c r="P18" s="60" t="n"/>
      <c r="Q18" s="60" t="n"/>
      <c r="R18" s="60" t="n"/>
      <c r="S18" s="60" t="n"/>
      <c r="T18" s="49" t="n">
        <v>15</v>
      </c>
      <c r="U18" s="49" t="n">
        <v>20</v>
      </c>
      <c r="V18" s="49" t="n">
        <v>1</v>
      </c>
    </row>
    <row r="19">
      <c r="A19" s="50" t="n">
        <v>15</v>
      </c>
      <c r="B19" s="51" t="inlineStr">
        <is>
          <t>Nguyễn Thị Hà</t>
        </is>
      </c>
      <c r="C19" s="50" t="inlineStr">
        <is>
          <t>Toán</t>
        </is>
      </c>
      <c r="D19" s="50" t="inlineStr">
        <is>
          <t>7A7</t>
        </is>
      </c>
      <c r="E19" s="50" t="n">
        <v>4</v>
      </c>
      <c r="F19" s="50" t="inlineStr"/>
      <c r="G19" s="50" t="inlineStr"/>
      <c r="H19" s="51" t="inlineStr">
        <is>
          <t>Toán học 7A7,7A8,9A8,9A12</t>
        </is>
      </c>
      <c r="I19" s="50" t="n">
        <v>16</v>
      </c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2" t="n">
        <v>16</v>
      </c>
      <c r="U19" s="52" t="n">
        <v>20</v>
      </c>
      <c r="V19" s="52" t="n">
        <v>1</v>
      </c>
    </row>
    <row r="20">
      <c r="A20" s="47" t="n">
        <v>16</v>
      </c>
      <c r="B20" s="48" t="inlineStr">
        <is>
          <t>Mẫn Xuân Thắng</t>
        </is>
      </c>
      <c r="C20" s="47" t="inlineStr">
        <is>
          <t>Toán-Lí</t>
        </is>
      </c>
      <c r="D20" s="47" t="inlineStr"/>
      <c r="E20" s="47" t="inlineStr"/>
      <c r="F20" s="47" t="inlineStr"/>
      <c r="G20" s="47" t="inlineStr"/>
      <c r="H20" s="48" t="inlineStr">
        <is>
          <t>Toán học 8A9</t>
        </is>
      </c>
      <c r="I20" s="47" t="n">
        <v>4</v>
      </c>
      <c r="J20" s="48" t="inlineStr">
        <is>
          <t>Công nghệ 9A8,9A9,9A10,9A11,9A12,8A7,8A8,8A9,8A10,8A11</t>
        </is>
      </c>
      <c r="K20" s="47" t="n">
        <v>15</v>
      </c>
      <c r="L20" s="60" t="n"/>
      <c r="M20" s="60" t="n"/>
      <c r="N20" s="60" t="n"/>
      <c r="O20" s="60" t="n"/>
      <c r="P20" s="60" t="n"/>
      <c r="Q20" s="60" t="n"/>
      <c r="R20" s="60" t="n"/>
      <c r="S20" s="60" t="n"/>
      <c r="T20" s="49" t="n">
        <v>19</v>
      </c>
      <c r="U20" s="49" t="n">
        <v>19</v>
      </c>
      <c r="V20" s="49" t="n">
        <v>0</v>
      </c>
    </row>
    <row r="21">
      <c r="A21" s="50" t="n">
        <v>17</v>
      </c>
      <c r="B21" s="51" t="inlineStr">
        <is>
          <t>Phùng Thị Lan</t>
        </is>
      </c>
      <c r="C21" s="50" t="inlineStr">
        <is>
          <t>Toán</t>
        </is>
      </c>
      <c r="D21" s="50" t="inlineStr">
        <is>
          <t>9A10</t>
        </is>
      </c>
      <c r="E21" s="50" t="n">
        <v>4</v>
      </c>
      <c r="F21" s="50" t="inlineStr"/>
      <c r="G21" s="50" t="inlineStr"/>
      <c r="H21" s="51" t="inlineStr">
        <is>
          <t>Toán học 9A10,7A9,7A11</t>
        </is>
      </c>
      <c r="I21" s="50" t="n">
        <v>12</v>
      </c>
      <c r="J21" s="51" t="inlineStr">
        <is>
          <t>Hoạt động trải nghiệm, hướng nghiệp 9A10</t>
        </is>
      </c>
      <c r="K21" s="50" t="n">
        <v>3</v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2" t="n">
        <v>15</v>
      </c>
      <c r="U21" s="52" t="n">
        <v>19</v>
      </c>
      <c r="V21" s="52" t="n">
        <v>0</v>
      </c>
    </row>
    <row r="22">
      <c r="A22" s="47" t="n">
        <v>18</v>
      </c>
      <c r="B22" s="48" t="inlineStr">
        <is>
          <t>Hoàng Thị Thanh Thắm</t>
        </is>
      </c>
      <c r="C22" s="47" t="inlineStr">
        <is>
          <t>GDTC</t>
        </is>
      </c>
      <c r="D22" s="47" t="inlineStr">
        <is>
          <t>7A10</t>
        </is>
      </c>
      <c r="E22" s="47" t="n">
        <v>4</v>
      </c>
      <c r="F22" s="47" t="inlineStr"/>
      <c r="G22" s="47" t="inlineStr"/>
      <c r="H22" s="48" t="inlineStr">
        <is>
          <t>Toán học 7A10,8A7,8A8</t>
        </is>
      </c>
      <c r="I22" s="47" t="n">
        <v>12</v>
      </c>
      <c r="J22" s="48" t="inlineStr">
        <is>
          <t>Hoạt động trải nghiệm, hướng nghiệp 7A10</t>
        </is>
      </c>
      <c r="K22" s="47" t="n">
        <v>3</v>
      </c>
      <c r="L22" s="60" t="n"/>
      <c r="M22" s="60" t="n"/>
      <c r="N22" s="60" t="n"/>
      <c r="O22" s="60" t="n"/>
      <c r="P22" s="60" t="n"/>
      <c r="Q22" s="60" t="n"/>
      <c r="R22" s="60" t="n"/>
      <c r="S22" s="60" t="n"/>
      <c r="T22" s="49" t="n">
        <v>15</v>
      </c>
      <c r="U22" s="49" t="n">
        <v>19</v>
      </c>
      <c r="V22" s="49" t="n">
        <v>0</v>
      </c>
    </row>
    <row r="23">
      <c r="A23" s="50" t="n">
        <v>19</v>
      </c>
      <c r="B23" s="51" t="inlineStr">
        <is>
          <t>Lê Thị Thu Hằng</t>
        </is>
      </c>
      <c r="C23" s="50" t="inlineStr">
        <is>
          <t>Toán</t>
        </is>
      </c>
      <c r="D23" s="50" t="inlineStr">
        <is>
          <t>6A11</t>
        </is>
      </c>
      <c r="E23" s="50" t="n">
        <v>4</v>
      </c>
      <c r="F23" s="50" t="inlineStr">
        <is>
          <t>HĐ235 / GVCN</t>
        </is>
      </c>
      <c r="G23" s="50" t="n">
        <v>4</v>
      </c>
      <c r="H23" s="51" t="inlineStr">
        <is>
          <t>Toán học 6A9,6A10,6A11,9A11</t>
        </is>
      </c>
      <c r="I23" s="50" t="n">
        <v>16</v>
      </c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2" t="n">
        <v>16</v>
      </c>
      <c r="U23" s="52" t="n">
        <v>20</v>
      </c>
      <c r="V23" s="52" t="n">
        <v>1</v>
      </c>
    </row>
    <row r="24">
      <c r="A24" s="47" t="n">
        <v>20</v>
      </c>
      <c r="B24" s="48" t="inlineStr">
        <is>
          <t>Nguyễn Thị Hiền</t>
        </is>
      </c>
      <c r="C24" s="47" t="inlineStr">
        <is>
          <t>Toán-Tin</t>
        </is>
      </c>
      <c r="D24" s="47" t="inlineStr"/>
      <c r="E24" s="47" t="inlineStr"/>
      <c r="F24" s="47" t="inlineStr">
        <is>
          <t>HĐ235</t>
        </is>
      </c>
      <c r="G24" s="47" t="inlineStr"/>
      <c r="H24" s="48" t="inlineStr">
        <is>
          <t>Toán học 8A10,8A11</t>
        </is>
      </c>
      <c r="I24" s="47" t="n">
        <v>8</v>
      </c>
      <c r="J24" s="48" t="inlineStr">
        <is>
          <t>Tin học 9A8,9A9,9A10,9A11,9A12</t>
        </is>
      </c>
      <c r="K24" s="47" t="n">
        <v>5</v>
      </c>
      <c r="L24" s="48" t="inlineStr">
        <is>
          <t>Hoạt động trải nghiệm, hướng nghiệp 7A7,7A8</t>
        </is>
      </c>
      <c r="M24" s="47" t="n">
        <v>6</v>
      </c>
      <c r="N24" s="60" t="n"/>
      <c r="O24" s="60" t="n"/>
      <c r="P24" s="60" t="n"/>
      <c r="Q24" s="60" t="n"/>
      <c r="R24" s="60" t="n"/>
      <c r="S24" s="60" t="n"/>
      <c r="T24" s="49" t="n">
        <v>19</v>
      </c>
      <c r="U24" s="49" t="n">
        <v>19</v>
      </c>
      <c r="V24" s="49" t="n">
        <v>0</v>
      </c>
    </row>
    <row r="25">
      <c r="A25" s="50" t="n">
        <v>21</v>
      </c>
      <c r="B25" s="51" t="inlineStr">
        <is>
          <t>Lương Thị Thu Hiền</t>
        </is>
      </c>
      <c r="C25" s="50" t="inlineStr">
        <is>
          <t>Tin học</t>
        </is>
      </c>
      <c r="D25" s="50" t="inlineStr"/>
      <c r="E25" s="50" t="inlineStr"/>
      <c r="F25" s="50" t="inlineStr">
        <is>
          <t>HĐ235</t>
        </is>
      </c>
      <c r="G25" s="50" t="inlineStr"/>
      <c r="H25" s="51" t="inlineStr">
        <is>
          <t>Tin học 6A7,6A8,6A9,6A10,6A11,7A7,7A8,7A9,7A10,7A11,8A7,8A8,8A9,8A10,8A11</t>
        </is>
      </c>
      <c r="I25" s="50" t="n">
        <v>15</v>
      </c>
      <c r="J25" s="51" t="inlineStr">
        <is>
          <t>Công nghệ 7A8,7A9,7A10,7A11</t>
        </is>
      </c>
      <c r="K25" s="50" t="n">
        <v>4</v>
      </c>
      <c r="L25" s="59" t="n"/>
      <c r="M25" s="59" t="n"/>
      <c r="N25" s="59" t="n"/>
      <c r="O25" s="59" t="n"/>
      <c r="P25" s="59" t="n"/>
      <c r="Q25" s="59" t="n"/>
      <c r="R25" s="59" t="n"/>
      <c r="S25" s="59" t="n"/>
      <c r="T25" s="52" t="n">
        <v>19</v>
      </c>
      <c r="U25" s="52" t="n">
        <v>19</v>
      </c>
      <c r="V25" s="52" t="n">
        <v>0</v>
      </c>
    </row>
    <row r="26">
      <c r="A26" s="47" t="n">
        <v>22</v>
      </c>
      <c r="B26" s="48" t="inlineStr">
        <is>
          <t>Hà Thị Hải Yến</t>
        </is>
      </c>
      <c r="C26" s="47" t="inlineStr">
        <is>
          <t>Sinh-Kỹ</t>
        </is>
      </c>
      <c r="D26" s="47" t="inlineStr">
        <is>
          <t>8A10</t>
        </is>
      </c>
      <c r="E26" s="47" t="n">
        <v>4</v>
      </c>
      <c r="F26" s="47" t="inlineStr">
        <is>
          <t>Tổ phó</t>
        </is>
      </c>
      <c r="G26" s="47" t="n">
        <v>1</v>
      </c>
      <c r="H26" s="48" t="inlineStr">
        <is>
          <t>Khoa học tự nhiên (Sinh học) 9A8,9A9,9A10,9A11,9A12,8A10,6A7,6A8,6A9,6A10,6A11</t>
        </is>
      </c>
      <c r="I26" s="47" t="n">
        <v>12</v>
      </c>
      <c r="J26" s="48" t="inlineStr">
        <is>
          <t>Hoạt động trải nghiệm, hướng nghiệp 8A10</t>
        </is>
      </c>
      <c r="K26" s="47" t="n">
        <v>3</v>
      </c>
      <c r="L26" s="60" t="n"/>
      <c r="M26" s="60" t="n"/>
      <c r="N26" s="60" t="n"/>
      <c r="O26" s="60" t="n"/>
      <c r="P26" s="60" t="n"/>
      <c r="Q26" s="60" t="n"/>
      <c r="R26" s="60" t="n"/>
      <c r="S26" s="60" t="n"/>
      <c r="T26" s="49" t="n">
        <v>15</v>
      </c>
      <c r="U26" s="49" t="n">
        <v>20</v>
      </c>
      <c r="V26" s="49" t="n">
        <v>1</v>
      </c>
    </row>
    <row r="27">
      <c r="A27" s="50" t="n">
        <v>23</v>
      </c>
      <c r="B27" s="51" t="inlineStr">
        <is>
          <t>Trần Thị Liễu</t>
        </is>
      </c>
      <c r="C27" s="50" t="inlineStr">
        <is>
          <t>Sinh-Hoá</t>
        </is>
      </c>
      <c r="D27" s="50" t="inlineStr"/>
      <c r="E27" s="50" t="inlineStr"/>
      <c r="F27" s="50" t="inlineStr">
        <is>
          <t>HĐK</t>
        </is>
      </c>
      <c r="G27" s="50" t="inlineStr"/>
      <c r="H27" s="51" t="inlineStr">
        <is>
          <t>Khoa học tự nhiên (Hóa học) 7A7,7A8,7A9,7A10,7A11,8A7,8A8,8A9,8A10,8A11,9A8,9A9,9A10,9A11,9A12,6A7,6A8,6A9,6A10,6A11</t>
        </is>
      </c>
      <c r="I27" s="50" t="n">
        <v>20</v>
      </c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2" t="n">
        <v>20</v>
      </c>
      <c r="U27" s="52" t="n">
        <v>20</v>
      </c>
      <c r="V27" s="52" t="n">
        <v>1</v>
      </c>
    </row>
    <row r="28">
      <c r="A28" s="47" t="n">
        <v>24</v>
      </c>
      <c r="B28" s="48" t="inlineStr">
        <is>
          <t>Trần Thị Quỳnh Hằng</t>
        </is>
      </c>
      <c r="C28" s="47" t="inlineStr">
        <is>
          <t>Sinh</t>
        </is>
      </c>
      <c r="D28" s="47" t="inlineStr"/>
      <c r="E28" s="47" t="inlineStr"/>
      <c r="F28" s="47" t="inlineStr">
        <is>
          <t>HĐK</t>
        </is>
      </c>
      <c r="G28" s="47" t="inlineStr"/>
      <c r="H28" s="48" t="inlineStr">
        <is>
          <t>Khoa học tự nhiên (Sinh học) 8A7,8A8,8A9,8A11</t>
        </is>
      </c>
      <c r="I28" s="47" t="n">
        <v>8</v>
      </c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49" t="n">
        <v>8</v>
      </c>
      <c r="U28" s="49" t="n">
        <v>8</v>
      </c>
      <c r="V28" s="49" t="n">
        <v>0</v>
      </c>
    </row>
    <row r="29">
      <c r="A29" s="50" t="n">
        <v>25</v>
      </c>
      <c r="B29" s="51" t="inlineStr">
        <is>
          <t>Nguyễn Ánh Hồng</t>
        </is>
      </c>
      <c r="C29" s="50" t="inlineStr">
        <is>
          <t>Sinh</t>
        </is>
      </c>
      <c r="D29" s="50" t="inlineStr"/>
      <c r="E29" s="50" t="inlineStr"/>
      <c r="F29" s="50" t="inlineStr">
        <is>
          <t>HĐK</t>
        </is>
      </c>
      <c r="G29" s="50" t="inlineStr"/>
      <c r="H29" s="51" t="inlineStr">
        <is>
          <t>Khoa học tự nhiên (Sinh học) 7A8,7A9,7A10,7A11</t>
        </is>
      </c>
      <c r="I29" s="50" t="n">
        <v>8</v>
      </c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2" t="n">
        <v>8</v>
      </c>
      <c r="U29" s="52" t="n">
        <v>8</v>
      </c>
      <c r="V29" s="52" t="n">
        <v>0</v>
      </c>
    </row>
    <row r="30">
      <c r="A30" s="47" t="n">
        <v>26</v>
      </c>
      <c r="B30" s="48" t="inlineStr">
        <is>
          <t>Vũ Thị Bích Hằng</t>
        </is>
      </c>
      <c r="C30" s="47" t="inlineStr">
        <is>
          <t>Sinh(Hoá-Địa)</t>
        </is>
      </c>
      <c r="D30" s="47" t="inlineStr"/>
      <c r="E30" s="47" t="inlineStr"/>
      <c r="F30" s="47" t="inlineStr"/>
      <c r="G30" s="47" t="inlineStr"/>
      <c r="H30" s="48" t="inlineStr">
        <is>
          <t>Lịch sử và Địa Lý (Địa lý) 6A7,6A8,6A9,6A10,6A11,7A7,7A8,7A9,7A10,7A11</t>
        </is>
      </c>
      <c r="I30" s="47" t="n">
        <v>15</v>
      </c>
      <c r="J30" s="48" t="inlineStr">
        <is>
          <t>Công nghệ 6A7,6A8,6A9,6A10</t>
        </is>
      </c>
      <c r="K30" s="47" t="n">
        <v>4</v>
      </c>
      <c r="L30" s="60" t="n"/>
      <c r="M30" s="60" t="n"/>
      <c r="N30" s="60" t="n"/>
      <c r="O30" s="60" t="n"/>
      <c r="P30" s="60" t="n"/>
      <c r="Q30" s="60" t="n"/>
      <c r="R30" s="60" t="n"/>
      <c r="S30" s="60" t="n"/>
      <c r="T30" s="49" t="n">
        <v>19</v>
      </c>
      <c r="U30" s="49" t="n">
        <v>19</v>
      </c>
      <c r="V30" s="49" t="n">
        <v>0</v>
      </c>
    </row>
    <row r="31">
      <c r="A31" s="50" t="n">
        <v>27</v>
      </c>
      <c r="B31" s="51" t="inlineStr">
        <is>
          <t>Chu Diệu Linh</t>
        </is>
      </c>
      <c r="C31" s="50" t="inlineStr">
        <is>
          <t>Địa</t>
        </is>
      </c>
      <c r="D31" s="50" t="inlineStr">
        <is>
          <t>9A11</t>
        </is>
      </c>
      <c r="E31" s="50" t="n">
        <v>4</v>
      </c>
      <c r="F31" s="50" t="inlineStr"/>
      <c r="G31" s="50" t="inlineStr"/>
      <c r="H31" s="51" t="inlineStr">
        <is>
          <t>Lịch sử và Địa Lý (Địa lý) 9A8,9A9,9A10,9A11,9A12,8A7,8A8,8A9,8A10,8A11</t>
        </is>
      </c>
      <c r="I31" s="50" t="n">
        <v>15</v>
      </c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2" t="n">
        <v>15</v>
      </c>
      <c r="U31" s="52" t="n">
        <v>19</v>
      </c>
      <c r="V31" s="52" t="n">
        <v>0</v>
      </c>
    </row>
    <row r="32">
      <c r="A32" s="47" t="n">
        <v>28</v>
      </c>
      <c r="B32" s="48" t="inlineStr">
        <is>
          <t>Trương Thị Thu Hương</t>
        </is>
      </c>
      <c r="C32" s="47" t="inlineStr">
        <is>
          <t>Lí-CN</t>
        </is>
      </c>
      <c r="D32" s="47" t="inlineStr">
        <is>
          <t>7A11</t>
        </is>
      </c>
      <c r="E32" s="47" t="n">
        <v>4</v>
      </c>
      <c r="F32" s="47" t="inlineStr"/>
      <c r="G32" s="47" t="inlineStr"/>
      <c r="H32" s="48" t="inlineStr">
        <is>
          <t>Khoa học tự nhiên (Vật lý) 9A8,9A9,9A10,9A11,9A12,7A7,7A8,7A9,7A10,7A11</t>
        </is>
      </c>
      <c r="I32" s="47" t="n">
        <v>15</v>
      </c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49" t="n">
        <v>15</v>
      </c>
      <c r="U32" s="49" t="n">
        <v>19</v>
      </c>
      <c r="V32" s="49" t="n">
        <v>0</v>
      </c>
    </row>
    <row r="33">
      <c r="A33" s="50" t="n">
        <v>29</v>
      </c>
      <c r="B33" s="51" t="inlineStr">
        <is>
          <t>Đỗ Thị Thu Hiền</t>
        </is>
      </c>
      <c r="C33" s="50" t="inlineStr">
        <is>
          <t>Lí</t>
        </is>
      </c>
      <c r="D33" s="50" t="inlineStr"/>
      <c r="E33" s="50" t="inlineStr"/>
      <c r="F33" s="50" t="inlineStr"/>
      <c r="G33" s="50" t="inlineStr"/>
      <c r="H33" s="51" t="inlineStr">
        <is>
          <t>Khoa học tự nhiên (Vật lý) 6A7,6A8,6A9,6A10,6A11,8A7,8A8,8A9,8A10,8A11</t>
        </is>
      </c>
      <c r="I33" s="50" t="n">
        <v>15</v>
      </c>
      <c r="J33" s="51" t="inlineStr">
        <is>
          <t>Hoạt động trải nghiệm, hướng nghiệp 6A8,8A11</t>
        </is>
      </c>
      <c r="K33" s="50" t="n">
        <v>4</v>
      </c>
      <c r="L33" s="59" t="n"/>
      <c r="M33" s="59" t="n"/>
      <c r="N33" s="59" t="n"/>
      <c r="O33" s="59" t="n"/>
      <c r="P33" s="59" t="n"/>
      <c r="Q33" s="59" t="n"/>
      <c r="R33" s="59" t="n"/>
      <c r="S33" s="59" t="n"/>
      <c r="T33" s="52" t="n">
        <v>19</v>
      </c>
      <c r="U33" s="52" t="n">
        <v>19</v>
      </c>
      <c r="V33" s="52" t="n">
        <v>0</v>
      </c>
    </row>
    <row r="34">
      <c r="A34" s="47" t="n">
        <v>30</v>
      </c>
      <c r="B34" s="48" t="inlineStr">
        <is>
          <t>Lê Văn Hậu</t>
        </is>
      </c>
      <c r="C34" s="47" t="inlineStr">
        <is>
          <t>GDTC</t>
        </is>
      </c>
      <c r="D34" s="47" t="inlineStr"/>
      <c r="E34" s="47" t="inlineStr"/>
      <c r="F34" s="47" t="inlineStr"/>
      <c r="G34" s="47" t="inlineStr"/>
      <c r="H34" s="48" t="inlineStr">
        <is>
          <t>Giáo dục thể chất 6A7,6A8,6A9,6A10,6A11,7A7,7A8,7A9,7A10,7A11</t>
        </is>
      </c>
      <c r="I34" s="47" t="n">
        <v>20</v>
      </c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49" t="n">
        <v>20</v>
      </c>
      <c r="U34" s="49" t="n">
        <v>20</v>
      </c>
      <c r="V34" s="49" t="n">
        <v>1</v>
      </c>
    </row>
    <row r="35">
      <c r="A35" s="50" t="n">
        <v>31</v>
      </c>
      <c r="B35" s="51" t="inlineStr">
        <is>
          <t>GV môn GDTC</t>
        </is>
      </c>
      <c r="C35" s="50" t="inlineStr">
        <is>
          <t>GDTC</t>
        </is>
      </c>
      <c r="D35" s="50" t="inlineStr"/>
      <c r="E35" s="50" t="inlineStr"/>
      <c r="F35" s="50" t="inlineStr"/>
      <c r="G35" s="50" t="inlineStr"/>
      <c r="H35" s="51" t="inlineStr">
        <is>
          <t>Giáo dục thể chất 8A7,8A8,8A9,8A10,9A8,9A9,9A10,9A11,9A12</t>
        </is>
      </c>
      <c r="I35" s="50" t="n">
        <v>18</v>
      </c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2" t="n">
        <v>18</v>
      </c>
      <c r="U35" s="52" t="n">
        <v>18</v>
      </c>
      <c r="V35" s="52" t="n">
        <v>-1</v>
      </c>
    </row>
    <row r="36">
      <c r="A36" s="47" t="n">
        <v>32</v>
      </c>
      <c r="B36" s="48" t="inlineStr">
        <is>
          <t>Bùi Đức Anh</t>
        </is>
      </c>
      <c r="C36" s="47" t="inlineStr">
        <is>
          <t>GDTC</t>
        </is>
      </c>
      <c r="D36" s="47" t="inlineStr"/>
      <c r="E36" s="47" t="inlineStr"/>
      <c r="F36" s="47" t="inlineStr">
        <is>
          <t>Trường chính</t>
        </is>
      </c>
      <c r="G36" s="47" t="inlineStr"/>
      <c r="H36" s="48" t="inlineStr">
        <is>
          <t>Giáo dục thể chất 8A11</t>
        </is>
      </c>
      <c r="I36" s="47" t="n">
        <v>2</v>
      </c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49" t="n">
        <v>2</v>
      </c>
      <c r="U36" s="49" t="n">
        <v>2</v>
      </c>
      <c r="V36" s="49" t="n">
        <v>0</v>
      </c>
    </row>
    <row r="37">
      <c r="A37" s="50" t="n">
        <v>33</v>
      </c>
      <c r="B37" s="51" t="inlineStr">
        <is>
          <t>Lý Thị Duyên</t>
        </is>
      </c>
      <c r="C37" s="50" t="inlineStr">
        <is>
          <t>MT-Đội</t>
        </is>
      </c>
      <c r="D37" s="50" t="inlineStr">
        <is>
          <t>6A10</t>
        </is>
      </c>
      <c r="E37" s="50" t="n">
        <v>4</v>
      </c>
      <c r="F37" s="50" t="inlineStr"/>
      <c r="G37" s="50" t="inlineStr"/>
      <c r="H37" s="51" t="inlineStr">
        <is>
          <t>Nghệ thuật (Mỹ thuật) 6A7,6A8,6A9,6A10,6A11,8A7,8A8,8A9,8A10,8A11,9A8,9A9,9A10,9A11,9A12</t>
        </is>
      </c>
      <c r="I37" s="50" t="n">
        <v>15</v>
      </c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2" t="n">
        <v>15</v>
      </c>
      <c r="U37" s="52" t="n">
        <v>19</v>
      </c>
      <c r="V37" s="52" t="n">
        <v>0</v>
      </c>
    </row>
    <row r="38">
      <c r="A38" s="47" t="n">
        <v>34</v>
      </c>
      <c r="B38" s="48" t="inlineStr">
        <is>
          <t>Lê Thị Minh Anh</t>
        </is>
      </c>
      <c r="C38" s="47" t="inlineStr">
        <is>
          <t>Mĩ thuật</t>
        </is>
      </c>
      <c r="D38" s="47" t="inlineStr"/>
      <c r="E38" s="47" t="inlineStr"/>
      <c r="F38" s="47" t="inlineStr">
        <is>
          <t>HĐK</t>
        </is>
      </c>
      <c r="G38" s="47" t="inlineStr"/>
      <c r="H38" s="48" t="inlineStr">
        <is>
          <t>Nghệ thuật (Mỹ thuật) 7A7,7A8,7A9,7A10</t>
        </is>
      </c>
      <c r="I38" s="47" t="n">
        <v>4</v>
      </c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49" t="n">
        <v>4</v>
      </c>
      <c r="U38" s="49" t="n">
        <v>4</v>
      </c>
      <c r="V38" s="49" t="n">
        <v>0</v>
      </c>
    </row>
    <row r="39">
      <c r="A39" s="50" t="n">
        <v>35</v>
      </c>
      <c r="B39" s="51" t="inlineStr">
        <is>
          <t>Ngô Thuý Vân</t>
        </is>
      </c>
      <c r="C39" s="50" t="inlineStr">
        <is>
          <t>MT-Đội</t>
        </is>
      </c>
      <c r="D39" s="50" t="inlineStr"/>
      <c r="E39" s="50" t="inlineStr"/>
      <c r="F39" s="50" t="inlineStr">
        <is>
          <t>Tổng phụ trách</t>
        </is>
      </c>
      <c r="G39" s="50" t="n">
        <v>8</v>
      </c>
      <c r="H39" s="51" t="inlineStr">
        <is>
          <t>Nghệ thuật (Mỹ thuật) 7A11</t>
        </is>
      </c>
      <c r="I39" s="50" t="n">
        <v>1</v>
      </c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2" t="n">
        <v>1</v>
      </c>
      <c r="U39" s="52" t="n">
        <v>1</v>
      </c>
      <c r="V39" s="52" t="n">
        <v>0</v>
      </c>
    </row>
    <row r="40">
      <c r="A40" s="47" t="n">
        <v>36</v>
      </c>
      <c r="B40" s="48" t="inlineStr">
        <is>
          <t>Nguyễn Thị Luyến</t>
        </is>
      </c>
      <c r="C40" s="47" t="inlineStr">
        <is>
          <t>Âm Nhạc</t>
        </is>
      </c>
      <c r="D40" s="47" t="inlineStr"/>
      <c r="E40" s="47" t="inlineStr"/>
      <c r="F40" s="47" t="inlineStr"/>
      <c r="G40" s="47" t="inlineStr"/>
      <c r="H40" s="48" t="inlineStr">
        <is>
          <t>Nghệ thuật (Âm nhạc) 6A7,6A8,6A9,6A10,6A11,7A7,7A8,7A9,7A10,7A11,8A7,8A8,8A9,8A10,8A11,9A8,9A9,9A10,9A11,9A12</t>
        </is>
      </c>
      <c r="I40" s="47" t="n">
        <v>20</v>
      </c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49" t="n">
        <v>20</v>
      </c>
      <c r="U40" s="49" t="n">
        <v>20</v>
      </c>
      <c r="V40" s="49" t="n">
        <v>1</v>
      </c>
    </row>
    <row r="41">
      <c r="A41" s="50" t="n">
        <v>37</v>
      </c>
      <c r="B41" s="51" t="inlineStr">
        <is>
          <t>Nguyễn Đình Tiến</t>
        </is>
      </c>
      <c r="C41" s="50" t="inlineStr">
        <is>
          <t>Tiếng Anh</t>
        </is>
      </c>
      <c r="D41" s="50" t="inlineStr">
        <is>
          <t>9A8</t>
        </is>
      </c>
      <c r="E41" s="50" t="n">
        <v>4</v>
      </c>
      <c r="F41" s="50" t="inlineStr"/>
      <c r="G41" s="50" t="inlineStr"/>
      <c r="H41" s="51" t="inlineStr">
        <is>
          <t>Tiếng Anh 9A8,9A9,7A7,7A8,7A9</t>
        </is>
      </c>
      <c r="I41" s="50" t="n">
        <v>15</v>
      </c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2" t="n">
        <v>15</v>
      </c>
      <c r="U41" s="52" t="n">
        <v>19</v>
      </c>
      <c r="V41" s="52" t="n">
        <v>0</v>
      </c>
    </row>
    <row r="42">
      <c r="A42" s="47" t="n">
        <v>38</v>
      </c>
      <c r="B42" s="48" t="inlineStr">
        <is>
          <t>Phan Thị Minh</t>
        </is>
      </c>
      <c r="C42" s="47" t="inlineStr">
        <is>
          <t>Tiếng Anh</t>
        </is>
      </c>
      <c r="D42" s="47" t="inlineStr">
        <is>
          <t>6A9</t>
        </is>
      </c>
      <c r="E42" s="47" t="n">
        <v>4</v>
      </c>
      <c r="F42" s="47" t="inlineStr">
        <is>
          <t>Tổ phó</t>
        </is>
      </c>
      <c r="G42" s="47" t="n">
        <v>1</v>
      </c>
      <c r="H42" s="48" t="inlineStr">
        <is>
          <t>Tiếng Anh 6A9,6A10,9A10,9A11</t>
        </is>
      </c>
      <c r="I42" s="47" t="n">
        <v>12</v>
      </c>
      <c r="J42" s="48" t="inlineStr">
        <is>
          <t>Hoạt động trải nghiệm, hướng nghiệp 6A9</t>
        </is>
      </c>
      <c r="K42" s="47" t="n">
        <v>3</v>
      </c>
      <c r="L42" s="60" t="n"/>
      <c r="M42" s="60" t="n"/>
      <c r="N42" s="60" t="n"/>
      <c r="O42" s="60" t="n"/>
      <c r="P42" s="60" t="n"/>
      <c r="Q42" s="60" t="n"/>
      <c r="R42" s="60" t="n"/>
      <c r="S42" s="60" t="n"/>
      <c r="T42" s="49" t="n">
        <v>15</v>
      </c>
      <c r="U42" s="49" t="n">
        <v>20</v>
      </c>
      <c r="V42" s="49" t="n">
        <v>1</v>
      </c>
    </row>
    <row r="43">
      <c r="A43" s="50" t="n">
        <v>39</v>
      </c>
      <c r="B43" s="51" t="inlineStr">
        <is>
          <t>Trần Đức Ngân</t>
        </is>
      </c>
      <c r="C43" s="50" t="inlineStr">
        <is>
          <t>Tiếng Anh</t>
        </is>
      </c>
      <c r="D43" s="50" t="inlineStr">
        <is>
          <t>8A11</t>
        </is>
      </c>
      <c r="E43" s="50" t="n">
        <v>4</v>
      </c>
      <c r="F43" s="50" t="inlineStr"/>
      <c r="G43" s="50" t="inlineStr"/>
      <c r="H43" s="51" t="inlineStr">
        <is>
          <t>Tiếng Anh 8A7,8A9,8A10,8A11,9A12</t>
        </is>
      </c>
      <c r="I43" s="50" t="n">
        <v>15</v>
      </c>
      <c r="J43" s="51" t="inlineStr">
        <is>
          <t>Hoạt động trải nghiệm, hướng nghiệp 8A11</t>
        </is>
      </c>
      <c r="K43" s="50" t="n">
        <v>2</v>
      </c>
      <c r="L43" s="59" t="n"/>
      <c r="M43" s="59" t="n"/>
      <c r="N43" s="59" t="n"/>
      <c r="O43" s="59" t="n"/>
      <c r="P43" s="59" t="n"/>
      <c r="Q43" s="59" t="n"/>
      <c r="R43" s="59" t="n"/>
      <c r="S43" s="59" t="n"/>
      <c r="T43" s="52" t="n">
        <v>17</v>
      </c>
      <c r="U43" s="52" t="n">
        <v>21</v>
      </c>
      <c r="V43" s="52" t="n">
        <v>2</v>
      </c>
    </row>
    <row r="44">
      <c r="A44" s="47" t="n">
        <v>40</v>
      </c>
      <c r="B44" s="48" t="inlineStr">
        <is>
          <t>Nguyễn Thị Hồng Minh</t>
        </is>
      </c>
      <c r="C44" s="47" t="inlineStr">
        <is>
          <t>Tiếng Anh</t>
        </is>
      </c>
      <c r="D44" s="47" t="inlineStr"/>
      <c r="E44" s="47" t="inlineStr"/>
      <c r="F44" s="47" t="inlineStr">
        <is>
          <t>HĐ235</t>
        </is>
      </c>
      <c r="G44" s="47" t="inlineStr"/>
      <c r="H44" s="48" t="inlineStr">
        <is>
          <t>Tiếng Anh 8A8,6A7,6A8,6A11,7A10,7A11</t>
        </is>
      </c>
      <c r="I44" s="47" t="n">
        <v>16</v>
      </c>
      <c r="J44" s="48" t="inlineStr">
        <is>
          <t>Hoạt động trải nghiệm, hướng nghiệp 7A9</t>
        </is>
      </c>
      <c r="K44" s="47" t="n">
        <v>3</v>
      </c>
      <c r="L44" s="60" t="n"/>
      <c r="M44" s="60" t="n"/>
      <c r="N44" s="60" t="n"/>
      <c r="O44" s="60" t="n"/>
      <c r="P44" s="60" t="n"/>
      <c r="Q44" s="60" t="n"/>
      <c r="R44" s="60" t="n"/>
      <c r="S44" s="60" t="n"/>
      <c r="T44" s="49" t="n">
        <v>19</v>
      </c>
      <c r="U44" s="49" t="n">
        <v>19</v>
      </c>
      <c r="V44" s="49" t="n">
        <v>0</v>
      </c>
    </row>
    <row r="45">
      <c r="A45" s="50" t="n">
        <v>41</v>
      </c>
      <c r="B45" s="51" t="inlineStr">
        <is>
          <t>Bàng Như Quỳnh</t>
        </is>
      </c>
      <c r="C45" s="50" t="inlineStr">
        <is>
          <t>Tiếng Anh</t>
        </is>
      </c>
      <c r="D45" s="50" t="inlineStr"/>
      <c r="E45" s="50" t="inlineStr"/>
      <c r="F45" s="50" t="inlineStr">
        <is>
          <t>Trường chính</t>
        </is>
      </c>
      <c r="G45" s="50" t="inlineStr"/>
      <c r="H45" s="51" t="inlineStr">
        <is>
          <t>Công nghệ 6A11</t>
        </is>
      </c>
      <c r="I45" s="50" t="n">
        <v>1</v>
      </c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2" t="n">
        <v>1</v>
      </c>
      <c r="U45" s="52" t="n">
        <v>1</v>
      </c>
      <c r="V45" s="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2026-07-05T16:53:43Z</dcterms:created>
  <dcterms:modified xmlns:dcterms="http://purl.org/dc/terms/" xmlns:xsi="http://www.w3.org/2001/XMLSchema-instance" xsi:type="dcterms:W3CDTF">2026-09-07T15:30:25Z</dcterms:modified>
  <cp:lastModifiedBy>Nguyen Trung Kien</cp:lastModifiedBy>
  <cp:revision>0</cp:revision>
</cp:coreProperties>
</file>