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ennt9\Downloads\files (1)\"/>
    </mc:Choice>
  </mc:AlternateContent>
  <xr:revisionPtr revIDLastSave="0" documentId="13_ncr:1_{FD6827B0-C1ED-4D37-8B3D-7FE9BC693B4E}" xr6:coauthVersionLast="47" xr6:coauthVersionMax="47" xr10:uidLastSave="{00000000-0000-0000-0000-000000000000}"/>
  <bookViews>
    <workbookView xWindow="-120" yWindow="-120" windowWidth="29040" windowHeight="15720" tabRatio="500" firstSheet="2" activeTab="6" xr2:uid="{00000000-000D-0000-FFFF-FFFF00000000}"/>
  </bookViews>
  <sheets>
    <sheet name="HuongDan" sheetId="1" r:id="rId1"/>
    <sheet name="HuongDan_ChiTiet" sheetId="2" r:id="rId2"/>
    <sheet name="PhanCong" sheetId="3" r:id="rId3"/>
    <sheet name="SoTiet" sheetId="4" r:id="rId4"/>
    <sheet name="GV_Ban" sheetId="5" r:id="rId5"/>
    <sheet name="DinhMuc_GV" sheetId="6" r:id="rId6"/>
    <sheet name="TKB_Nhap" sheetId="7" r:id="rId7"/>
    <sheet name="TKB" sheetId="8" r:id="rId8"/>
    <sheet name="TKB_GV" sheetId="9" r:id="rId9"/>
    <sheet name="KiemTra" sheetId="10" r:id="rId10"/>
    <sheet name="Khung" sheetId="11" state="hidden" r:id="rId11"/>
    <sheet name="TuanConfig" sheetId="12" r:id="rId12"/>
  </sheets>
  <definedNames>
    <definedName name="DS_Mon">PhanCong!$A$3:$A$18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20" i="10" l="1"/>
  <c r="I20" i="10"/>
  <c r="H20" i="10"/>
  <c r="G20" i="10"/>
  <c r="F20" i="10"/>
  <c r="E20" i="10"/>
  <c r="D20" i="10"/>
  <c r="C20" i="10"/>
  <c r="B20" i="10"/>
  <c r="J19" i="10"/>
  <c r="I19" i="10"/>
  <c r="H19" i="10"/>
  <c r="G19" i="10"/>
  <c r="F19" i="10"/>
  <c r="E19" i="10"/>
  <c r="D19" i="10"/>
  <c r="C19" i="10"/>
  <c r="B19" i="10"/>
  <c r="J18" i="10"/>
  <c r="I18" i="10"/>
  <c r="H18" i="10"/>
  <c r="G18" i="10"/>
  <c r="F18" i="10"/>
  <c r="E18" i="10"/>
  <c r="D18" i="10"/>
  <c r="C18" i="10"/>
  <c r="B18" i="10"/>
  <c r="J17" i="10"/>
  <c r="I17" i="10"/>
  <c r="H17" i="10"/>
  <c r="G17" i="10"/>
  <c r="F17" i="10"/>
  <c r="E17" i="10"/>
  <c r="D17" i="10"/>
  <c r="C17" i="10"/>
  <c r="B17" i="10"/>
  <c r="J16" i="10"/>
  <c r="I16" i="10"/>
  <c r="H16" i="10"/>
  <c r="G16" i="10"/>
  <c r="F16" i="10"/>
  <c r="E16" i="10"/>
  <c r="D16" i="10"/>
  <c r="C16" i="10"/>
  <c r="B16" i="10"/>
  <c r="J15" i="10"/>
  <c r="I15" i="10"/>
  <c r="H15" i="10"/>
  <c r="G15" i="10"/>
  <c r="F15" i="10"/>
  <c r="E15" i="10"/>
  <c r="D15" i="10"/>
  <c r="C15" i="10"/>
  <c r="B15" i="10"/>
  <c r="J14" i="10"/>
  <c r="I14" i="10"/>
  <c r="H14" i="10"/>
  <c r="G14" i="10"/>
  <c r="F14" i="10"/>
  <c r="E14" i="10"/>
  <c r="D14" i="10"/>
  <c r="C14" i="10"/>
  <c r="B14" i="10"/>
  <c r="J13" i="10"/>
  <c r="I13" i="10"/>
  <c r="H13" i="10"/>
  <c r="G13" i="10"/>
  <c r="F13" i="10"/>
  <c r="E13" i="10"/>
  <c r="D13" i="10"/>
  <c r="C13" i="10"/>
  <c r="B13" i="10"/>
  <c r="J12" i="10"/>
  <c r="I12" i="10"/>
  <c r="H12" i="10"/>
  <c r="G12" i="10"/>
  <c r="F12" i="10"/>
  <c r="E12" i="10"/>
  <c r="D12" i="10"/>
  <c r="C12" i="10"/>
  <c r="B12" i="10"/>
  <c r="J11" i="10"/>
  <c r="I11" i="10"/>
  <c r="H11" i="10"/>
  <c r="G11" i="10"/>
  <c r="F11" i="10"/>
  <c r="E11" i="10"/>
  <c r="D11" i="10"/>
  <c r="C11" i="10"/>
  <c r="B11" i="10"/>
  <c r="J10" i="10"/>
  <c r="I10" i="10"/>
  <c r="H10" i="10"/>
  <c r="G10" i="10"/>
  <c r="F10" i="10"/>
  <c r="E10" i="10"/>
  <c r="D10" i="10"/>
  <c r="C10" i="10"/>
  <c r="B10" i="10"/>
  <c r="J9" i="10"/>
  <c r="I9" i="10"/>
  <c r="H9" i="10"/>
  <c r="G9" i="10"/>
  <c r="F9" i="10"/>
  <c r="E9" i="10"/>
  <c r="D9" i="10"/>
  <c r="C9" i="10"/>
  <c r="B9" i="10"/>
  <c r="J8" i="10"/>
  <c r="I8" i="10"/>
  <c r="H8" i="10"/>
  <c r="G8" i="10"/>
  <c r="F8" i="10"/>
  <c r="E8" i="10"/>
  <c r="D8" i="10"/>
  <c r="C8" i="10"/>
  <c r="B8" i="10"/>
  <c r="J7" i="10"/>
  <c r="I7" i="10"/>
  <c r="H7" i="10"/>
  <c r="G7" i="10"/>
  <c r="F7" i="10"/>
  <c r="E7" i="10"/>
  <c r="D7" i="10"/>
  <c r="C7" i="10"/>
  <c r="B7" i="10"/>
  <c r="J6" i="10"/>
  <c r="I6" i="10"/>
  <c r="H6" i="10"/>
  <c r="G6" i="10"/>
  <c r="F6" i="10"/>
  <c r="E6" i="10"/>
  <c r="D6" i="10"/>
  <c r="C6" i="10"/>
  <c r="B6" i="10"/>
  <c r="J5" i="10"/>
  <c r="I5" i="10"/>
  <c r="H5" i="10"/>
  <c r="G5" i="10"/>
  <c r="F5" i="10"/>
  <c r="E5" i="10"/>
  <c r="D5" i="10"/>
  <c r="C5" i="10"/>
  <c r="B5" i="10"/>
  <c r="J4" i="10"/>
  <c r="I4" i="10"/>
  <c r="H4" i="10"/>
  <c r="G4" i="10"/>
  <c r="F4" i="10"/>
  <c r="E4" i="10"/>
  <c r="D4" i="10"/>
  <c r="C4" i="10"/>
  <c r="B4" i="10"/>
  <c r="J73" i="9"/>
  <c r="R73" i="9" s="1"/>
  <c r="I73" i="9"/>
  <c r="Q73" i="9" s="1"/>
  <c r="H73" i="9"/>
  <c r="P73" i="9" s="1"/>
  <c r="G73" i="9"/>
  <c r="O73" i="9" s="1"/>
  <c r="F73" i="9"/>
  <c r="N73" i="9" s="1"/>
  <c r="E73" i="9"/>
  <c r="M73" i="9" s="1"/>
  <c r="D73" i="9"/>
  <c r="L73" i="9" s="1"/>
  <c r="C73" i="9"/>
  <c r="B73" i="9"/>
  <c r="A73" i="9"/>
  <c r="J72" i="9"/>
  <c r="R72" i="9" s="1"/>
  <c r="I72" i="9"/>
  <c r="Q72" i="9" s="1"/>
  <c r="H72" i="9"/>
  <c r="P72" i="9" s="1"/>
  <c r="G72" i="9"/>
  <c r="O72" i="9" s="1"/>
  <c r="F72" i="9"/>
  <c r="N72" i="9" s="1"/>
  <c r="E72" i="9"/>
  <c r="M72" i="9" s="1"/>
  <c r="D72" i="9"/>
  <c r="L72" i="9" s="1"/>
  <c r="C72" i="9"/>
  <c r="B72" i="9"/>
  <c r="A72" i="9"/>
  <c r="J71" i="9"/>
  <c r="R71" i="9" s="1"/>
  <c r="I71" i="9"/>
  <c r="Q71" i="9" s="1"/>
  <c r="C71" i="9"/>
  <c r="B71" i="9"/>
  <c r="A71" i="9"/>
  <c r="E71" i="9" s="1"/>
  <c r="J70" i="9"/>
  <c r="R70" i="9" s="1"/>
  <c r="I70" i="9"/>
  <c r="Q70" i="9" s="1"/>
  <c r="C70" i="9"/>
  <c r="B70" i="9"/>
  <c r="A70" i="9"/>
  <c r="H70" i="9" s="1"/>
  <c r="J69" i="9"/>
  <c r="R69" i="9" s="1"/>
  <c r="C69" i="9"/>
  <c r="B69" i="9"/>
  <c r="A69" i="9"/>
  <c r="D69" i="9" s="1"/>
  <c r="J68" i="9"/>
  <c r="R68" i="9" s="1"/>
  <c r="C68" i="9"/>
  <c r="B68" i="9"/>
  <c r="A68" i="9"/>
  <c r="J67" i="9"/>
  <c r="R67" i="9" s="1"/>
  <c r="I67" i="9"/>
  <c r="C67" i="9"/>
  <c r="B67" i="9"/>
  <c r="A67" i="9"/>
  <c r="H67" i="9" s="1"/>
  <c r="J66" i="9"/>
  <c r="R66" i="9" s="1"/>
  <c r="C66" i="9"/>
  <c r="B66" i="9"/>
  <c r="A66" i="9"/>
  <c r="E66" i="9" s="1"/>
  <c r="J65" i="9"/>
  <c r="R65" i="9" s="1"/>
  <c r="I65" i="9"/>
  <c r="Q65" i="9" s="1"/>
  <c r="H65" i="9"/>
  <c r="P65" i="9" s="1"/>
  <c r="G65" i="9"/>
  <c r="O65" i="9" s="1"/>
  <c r="F65" i="9"/>
  <c r="N65" i="9" s="1"/>
  <c r="E65" i="9"/>
  <c r="M65" i="9" s="1"/>
  <c r="D65" i="9"/>
  <c r="L65" i="9" s="1"/>
  <c r="C65" i="9"/>
  <c r="B65" i="9"/>
  <c r="A65" i="9"/>
  <c r="J64" i="9"/>
  <c r="R64" i="9" s="1"/>
  <c r="I64" i="9"/>
  <c r="Q64" i="9" s="1"/>
  <c r="H64" i="9"/>
  <c r="P64" i="9" s="1"/>
  <c r="G64" i="9"/>
  <c r="O64" i="9" s="1"/>
  <c r="F64" i="9"/>
  <c r="N64" i="9" s="1"/>
  <c r="E64" i="9"/>
  <c r="M64" i="9" s="1"/>
  <c r="D64" i="9"/>
  <c r="L64" i="9" s="1"/>
  <c r="C64" i="9"/>
  <c r="B64" i="9"/>
  <c r="A64" i="9"/>
  <c r="J63" i="9"/>
  <c r="R63" i="9" s="1"/>
  <c r="H63" i="9"/>
  <c r="G63" i="9"/>
  <c r="F63" i="9"/>
  <c r="D63" i="9"/>
  <c r="C63" i="9"/>
  <c r="B63" i="9"/>
  <c r="A63" i="9"/>
  <c r="I63" i="9" s="1"/>
  <c r="J62" i="9"/>
  <c r="R62" i="9" s="1"/>
  <c r="I62" i="9"/>
  <c r="Q62" i="9" s="1"/>
  <c r="H62" i="9"/>
  <c r="C62" i="9"/>
  <c r="B62" i="9"/>
  <c r="A62" i="9"/>
  <c r="G62" i="9" s="1"/>
  <c r="J61" i="9"/>
  <c r="R61" i="9" s="1"/>
  <c r="C61" i="9"/>
  <c r="B61" i="9"/>
  <c r="A61" i="9"/>
  <c r="D61" i="9" s="1"/>
  <c r="J60" i="9"/>
  <c r="R60" i="9" s="1"/>
  <c r="C60" i="9"/>
  <c r="B60" i="9"/>
  <c r="A60" i="9"/>
  <c r="I60" i="9" s="1"/>
  <c r="J59" i="9"/>
  <c r="R59" i="9" s="1"/>
  <c r="G59" i="9"/>
  <c r="C59" i="9"/>
  <c r="B59" i="9"/>
  <c r="A59" i="9"/>
  <c r="D59" i="9" s="1"/>
  <c r="J58" i="9"/>
  <c r="R58" i="9" s="1"/>
  <c r="C58" i="9"/>
  <c r="B58" i="9"/>
  <c r="A58" i="9"/>
  <c r="I58" i="9" s="1"/>
  <c r="J57" i="9"/>
  <c r="R57" i="9" s="1"/>
  <c r="I57" i="9"/>
  <c r="Q57" i="9" s="1"/>
  <c r="H57" i="9"/>
  <c r="P57" i="9" s="1"/>
  <c r="G57" i="9"/>
  <c r="O57" i="9" s="1"/>
  <c r="F57" i="9"/>
  <c r="N57" i="9" s="1"/>
  <c r="E57" i="9"/>
  <c r="M57" i="9" s="1"/>
  <c r="D57" i="9"/>
  <c r="L57" i="9" s="1"/>
  <c r="C57" i="9"/>
  <c r="B57" i="9"/>
  <c r="A57" i="9"/>
  <c r="J56" i="9"/>
  <c r="R56" i="9" s="1"/>
  <c r="I56" i="9"/>
  <c r="Q56" i="9" s="1"/>
  <c r="H56" i="9"/>
  <c r="P56" i="9" s="1"/>
  <c r="G56" i="9"/>
  <c r="O56" i="9" s="1"/>
  <c r="F56" i="9"/>
  <c r="N56" i="9" s="1"/>
  <c r="E56" i="9"/>
  <c r="M56" i="9" s="1"/>
  <c r="D56" i="9"/>
  <c r="L56" i="9" s="1"/>
  <c r="C56" i="9"/>
  <c r="B56" i="9"/>
  <c r="A56" i="9"/>
  <c r="J55" i="9"/>
  <c r="R55" i="9" s="1"/>
  <c r="C55" i="9"/>
  <c r="B55" i="9"/>
  <c r="A55" i="9"/>
  <c r="D55" i="9" s="1"/>
  <c r="J54" i="9"/>
  <c r="R54" i="9" s="1"/>
  <c r="I54" i="9"/>
  <c r="H54" i="9"/>
  <c r="G54" i="9"/>
  <c r="F54" i="9"/>
  <c r="C54" i="9"/>
  <c r="B54" i="9"/>
  <c r="A54" i="9"/>
  <c r="E54" i="9" s="1"/>
  <c r="J53" i="9"/>
  <c r="R53" i="9" s="1"/>
  <c r="I53" i="9"/>
  <c r="H53" i="9"/>
  <c r="G53" i="9"/>
  <c r="E53" i="9"/>
  <c r="C53" i="9"/>
  <c r="B53" i="9"/>
  <c r="A53" i="9"/>
  <c r="F53" i="9" s="1"/>
  <c r="J52" i="9"/>
  <c r="R52" i="9" s="1"/>
  <c r="I52" i="9"/>
  <c r="H52" i="9"/>
  <c r="G52" i="9"/>
  <c r="F52" i="9"/>
  <c r="E52" i="9"/>
  <c r="C52" i="9"/>
  <c r="B52" i="9"/>
  <c r="A52" i="9"/>
  <c r="D52" i="9" s="1"/>
  <c r="J51" i="9"/>
  <c r="R51" i="9" s="1"/>
  <c r="C51" i="9"/>
  <c r="B51" i="9"/>
  <c r="A51" i="9"/>
  <c r="H51" i="9" s="1"/>
  <c r="J50" i="9"/>
  <c r="R50" i="9" s="1"/>
  <c r="C50" i="9"/>
  <c r="B50" i="9"/>
  <c r="A50" i="9"/>
  <c r="F50" i="9" s="1"/>
  <c r="J49" i="9"/>
  <c r="R49" i="9" s="1"/>
  <c r="I49" i="9"/>
  <c r="Q49" i="9" s="1"/>
  <c r="H49" i="9"/>
  <c r="P49" i="9" s="1"/>
  <c r="G49" i="9"/>
  <c r="O49" i="9" s="1"/>
  <c r="F49" i="9"/>
  <c r="N49" i="9" s="1"/>
  <c r="E49" i="9"/>
  <c r="M49" i="9" s="1"/>
  <c r="D49" i="9"/>
  <c r="L49" i="9" s="1"/>
  <c r="C49" i="9"/>
  <c r="B49" i="9"/>
  <c r="A49" i="9"/>
  <c r="J48" i="9"/>
  <c r="R48" i="9" s="1"/>
  <c r="I48" i="9"/>
  <c r="Q48" i="9" s="1"/>
  <c r="H48" i="9"/>
  <c r="P48" i="9" s="1"/>
  <c r="G48" i="9"/>
  <c r="O48" i="9" s="1"/>
  <c r="F48" i="9"/>
  <c r="N48" i="9" s="1"/>
  <c r="E48" i="9"/>
  <c r="M48" i="9" s="1"/>
  <c r="D48" i="9"/>
  <c r="L48" i="9" s="1"/>
  <c r="C48" i="9"/>
  <c r="B48" i="9"/>
  <c r="A48" i="9"/>
  <c r="J47" i="9"/>
  <c r="R47" i="9" s="1"/>
  <c r="C47" i="9"/>
  <c r="B47" i="9"/>
  <c r="A47" i="9"/>
  <c r="H47" i="9" s="1"/>
  <c r="J46" i="9"/>
  <c r="R46" i="9" s="1"/>
  <c r="C46" i="9"/>
  <c r="B46" i="9"/>
  <c r="A46" i="9"/>
  <c r="H46" i="9" s="1"/>
  <c r="J45" i="9"/>
  <c r="R45" i="9" s="1"/>
  <c r="C45" i="9"/>
  <c r="B45" i="9"/>
  <c r="A45" i="9"/>
  <c r="F45" i="9" s="1"/>
  <c r="J44" i="9"/>
  <c r="R44" i="9" s="1"/>
  <c r="C44" i="9"/>
  <c r="B44" i="9"/>
  <c r="A44" i="9"/>
  <c r="G44" i="9" s="1"/>
  <c r="J43" i="9"/>
  <c r="R43" i="9" s="1"/>
  <c r="C43" i="9"/>
  <c r="B43" i="9"/>
  <c r="A43" i="9"/>
  <c r="J42" i="9"/>
  <c r="R42" i="9" s="1"/>
  <c r="C42" i="9"/>
  <c r="B42" i="9"/>
  <c r="A42" i="9"/>
  <c r="G42" i="9" s="1"/>
  <c r="R41" i="9"/>
  <c r="J41" i="9"/>
  <c r="I41" i="9"/>
  <c r="Q41" i="9" s="1"/>
  <c r="H41" i="9"/>
  <c r="P41" i="9" s="1"/>
  <c r="G41" i="9"/>
  <c r="O41" i="9" s="1"/>
  <c r="F41" i="9"/>
  <c r="N41" i="9" s="1"/>
  <c r="E41" i="9"/>
  <c r="M41" i="9" s="1"/>
  <c r="D41" i="9"/>
  <c r="L41" i="9" s="1"/>
  <c r="C41" i="9"/>
  <c r="B41" i="9"/>
  <c r="A41" i="9"/>
  <c r="J40" i="9"/>
  <c r="R40" i="9" s="1"/>
  <c r="I40" i="9"/>
  <c r="Q40" i="9" s="1"/>
  <c r="H40" i="9"/>
  <c r="P40" i="9" s="1"/>
  <c r="G40" i="9"/>
  <c r="O40" i="9" s="1"/>
  <c r="F40" i="9"/>
  <c r="N40" i="9" s="1"/>
  <c r="E40" i="9"/>
  <c r="M40" i="9" s="1"/>
  <c r="D40" i="9"/>
  <c r="L40" i="9" s="1"/>
  <c r="C40" i="9"/>
  <c r="B40" i="9"/>
  <c r="A40" i="9"/>
  <c r="J39" i="9"/>
  <c r="R39" i="9" s="1"/>
  <c r="I39" i="9"/>
  <c r="Q39" i="9" s="1"/>
  <c r="F39" i="9"/>
  <c r="C39" i="9"/>
  <c r="B39" i="9"/>
  <c r="A39" i="9"/>
  <c r="D39" i="9" s="1"/>
  <c r="P38" i="9"/>
  <c r="J38" i="9"/>
  <c r="R38" i="9" s="1"/>
  <c r="H38" i="9"/>
  <c r="C38" i="9"/>
  <c r="B38" i="9"/>
  <c r="A38" i="9"/>
  <c r="I38" i="9" s="1"/>
  <c r="J37" i="9"/>
  <c r="R37" i="9" s="1"/>
  <c r="C37" i="9"/>
  <c r="B37" i="9"/>
  <c r="A37" i="9"/>
  <c r="E37" i="9" s="1"/>
  <c r="J36" i="9"/>
  <c r="R36" i="9" s="1"/>
  <c r="C36" i="9"/>
  <c r="B36" i="9"/>
  <c r="A36" i="9"/>
  <c r="J35" i="9"/>
  <c r="R35" i="9" s="1"/>
  <c r="C35" i="9"/>
  <c r="B35" i="9"/>
  <c r="A35" i="9"/>
  <c r="D35" i="9" s="1"/>
  <c r="J34" i="9"/>
  <c r="R34" i="9" s="1"/>
  <c r="C34" i="9"/>
  <c r="B34" i="9"/>
  <c r="A34" i="9"/>
  <c r="H34" i="9" s="1"/>
  <c r="J33" i="9"/>
  <c r="R33" i="9" s="1"/>
  <c r="I33" i="9"/>
  <c r="Q33" i="9" s="1"/>
  <c r="H33" i="9"/>
  <c r="P33" i="9" s="1"/>
  <c r="G33" i="9"/>
  <c r="O33" i="9" s="1"/>
  <c r="F33" i="9"/>
  <c r="N33" i="9" s="1"/>
  <c r="E33" i="9"/>
  <c r="M33" i="9" s="1"/>
  <c r="D33" i="9"/>
  <c r="L33" i="9" s="1"/>
  <c r="C33" i="9"/>
  <c r="B33" i="9"/>
  <c r="A33" i="9"/>
  <c r="J32" i="9"/>
  <c r="R32" i="9" s="1"/>
  <c r="I32" i="9"/>
  <c r="Q32" i="9" s="1"/>
  <c r="H32" i="9"/>
  <c r="P32" i="9" s="1"/>
  <c r="G32" i="9"/>
  <c r="O32" i="9" s="1"/>
  <c r="F32" i="9"/>
  <c r="N32" i="9" s="1"/>
  <c r="E32" i="9"/>
  <c r="M32" i="9" s="1"/>
  <c r="D32" i="9"/>
  <c r="L32" i="9" s="1"/>
  <c r="C32" i="9"/>
  <c r="B32" i="9"/>
  <c r="A32" i="9"/>
  <c r="J31" i="9"/>
  <c r="R31" i="9" s="1"/>
  <c r="I31" i="9"/>
  <c r="Q31" i="9" s="1"/>
  <c r="C31" i="9"/>
  <c r="B31" i="9"/>
  <c r="A31" i="9"/>
  <c r="G31" i="9" s="1"/>
  <c r="J30" i="9"/>
  <c r="R30" i="9" s="1"/>
  <c r="H30" i="9"/>
  <c r="P30" i="9" s="1"/>
  <c r="G30" i="9"/>
  <c r="F30" i="9"/>
  <c r="E30" i="9"/>
  <c r="D30" i="9"/>
  <c r="C30" i="9"/>
  <c r="B30" i="9"/>
  <c r="A30" i="9"/>
  <c r="I30" i="9" s="1"/>
  <c r="J29" i="9"/>
  <c r="R29" i="9" s="1"/>
  <c r="C29" i="9"/>
  <c r="B29" i="9"/>
  <c r="A29" i="9"/>
  <c r="H29" i="9" s="1"/>
  <c r="J28" i="9"/>
  <c r="R28" i="9" s="1"/>
  <c r="C28" i="9"/>
  <c r="B28" i="9"/>
  <c r="A28" i="9"/>
  <c r="E28" i="9" s="1"/>
  <c r="J27" i="9"/>
  <c r="R27" i="9" s="1"/>
  <c r="C27" i="9"/>
  <c r="B27" i="9"/>
  <c r="A27" i="9"/>
  <c r="H27" i="9" s="1"/>
  <c r="J26" i="9"/>
  <c r="R26" i="9" s="1"/>
  <c r="C26" i="9"/>
  <c r="B26" i="9"/>
  <c r="A26" i="9"/>
  <c r="E26" i="9" s="1"/>
  <c r="N25" i="9"/>
  <c r="J25" i="9"/>
  <c r="R25" i="9" s="1"/>
  <c r="I25" i="9"/>
  <c r="Q25" i="9" s="1"/>
  <c r="H25" i="9"/>
  <c r="P25" i="9" s="1"/>
  <c r="G25" i="9"/>
  <c r="F25" i="9"/>
  <c r="E25" i="9"/>
  <c r="M25" i="9" s="1"/>
  <c r="D25" i="9"/>
  <c r="L25" i="9" s="1"/>
  <c r="C25" i="9"/>
  <c r="B25" i="9"/>
  <c r="A25" i="9"/>
  <c r="J24" i="9"/>
  <c r="R24" i="9" s="1"/>
  <c r="H24" i="9"/>
  <c r="P24" i="9" s="1"/>
  <c r="F24" i="9"/>
  <c r="N24" i="9" s="1"/>
  <c r="E24" i="9"/>
  <c r="M24" i="9" s="1"/>
  <c r="D24" i="9"/>
  <c r="L24" i="9" s="1"/>
  <c r="C24" i="9"/>
  <c r="B24" i="9"/>
  <c r="A24" i="9"/>
  <c r="J23" i="9"/>
  <c r="R23" i="9" s="1"/>
  <c r="C23" i="9"/>
  <c r="B23" i="9"/>
  <c r="A23" i="9"/>
  <c r="I23" i="9" s="1"/>
  <c r="J22" i="9"/>
  <c r="R22" i="9" s="1"/>
  <c r="G22" i="9"/>
  <c r="O22" i="9" s="1"/>
  <c r="C22" i="9"/>
  <c r="B22" i="9"/>
  <c r="A22" i="9"/>
  <c r="D22" i="9" s="1"/>
  <c r="J21" i="9"/>
  <c r="R21" i="9" s="1"/>
  <c r="C21" i="9"/>
  <c r="B21" i="9"/>
  <c r="A21" i="9"/>
  <c r="I21" i="9" s="1"/>
  <c r="J20" i="9"/>
  <c r="R20" i="9" s="1"/>
  <c r="C20" i="9"/>
  <c r="B20" i="9"/>
  <c r="A20" i="9"/>
  <c r="I20" i="9" s="1"/>
  <c r="J19" i="9"/>
  <c r="R19" i="9" s="1"/>
  <c r="C19" i="9"/>
  <c r="B19" i="9"/>
  <c r="A19" i="9"/>
  <c r="D19" i="9" s="1"/>
  <c r="J18" i="9"/>
  <c r="R18" i="9" s="1"/>
  <c r="C18" i="9"/>
  <c r="B18" i="9"/>
  <c r="A18" i="9"/>
  <c r="E18" i="9" s="1"/>
  <c r="J17" i="9"/>
  <c r="R17" i="9" s="1"/>
  <c r="I17" i="9"/>
  <c r="Q17" i="9" s="1"/>
  <c r="H17" i="9"/>
  <c r="P17" i="9" s="1"/>
  <c r="G17" i="9"/>
  <c r="O17" i="9" s="1"/>
  <c r="F17" i="9"/>
  <c r="N17" i="9" s="1"/>
  <c r="E17" i="9"/>
  <c r="M17" i="9" s="1"/>
  <c r="D17" i="9"/>
  <c r="L17" i="9" s="1"/>
  <c r="C17" i="9"/>
  <c r="B17" i="9"/>
  <c r="A17" i="9"/>
  <c r="J16" i="9"/>
  <c r="R16" i="9" s="1"/>
  <c r="I16" i="9"/>
  <c r="Q16" i="9" s="1"/>
  <c r="H16" i="9"/>
  <c r="P16" i="9" s="1"/>
  <c r="G16" i="9"/>
  <c r="O16" i="9" s="1"/>
  <c r="F16" i="9"/>
  <c r="N16" i="9" s="1"/>
  <c r="E16" i="9"/>
  <c r="M16" i="9" s="1"/>
  <c r="D16" i="9"/>
  <c r="L16" i="9" s="1"/>
  <c r="C16" i="9"/>
  <c r="B16" i="9"/>
  <c r="A16" i="9"/>
  <c r="J15" i="9"/>
  <c r="R15" i="9" s="1"/>
  <c r="I15" i="9"/>
  <c r="F15" i="9"/>
  <c r="D15" i="9"/>
  <c r="C15" i="9"/>
  <c r="B15" i="9"/>
  <c r="A15" i="9"/>
  <c r="J14" i="9"/>
  <c r="R14" i="9" s="1"/>
  <c r="E14" i="9"/>
  <c r="M14" i="9" s="1"/>
  <c r="C14" i="9"/>
  <c r="B14" i="9"/>
  <c r="A14" i="9"/>
  <c r="F14" i="9" s="1"/>
  <c r="J13" i="9"/>
  <c r="R13" i="9" s="1"/>
  <c r="C13" i="9"/>
  <c r="B13" i="9"/>
  <c r="A13" i="9"/>
  <c r="F13" i="9" s="1"/>
  <c r="J12" i="9"/>
  <c r="R12" i="9" s="1"/>
  <c r="C12" i="9"/>
  <c r="B12" i="9"/>
  <c r="A12" i="9"/>
  <c r="D12" i="9" s="1"/>
  <c r="J11" i="9"/>
  <c r="R11" i="9" s="1"/>
  <c r="C11" i="9"/>
  <c r="B11" i="9"/>
  <c r="A11" i="9"/>
  <c r="H11" i="9" s="1"/>
  <c r="J10" i="9"/>
  <c r="R10" i="9" s="1"/>
  <c r="C10" i="9"/>
  <c r="B10" i="9"/>
  <c r="A10" i="9"/>
  <c r="D10" i="9" s="1"/>
  <c r="Q9" i="9"/>
  <c r="J9" i="9"/>
  <c r="R9" i="9" s="1"/>
  <c r="I9" i="9"/>
  <c r="H9" i="9"/>
  <c r="P9" i="9" s="1"/>
  <c r="G9" i="9"/>
  <c r="O9" i="9" s="1"/>
  <c r="F9" i="9"/>
  <c r="N9" i="9" s="1"/>
  <c r="E9" i="9"/>
  <c r="M9" i="9" s="1"/>
  <c r="D9" i="9"/>
  <c r="L9" i="9" s="1"/>
  <c r="C9" i="9"/>
  <c r="B9" i="9"/>
  <c r="A9" i="9"/>
  <c r="J8" i="9"/>
  <c r="R8" i="9" s="1"/>
  <c r="I8" i="9"/>
  <c r="Q8" i="9" s="1"/>
  <c r="H8" i="9"/>
  <c r="P8" i="9" s="1"/>
  <c r="G8" i="9"/>
  <c r="O8" i="9" s="1"/>
  <c r="F8" i="9"/>
  <c r="N8" i="9" s="1"/>
  <c r="E8" i="9"/>
  <c r="M8" i="9" s="1"/>
  <c r="D8" i="9"/>
  <c r="L8" i="9" s="1"/>
  <c r="C8" i="9"/>
  <c r="B8" i="9"/>
  <c r="A8" i="9"/>
  <c r="J7" i="9"/>
  <c r="R7" i="9" s="1"/>
  <c r="I7" i="9"/>
  <c r="Q7" i="9" s="1"/>
  <c r="G7" i="9"/>
  <c r="C7" i="9"/>
  <c r="B7" i="9"/>
  <c r="A7" i="9"/>
  <c r="H7" i="9" s="1"/>
  <c r="J6" i="9"/>
  <c r="R6" i="9" s="1"/>
  <c r="E6" i="9"/>
  <c r="M6" i="9" s="1"/>
  <c r="C6" i="9"/>
  <c r="B6" i="9"/>
  <c r="A6" i="9"/>
  <c r="I6" i="9" s="1"/>
  <c r="J5" i="9"/>
  <c r="R5" i="9" s="1"/>
  <c r="I5" i="9"/>
  <c r="G5" i="9"/>
  <c r="F5" i="9"/>
  <c r="E5" i="9"/>
  <c r="C5" i="9"/>
  <c r="B5" i="9"/>
  <c r="A5" i="9"/>
  <c r="H5" i="9" s="1"/>
  <c r="J4" i="9"/>
  <c r="R4" i="9" s="1"/>
  <c r="C4" i="9"/>
  <c r="B4" i="9"/>
  <c r="A4" i="9"/>
  <c r="I4" i="9" s="1"/>
  <c r="J3" i="9"/>
  <c r="R3" i="9" s="1"/>
  <c r="C3" i="9"/>
  <c r="B3" i="9"/>
  <c r="A3" i="9"/>
  <c r="I3" i="9" s="1"/>
  <c r="J2" i="9"/>
  <c r="R2" i="9" s="1"/>
  <c r="G2" i="9"/>
  <c r="E2" i="9"/>
  <c r="D2" i="9"/>
  <c r="C2" i="9"/>
  <c r="B2" i="9"/>
  <c r="A2" i="9"/>
  <c r="J73" i="8"/>
  <c r="I73" i="8"/>
  <c r="H73" i="8"/>
  <c r="G73" i="8"/>
  <c r="F73" i="8"/>
  <c r="E73" i="8"/>
  <c r="D73" i="8"/>
  <c r="C73" i="8"/>
  <c r="B73" i="8"/>
  <c r="A73" i="8"/>
  <c r="J72" i="8"/>
  <c r="I72" i="8"/>
  <c r="H72" i="8"/>
  <c r="G72" i="8"/>
  <c r="F72" i="8"/>
  <c r="E72" i="8"/>
  <c r="D72" i="8"/>
  <c r="C72" i="8"/>
  <c r="B72" i="8"/>
  <c r="A72" i="8"/>
  <c r="J71" i="8"/>
  <c r="I71" i="8"/>
  <c r="D71" i="8"/>
  <c r="C71" i="8"/>
  <c r="B71" i="8"/>
  <c r="A71" i="8"/>
  <c r="H71" i="8" s="1"/>
  <c r="J70" i="8"/>
  <c r="I70" i="8"/>
  <c r="C70" i="8"/>
  <c r="B70" i="8"/>
  <c r="A70" i="8"/>
  <c r="H70" i="8" s="1"/>
  <c r="J69" i="8"/>
  <c r="D69" i="8"/>
  <c r="C69" i="8"/>
  <c r="B69" i="8"/>
  <c r="A69" i="8"/>
  <c r="I69" i="8" s="1"/>
  <c r="J68" i="8"/>
  <c r="C68" i="8"/>
  <c r="B68" i="8"/>
  <c r="A68" i="8"/>
  <c r="E68" i="8" s="1"/>
  <c r="J67" i="8"/>
  <c r="C67" i="8"/>
  <c r="B67" i="8"/>
  <c r="A67" i="8"/>
  <c r="I67" i="8" s="1"/>
  <c r="J66" i="8"/>
  <c r="C66" i="8"/>
  <c r="B66" i="8"/>
  <c r="A66" i="8"/>
  <c r="J65" i="8"/>
  <c r="I65" i="8"/>
  <c r="H65" i="8"/>
  <c r="G65" i="8"/>
  <c r="F65" i="8"/>
  <c r="E65" i="8"/>
  <c r="D65" i="8"/>
  <c r="C65" i="8"/>
  <c r="B65" i="8"/>
  <c r="A65" i="8"/>
  <c r="J64" i="8"/>
  <c r="I64" i="8"/>
  <c r="H64" i="8"/>
  <c r="G64" i="8"/>
  <c r="F64" i="8"/>
  <c r="E64" i="8"/>
  <c r="D64" i="8"/>
  <c r="C64" i="8"/>
  <c r="B64" i="8"/>
  <c r="A64" i="8"/>
  <c r="J63" i="8"/>
  <c r="I63" i="8"/>
  <c r="H63" i="8"/>
  <c r="G63" i="8"/>
  <c r="F63" i="8"/>
  <c r="E63" i="8"/>
  <c r="D63" i="8"/>
  <c r="C63" i="8"/>
  <c r="B63" i="8"/>
  <c r="A63" i="8"/>
  <c r="J62" i="8"/>
  <c r="I62" i="8"/>
  <c r="C62" i="8"/>
  <c r="B62" i="8"/>
  <c r="A62" i="8"/>
  <c r="G62" i="8" s="1"/>
  <c r="J61" i="8"/>
  <c r="I61" i="8"/>
  <c r="C61" i="8"/>
  <c r="B61" i="8"/>
  <c r="A61" i="8"/>
  <c r="H61" i="8" s="1"/>
  <c r="J60" i="8"/>
  <c r="C60" i="8"/>
  <c r="B60" i="8"/>
  <c r="A60" i="8"/>
  <c r="E60" i="8" s="1"/>
  <c r="J59" i="8"/>
  <c r="C59" i="8"/>
  <c r="B59" i="8"/>
  <c r="A59" i="8"/>
  <c r="H59" i="8" s="1"/>
  <c r="J58" i="8"/>
  <c r="C58" i="8"/>
  <c r="B58" i="8"/>
  <c r="A58" i="8"/>
  <c r="J57" i="8"/>
  <c r="I57" i="8"/>
  <c r="H57" i="8"/>
  <c r="G57" i="8"/>
  <c r="F57" i="8"/>
  <c r="E57" i="8"/>
  <c r="D57" i="8"/>
  <c r="C57" i="8"/>
  <c r="B57" i="8"/>
  <c r="A57" i="8"/>
  <c r="J56" i="8"/>
  <c r="I56" i="8"/>
  <c r="H56" i="8"/>
  <c r="G56" i="8"/>
  <c r="F56" i="8"/>
  <c r="E56" i="8"/>
  <c r="D56" i="8"/>
  <c r="C56" i="8"/>
  <c r="B56" i="8"/>
  <c r="A56" i="8"/>
  <c r="J55" i="8"/>
  <c r="G55" i="8"/>
  <c r="F55" i="8"/>
  <c r="E55" i="8"/>
  <c r="D55" i="8"/>
  <c r="C55" i="8"/>
  <c r="B55" i="8"/>
  <c r="A55" i="8"/>
  <c r="I55" i="8" s="1"/>
  <c r="J54" i="8"/>
  <c r="C54" i="8"/>
  <c r="B54" i="8"/>
  <c r="A54" i="8"/>
  <c r="H54" i="8" s="1"/>
  <c r="J53" i="8"/>
  <c r="C53" i="8"/>
  <c r="B53" i="8"/>
  <c r="A53" i="8"/>
  <c r="I53" i="8" s="1"/>
  <c r="J52" i="8"/>
  <c r="C52" i="8"/>
  <c r="B52" i="8"/>
  <c r="A52" i="8"/>
  <c r="E52" i="8" s="1"/>
  <c r="J51" i="8"/>
  <c r="C51" i="8"/>
  <c r="B51" i="8"/>
  <c r="A51" i="8"/>
  <c r="H51" i="8" s="1"/>
  <c r="J50" i="8"/>
  <c r="E50" i="8"/>
  <c r="C50" i="8"/>
  <c r="B50" i="8"/>
  <c r="A50" i="8"/>
  <c r="D50" i="8" s="1"/>
  <c r="J49" i="8"/>
  <c r="I49" i="8"/>
  <c r="H49" i="8"/>
  <c r="G49" i="8"/>
  <c r="F49" i="8"/>
  <c r="E49" i="8"/>
  <c r="D49" i="8"/>
  <c r="C49" i="8"/>
  <c r="B49" i="8"/>
  <c r="A49" i="8"/>
  <c r="J48" i="8"/>
  <c r="I48" i="8"/>
  <c r="H48" i="8"/>
  <c r="G48" i="8"/>
  <c r="F48" i="8"/>
  <c r="E48" i="8"/>
  <c r="D48" i="8"/>
  <c r="C48" i="8"/>
  <c r="B48" i="8"/>
  <c r="A48" i="8"/>
  <c r="J47" i="8"/>
  <c r="I47" i="8"/>
  <c r="H47" i="8"/>
  <c r="G47" i="8"/>
  <c r="F47" i="8"/>
  <c r="E47" i="8"/>
  <c r="D47" i="8"/>
  <c r="C47" i="8"/>
  <c r="B47" i="8"/>
  <c r="A47" i="8"/>
  <c r="J46" i="8"/>
  <c r="I46" i="8"/>
  <c r="H46" i="8"/>
  <c r="G46" i="8"/>
  <c r="F46" i="8"/>
  <c r="E46" i="8"/>
  <c r="D46" i="8"/>
  <c r="C46" i="8"/>
  <c r="B46" i="8"/>
  <c r="A46" i="8"/>
  <c r="J45" i="8"/>
  <c r="I45" i="8"/>
  <c r="H45" i="8"/>
  <c r="G45" i="8"/>
  <c r="F45" i="8"/>
  <c r="E45" i="8"/>
  <c r="D45" i="8"/>
  <c r="C45" i="8"/>
  <c r="B45" i="8"/>
  <c r="A45" i="8"/>
  <c r="J44" i="8"/>
  <c r="C44" i="8"/>
  <c r="B44" i="8"/>
  <c r="A44" i="8"/>
  <c r="D44" i="8" s="1"/>
  <c r="J43" i="8"/>
  <c r="C43" i="8"/>
  <c r="B43" i="8"/>
  <c r="A43" i="8"/>
  <c r="H43" i="8" s="1"/>
  <c r="J42" i="8"/>
  <c r="C42" i="8"/>
  <c r="B42" i="8"/>
  <c r="A42" i="8"/>
  <c r="H42" i="8" s="1"/>
  <c r="J41" i="8"/>
  <c r="I41" i="8"/>
  <c r="H41" i="8"/>
  <c r="G41" i="8"/>
  <c r="F41" i="8"/>
  <c r="E41" i="8"/>
  <c r="D41" i="8"/>
  <c r="C41" i="8"/>
  <c r="B41" i="8"/>
  <c r="A41" i="8"/>
  <c r="J40" i="8"/>
  <c r="I40" i="8"/>
  <c r="H40" i="8"/>
  <c r="G40" i="8"/>
  <c r="F40" i="8"/>
  <c r="E40" i="8"/>
  <c r="D40" i="8"/>
  <c r="C40" i="8"/>
  <c r="B40" i="8"/>
  <c r="A40" i="8"/>
  <c r="J39" i="8"/>
  <c r="I39" i="8"/>
  <c r="C39" i="8"/>
  <c r="B39" i="8"/>
  <c r="A39" i="8"/>
  <c r="G39" i="8" s="1"/>
  <c r="J38" i="8"/>
  <c r="H38" i="8"/>
  <c r="C38" i="8"/>
  <c r="B38" i="8"/>
  <c r="A38" i="8"/>
  <c r="I38" i="8" s="1"/>
  <c r="J37" i="8"/>
  <c r="C37" i="8"/>
  <c r="B37" i="8"/>
  <c r="A37" i="8"/>
  <c r="G37" i="8" s="1"/>
  <c r="J36" i="8"/>
  <c r="H36" i="8"/>
  <c r="G36" i="8"/>
  <c r="E36" i="8"/>
  <c r="D36" i="8"/>
  <c r="C36" i="8"/>
  <c r="B36" i="8"/>
  <c r="A36" i="8"/>
  <c r="J35" i="8"/>
  <c r="C35" i="8"/>
  <c r="B35" i="8"/>
  <c r="A35" i="8"/>
  <c r="E35" i="8" s="1"/>
  <c r="J34" i="8"/>
  <c r="C34" i="8"/>
  <c r="B34" i="8"/>
  <c r="A34" i="8"/>
  <c r="H34" i="8" s="1"/>
  <c r="J33" i="8"/>
  <c r="I33" i="8"/>
  <c r="H33" i="8"/>
  <c r="G33" i="8"/>
  <c r="F33" i="8"/>
  <c r="E33" i="8"/>
  <c r="D33" i="8"/>
  <c r="C33" i="8"/>
  <c r="B33" i="8"/>
  <c r="A33" i="8"/>
  <c r="J32" i="8"/>
  <c r="I32" i="8"/>
  <c r="H32" i="8"/>
  <c r="G32" i="8"/>
  <c r="F32" i="8"/>
  <c r="E32" i="8"/>
  <c r="D32" i="8"/>
  <c r="C32" i="8"/>
  <c r="B32" i="8"/>
  <c r="A32" i="8"/>
  <c r="J31" i="8"/>
  <c r="I31" i="8"/>
  <c r="E31" i="8"/>
  <c r="D31" i="8"/>
  <c r="C31" i="8"/>
  <c r="B31" i="8"/>
  <c r="A31" i="8"/>
  <c r="G31" i="8" s="1"/>
  <c r="J30" i="8"/>
  <c r="H30" i="8"/>
  <c r="C30" i="8"/>
  <c r="B30" i="8"/>
  <c r="A30" i="8"/>
  <c r="I30" i="8" s="1"/>
  <c r="J29" i="8"/>
  <c r="C29" i="8"/>
  <c r="B29" i="8"/>
  <c r="A29" i="8"/>
  <c r="H29" i="8" s="1"/>
  <c r="J28" i="8"/>
  <c r="C28" i="8"/>
  <c r="B28" i="8"/>
  <c r="A28" i="8"/>
  <c r="J27" i="8"/>
  <c r="C27" i="8"/>
  <c r="B27" i="8"/>
  <c r="A27" i="8"/>
  <c r="I27" i="8" s="1"/>
  <c r="J26" i="8"/>
  <c r="C26" i="8"/>
  <c r="B26" i="8"/>
  <c r="A26" i="8"/>
  <c r="H26" i="8" s="1"/>
  <c r="J25" i="8"/>
  <c r="I25" i="8"/>
  <c r="H25" i="8"/>
  <c r="G25" i="8"/>
  <c r="F25" i="8"/>
  <c r="E25" i="8"/>
  <c r="D25" i="8"/>
  <c r="C25" i="8"/>
  <c r="B25" i="8"/>
  <c r="A25" i="8"/>
  <c r="J24" i="8"/>
  <c r="H24" i="8"/>
  <c r="F24" i="8"/>
  <c r="E24" i="8"/>
  <c r="D24" i="8"/>
  <c r="C24" i="8"/>
  <c r="B24" i="8"/>
  <c r="A24" i="8"/>
  <c r="I24" i="8" s="1"/>
  <c r="J23" i="8"/>
  <c r="I23" i="8"/>
  <c r="G23" i="8"/>
  <c r="F23" i="8"/>
  <c r="E23" i="8"/>
  <c r="D23" i="8"/>
  <c r="C23" i="8"/>
  <c r="B23" i="8"/>
  <c r="A23" i="8"/>
  <c r="H23" i="8" s="1"/>
  <c r="J22" i="8"/>
  <c r="I22" i="8"/>
  <c r="H22" i="8"/>
  <c r="G22" i="8"/>
  <c r="C22" i="8"/>
  <c r="B22" i="8"/>
  <c r="A22" i="8"/>
  <c r="E22" i="8" s="1"/>
  <c r="J21" i="8"/>
  <c r="C21" i="8"/>
  <c r="B21" i="8"/>
  <c r="A21" i="8"/>
  <c r="I21" i="8" s="1"/>
  <c r="J20" i="8"/>
  <c r="I20" i="8"/>
  <c r="G20" i="8"/>
  <c r="C20" i="8"/>
  <c r="B20" i="8"/>
  <c r="A20" i="8"/>
  <c r="F20" i="8" s="1"/>
  <c r="J19" i="8"/>
  <c r="C19" i="8"/>
  <c r="B19" i="8"/>
  <c r="A19" i="8"/>
  <c r="E19" i="8" s="1"/>
  <c r="J18" i="8"/>
  <c r="C18" i="8"/>
  <c r="B18" i="8"/>
  <c r="A18" i="8"/>
  <c r="E18" i="8" s="1"/>
  <c r="J17" i="8"/>
  <c r="I17" i="8"/>
  <c r="H17" i="8"/>
  <c r="G17" i="8"/>
  <c r="F17" i="8"/>
  <c r="E17" i="8"/>
  <c r="D17" i="8"/>
  <c r="C17" i="8"/>
  <c r="B17" i="8"/>
  <c r="A17" i="8"/>
  <c r="J16" i="8"/>
  <c r="I16" i="8"/>
  <c r="H16" i="8"/>
  <c r="G16" i="8"/>
  <c r="F16" i="8"/>
  <c r="E16" i="8"/>
  <c r="D16" i="8"/>
  <c r="C16" i="8"/>
  <c r="B16" i="8"/>
  <c r="A16" i="8"/>
  <c r="J15" i="8"/>
  <c r="G15" i="8"/>
  <c r="C15" i="8"/>
  <c r="B15" i="8"/>
  <c r="A15" i="8"/>
  <c r="I15" i="8" s="1"/>
  <c r="J14" i="8"/>
  <c r="I14" i="8"/>
  <c r="H14" i="8"/>
  <c r="G14" i="8"/>
  <c r="F14" i="8"/>
  <c r="E14" i="8"/>
  <c r="C14" i="8"/>
  <c r="B14" i="8"/>
  <c r="A14" i="8"/>
  <c r="D14" i="8" s="1"/>
  <c r="J13" i="8"/>
  <c r="C13" i="8"/>
  <c r="B13" i="8"/>
  <c r="A13" i="8"/>
  <c r="I13" i="8" s="1"/>
  <c r="J12" i="8"/>
  <c r="C12" i="8"/>
  <c r="B12" i="8"/>
  <c r="A12" i="8"/>
  <c r="J11" i="8"/>
  <c r="I11" i="8"/>
  <c r="H11" i="8"/>
  <c r="G11" i="8"/>
  <c r="F11" i="8"/>
  <c r="E11" i="8"/>
  <c r="D11" i="8"/>
  <c r="C11" i="8"/>
  <c r="B11" i="8"/>
  <c r="A11" i="8"/>
  <c r="J10" i="8"/>
  <c r="C10" i="8"/>
  <c r="B10" i="8"/>
  <c r="A10" i="8"/>
  <c r="H10" i="8" s="1"/>
  <c r="J9" i="8"/>
  <c r="I9" i="8"/>
  <c r="H9" i="8"/>
  <c r="G9" i="8"/>
  <c r="F9" i="8"/>
  <c r="E9" i="8"/>
  <c r="D9" i="8"/>
  <c r="C9" i="8"/>
  <c r="B9" i="8"/>
  <c r="A9" i="8"/>
  <c r="J8" i="8"/>
  <c r="I8" i="8"/>
  <c r="H8" i="8"/>
  <c r="G8" i="8"/>
  <c r="F8" i="8"/>
  <c r="E8" i="8"/>
  <c r="D8" i="8"/>
  <c r="C8" i="8"/>
  <c r="B8" i="8"/>
  <c r="A8" i="8"/>
  <c r="J7" i="8"/>
  <c r="I7" i="8"/>
  <c r="H7" i="8"/>
  <c r="G7" i="8"/>
  <c r="F7" i="8"/>
  <c r="E7" i="8"/>
  <c r="D7" i="8"/>
  <c r="C7" i="8"/>
  <c r="B7" i="8"/>
  <c r="A7" i="8"/>
  <c r="J6" i="8"/>
  <c r="E6" i="8"/>
  <c r="C6" i="8"/>
  <c r="B6" i="8"/>
  <c r="A6" i="8"/>
  <c r="D6" i="8" s="1"/>
  <c r="J5" i="8"/>
  <c r="C5" i="8"/>
  <c r="B5" i="8"/>
  <c r="A5" i="8"/>
  <c r="I5" i="8" s="1"/>
  <c r="J4" i="8"/>
  <c r="C4" i="8"/>
  <c r="B4" i="8"/>
  <c r="A4" i="8"/>
  <c r="H4" i="8" s="1"/>
  <c r="J3" i="8"/>
  <c r="C3" i="8"/>
  <c r="B3" i="8"/>
  <c r="A3" i="8"/>
  <c r="H3" i="8" s="1"/>
  <c r="J2" i="8"/>
  <c r="C2" i="8"/>
  <c r="B2" i="8"/>
  <c r="A2" i="8"/>
  <c r="H2" i="8" s="1"/>
  <c r="F21" i="6"/>
  <c r="E21" i="6"/>
  <c r="C21" i="6"/>
  <c r="D21" i="6" s="1"/>
  <c r="F20" i="6"/>
  <c r="E20" i="6"/>
  <c r="D20" i="6"/>
  <c r="G20" i="6" s="1"/>
  <c r="C20" i="6"/>
  <c r="F19" i="6"/>
  <c r="E19" i="6"/>
  <c r="C19" i="6"/>
  <c r="D19" i="6" s="1"/>
  <c r="F18" i="6"/>
  <c r="E18" i="6"/>
  <c r="C18" i="6"/>
  <c r="D18" i="6" s="1"/>
  <c r="F17" i="6"/>
  <c r="E17" i="6"/>
  <c r="C17" i="6"/>
  <c r="D17" i="6" s="1"/>
  <c r="G17" i="6" s="1"/>
  <c r="F16" i="6"/>
  <c r="E16" i="6"/>
  <c r="C16" i="6"/>
  <c r="D16" i="6" s="1"/>
  <c r="F15" i="6"/>
  <c r="E15" i="6"/>
  <c r="C15" i="6"/>
  <c r="D15" i="6" s="1"/>
  <c r="F14" i="6"/>
  <c r="E14" i="6"/>
  <c r="C14" i="6"/>
  <c r="D14" i="6" s="1"/>
  <c r="F13" i="6"/>
  <c r="E13" i="6"/>
  <c r="C13" i="6"/>
  <c r="D13" i="6" s="1"/>
  <c r="F12" i="6"/>
  <c r="E12" i="6"/>
  <c r="C12" i="6"/>
  <c r="D12" i="6" s="1"/>
  <c r="F11" i="6"/>
  <c r="E11" i="6"/>
  <c r="C11" i="6"/>
  <c r="D11" i="6" s="1"/>
  <c r="F10" i="6"/>
  <c r="E10" i="6"/>
  <c r="G10" i="6" s="1"/>
  <c r="D10" i="6"/>
  <c r="C10" i="6"/>
  <c r="F9" i="6"/>
  <c r="E9" i="6"/>
  <c r="C9" i="6"/>
  <c r="D9" i="6" s="1"/>
  <c r="F8" i="6"/>
  <c r="E8" i="6"/>
  <c r="C8" i="6"/>
  <c r="D8" i="6" s="1"/>
  <c r="G8" i="6" s="1"/>
  <c r="F7" i="6"/>
  <c r="E7" i="6"/>
  <c r="C7" i="6"/>
  <c r="D7" i="6" s="1"/>
  <c r="F6" i="6"/>
  <c r="E6" i="6"/>
  <c r="C6" i="6"/>
  <c r="D6" i="6" s="1"/>
  <c r="F5" i="6"/>
  <c r="E5" i="6"/>
  <c r="C5" i="6"/>
  <c r="D5" i="6" s="1"/>
  <c r="F4" i="6"/>
  <c r="E4" i="6"/>
  <c r="C4" i="6"/>
  <c r="D4" i="6" s="1"/>
  <c r="G4" i="6" s="1"/>
  <c r="F3" i="6"/>
  <c r="E3" i="6"/>
  <c r="C3" i="6"/>
  <c r="D3" i="6" s="1"/>
  <c r="T19" i="4"/>
  <c r="S19" i="4"/>
  <c r="R19" i="4"/>
  <c r="Q19" i="4"/>
  <c r="P19" i="4"/>
  <c r="O19" i="4"/>
  <c r="N19" i="4"/>
  <c r="M19" i="4"/>
  <c r="L19" i="4"/>
  <c r="J19" i="4"/>
  <c r="I19" i="4"/>
  <c r="H19" i="4"/>
  <c r="G19" i="4"/>
  <c r="F19" i="4"/>
  <c r="E19" i="4"/>
  <c r="D19" i="4"/>
  <c r="C19" i="4"/>
  <c r="B19" i="4"/>
  <c r="D54" i="8" l="1"/>
  <c r="H44" i="8"/>
  <c r="E54" i="8"/>
  <c r="G13" i="9"/>
  <c r="E50" i="9"/>
  <c r="G16" i="6"/>
  <c r="H5" i="8"/>
  <c r="E29" i="8"/>
  <c r="I51" i="8"/>
  <c r="G54" i="8"/>
  <c r="F62" i="8"/>
  <c r="F70" i="8"/>
  <c r="I13" i="9"/>
  <c r="G50" i="9"/>
  <c r="D5" i="8"/>
  <c r="D50" i="9"/>
  <c r="I59" i="8"/>
  <c r="G27" i="9"/>
  <c r="H50" i="9"/>
  <c r="D62" i="8"/>
  <c r="H62" i="8"/>
  <c r="F37" i="9"/>
  <c r="D46" i="9"/>
  <c r="E69" i="9"/>
  <c r="E70" i="8"/>
  <c r="E44" i="8"/>
  <c r="F5" i="8"/>
  <c r="F51" i="8"/>
  <c r="G5" i="8"/>
  <c r="I50" i="9"/>
  <c r="E5" i="8"/>
  <c r="E13" i="9"/>
  <c r="E62" i="8"/>
  <c r="D6" i="9"/>
  <c r="L22" i="9" s="1"/>
  <c r="I54" i="8"/>
  <c r="E22" i="9"/>
  <c r="M54" i="9" s="1"/>
  <c r="P62" i="9"/>
  <c r="H13" i="9"/>
  <c r="D21" i="8"/>
  <c r="F21" i="8"/>
  <c r="D4" i="9"/>
  <c r="D58" i="9"/>
  <c r="D10" i="8"/>
  <c r="D68" i="8"/>
  <c r="E4" i="9"/>
  <c r="F22" i="9"/>
  <c r="E58" i="9"/>
  <c r="I11" i="9"/>
  <c r="I46" i="9"/>
  <c r="D66" i="9"/>
  <c r="F6" i="8"/>
  <c r="G10" i="8"/>
  <c r="G30" i="8"/>
  <c r="E38" i="8"/>
  <c r="F43" i="8"/>
  <c r="D61" i="8"/>
  <c r="G68" i="8"/>
  <c r="G4" i="9"/>
  <c r="G14" i="9"/>
  <c r="F19" i="9"/>
  <c r="H22" i="9"/>
  <c r="E38" i="9"/>
  <c r="M38" i="9" s="1"/>
  <c r="E51" i="9"/>
  <c r="G58" i="9"/>
  <c r="E70" i="9"/>
  <c r="D11" i="9"/>
  <c r="I27" i="9"/>
  <c r="F6" i="9"/>
  <c r="N38" i="9" s="1"/>
  <c r="D30" i="8"/>
  <c r="G11" i="9"/>
  <c r="G6" i="8"/>
  <c r="D22" i="8"/>
  <c r="F38" i="8"/>
  <c r="G43" i="8"/>
  <c r="D53" i="8"/>
  <c r="E61" i="8"/>
  <c r="H14" i="9"/>
  <c r="G19" i="9"/>
  <c r="I22" i="9"/>
  <c r="F38" i="9"/>
  <c r="F51" i="9"/>
  <c r="H58" i="9"/>
  <c r="D62" i="9"/>
  <c r="F70" i="9"/>
  <c r="D29" i="8"/>
  <c r="F54" i="8"/>
  <c r="G2" i="8"/>
  <c r="F18" i="9"/>
  <c r="G5" i="6"/>
  <c r="G34" i="8"/>
  <c r="E43" i="8"/>
  <c r="F4" i="9"/>
  <c r="E19" i="9"/>
  <c r="F58" i="9"/>
  <c r="F19" i="8"/>
  <c r="H27" i="8"/>
  <c r="I14" i="9"/>
  <c r="Q54" i="9" s="1"/>
  <c r="H19" i="9"/>
  <c r="G38" i="9"/>
  <c r="E62" i="9"/>
  <c r="G70" i="9"/>
  <c r="E21" i="8"/>
  <c r="D34" i="8"/>
  <c r="E34" i="8"/>
  <c r="E11" i="9"/>
  <c r="G21" i="8"/>
  <c r="G6" i="9"/>
  <c r="O38" i="9" s="1"/>
  <c r="F11" i="9"/>
  <c r="F46" i="9"/>
  <c r="N22" i="9" s="1"/>
  <c r="H6" i="9"/>
  <c r="P70" i="9" s="1"/>
  <c r="D14" i="9"/>
  <c r="G46" i="9"/>
  <c r="O54" i="9" s="1"/>
  <c r="E30" i="8"/>
  <c r="E10" i="8"/>
  <c r="D51" i="9"/>
  <c r="D70" i="9"/>
  <c r="H6" i="8"/>
  <c r="G38" i="8"/>
  <c r="I6" i="8"/>
  <c r="F22" i="8"/>
  <c r="I43" i="8"/>
  <c r="F53" i="8"/>
  <c r="G61" i="8"/>
  <c r="I19" i="9"/>
  <c r="D54" i="9"/>
  <c r="F62" i="9"/>
  <c r="D70" i="8"/>
  <c r="G51" i="8"/>
  <c r="G70" i="8"/>
  <c r="E46" i="9"/>
  <c r="D43" i="8"/>
  <c r="F30" i="8"/>
  <c r="D38" i="8"/>
  <c r="D38" i="9"/>
  <c r="F35" i="8"/>
  <c r="E53" i="8"/>
  <c r="F61" i="8"/>
  <c r="G53" i="8"/>
  <c r="E12" i="9"/>
  <c r="G67" i="9"/>
  <c r="Q30" i="9"/>
  <c r="Q46" i="9"/>
  <c r="N46" i="9"/>
  <c r="N30" i="9"/>
  <c r="Q38" i="9"/>
  <c r="Q6" i="9"/>
  <c r="Q22" i="9"/>
  <c r="Q14" i="9"/>
  <c r="N14" i="9"/>
  <c r="L14" i="9"/>
  <c r="G18" i="6"/>
  <c r="I37" i="8"/>
  <c r="G50" i="8"/>
  <c r="E69" i="8"/>
  <c r="E71" i="8"/>
  <c r="F12" i="9"/>
  <c r="G18" i="9"/>
  <c r="G37" i="9"/>
  <c r="G39" i="9"/>
  <c r="H59" i="9"/>
  <c r="F66" i="9"/>
  <c r="F69" i="9"/>
  <c r="G35" i="8"/>
  <c r="H19" i="8"/>
  <c r="F29" i="8"/>
  <c r="F31" i="8"/>
  <c r="H35" i="8"/>
  <c r="H50" i="8"/>
  <c r="F69" i="8"/>
  <c r="F71" i="8"/>
  <c r="G12" i="9"/>
  <c r="H18" i="9"/>
  <c r="H37" i="9"/>
  <c r="H39" i="9"/>
  <c r="P39" i="9" s="1"/>
  <c r="I59" i="9"/>
  <c r="G66" i="9"/>
  <c r="H69" i="9"/>
  <c r="G19" i="8"/>
  <c r="D67" i="8"/>
  <c r="G69" i="8"/>
  <c r="G71" i="8"/>
  <c r="H12" i="9"/>
  <c r="I18" i="9"/>
  <c r="G21" i="9"/>
  <c r="I37" i="9"/>
  <c r="D44" i="9"/>
  <c r="H66" i="9"/>
  <c r="G6" i="6"/>
  <c r="D15" i="8"/>
  <c r="H31" i="8"/>
  <c r="E67" i="8"/>
  <c r="H69" i="8"/>
  <c r="I12" i="9"/>
  <c r="D26" i="9"/>
  <c r="H44" i="9"/>
  <c r="G47" i="9"/>
  <c r="I66" i="9"/>
  <c r="D4" i="8"/>
  <c r="E13" i="8"/>
  <c r="E15" i="8"/>
  <c r="I29" i="8"/>
  <c r="H53" i="8"/>
  <c r="H55" i="8"/>
  <c r="F67" i="8"/>
  <c r="H4" i="9"/>
  <c r="F26" i="9"/>
  <c r="I44" i="9"/>
  <c r="I47" i="9"/>
  <c r="Q47" i="9" s="1"/>
  <c r="G51" i="9"/>
  <c r="H39" i="8"/>
  <c r="G29" i="8"/>
  <c r="E4" i="8"/>
  <c r="F13" i="8"/>
  <c r="F15" i="8"/>
  <c r="D27" i="8"/>
  <c r="G42" i="8"/>
  <c r="G67" i="8"/>
  <c r="G26" i="9"/>
  <c r="I51" i="9"/>
  <c r="I19" i="8"/>
  <c r="I35" i="8"/>
  <c r="D13" i="8"/>
  <c r="G13" i="8"/>
  <c r="E27" i="8"/>
  <c r="D51" i="8"/>
  <c r="H67" i="8"/>
  <c r="H26" i="9"/>
  <c r="F60" i="9"/>
  <c r="G12" i="6"/>
  <c r="H13" i="8"/>
  <c r="H15" i="8"/>
  <c r="F27" i="8"/>
  <c r="E51" i="8"/>
  <c r="I26" i="9"/>
  <c r="H60" i="9"/>
  <c r="G27" i="8"/>
  <c r="I3" i="8"/>
  <c r="H37" i="8"/>
  <c r="D5" i="9"/>
  <c r="E63" i="9"/>
  <c r="D59" i="8"/>
  <c r="G14" i="6"/>
  <c r="G9" i="6"/>
  <c r="E59" i="8"/>
  <c r="G20" i="9"/>
  <c r="D3" i="8"/>
  <c r="G3" i="8"/>
  <c r="D19" i="8"/>
  <c r="H21" i="8"/>
  <c r="D35" i="8"/>
  <c r="F37" i="8"/>
  <c r="F39" i="8"/>
  <c r="G59" i="8"/>
  <c r="D18" i="9"/>
  <c r="D31" i="9"/>
  <c r="E59" i="9"/>
  <c r="E3" i="8"/>
  <c r="D37" i="8"/>
  <c r="D39" i="8"/>
  <c r="F3" i="8"/>
  <c r="E37" i="8"/>
  <c r="E39" i="8"/>
  <c r="F59" i="8"/>
  <c r="H31" i="9"/>
  <c r="D37" i="9"/>
  <c r="E39" i="9"/>
  <c r="F59" i="9"/>
  <c r="I43" i="9"/>
  <c r="E43" i="9"/>
  <c r="D43" i="9"/>
  <c r="H43" i="9"/>
  <c r="G43" i="9"/>
  <c r="F43" i="9"/>
  <c r="I24" i="9"/>
  <c r="Q24" i="9" s="1"/>
  <c r="G24" i="9"/>
  <c r="O24" i="9" s="1"/>
  <c r="G13" i="6"/>
  <c r="H36" i="9"/>
  <c r="D36" i="9"/>
  <c r="G36" i="9"/>
  <c r="F36" i="9"/>
  <c r="E36" i="9"/>
  <c r="I36" i="9"/>
  <c r="G21" i="6"/>
  <c r="H21" i="9"/>
  <c r="E21" i="9"/>
  <c r="F21" i="9"/>
  <c r="D21" i="9"/>
  <c r="I28" i="8"/>
  <c r="F28" i="8"/>
  <c r="H28" i="8"/>
  <c r="G28" i="8"/>
  <c r="E28" i="8"/>
  <c r="D28" i="8"/>
  <c r="O25" i="9"/>
  <c r="H66" i="8"/>
  <c r="I66" i="8"/>
  <c r="F66" i="8"/>
  <c r="E66" i="8"/>
  <c r="G66" i="8"/>
  <c r="D66" i="8"/>
  <c r="E20" i="9"/>
  <c r="D20" i="9"/>
  <c r="I58" i="8"/>
  <c r="F58" i="8"/>
  <c r="F71" i="9"/>
  <c r="D20" i="8"/>
  <c r="E45" i="9"/>
  <c r="F20" i="9"/>
  <c r="Q23" i="9"/>
  <c r="I10" i="8"/>
  <c r="F10" i="8"/>
  <c r="H20" i="8"/>
  <c r="I50" i="8"/>
  <c r="F50" i="8"/>
  <c r="E58" i="8"/>
  <c r="D3" i="9"/>
  <c r="F10" i="9"/>
  <c r="H20" i="9"/>
  <c r="D29" i="9"/>
  <c r="H45" i="9"/>
  <c r="G3" i="6"/>
  <c r="I18" i="8"/>
  <c r="F18" i="8"/>
  <c r="I12" i="8"/>
  <c r="F12" i="8"/>
  <c r="E20" i="8"/>
  <c r="H71" i="9"/>
  <c r="P71" i="9" s="1"/>
  <c r="D12" i="8"/>
  <c r="G18" i="8"/>
  <c r="H61" i="9"/>
  <c r="G61" i="9"/>
  <c r="E61" i="9"/>
  <c r="F61" i="9"/>
  <c r="I4" i="8"/>
  <c r="F4" i="8"/>
  <c r="E12" i="8"/>
  <c r="H18" i="8"/>
  <c r="I44" i="8"/>
  <c r="F44" i="8"/>
  <c r="H58" i="8"/>
  <c r="F3" i="9"/>
  <c r="H10" i="9"/>
  <c r="D23" i="9"/>
  <c r="F29" i="9"/>
  <c r="E42" i="9"/>
  <c r="M42" i="9" s="1"/>
  <c r="G19" i="6"/>
  <c r="M50" i="9"/>
  <c r="G7" i="6"/>
  <c r="I68" i="9"/>
  <c r="H68" i="9"/>
  <c r="P68" i="9" s="1"/>
  <c r="F68" i="9"/>
  <c r="G68" i="9"/>
  <c r="D68" i="9"/>
  <c r="G71" i="9"/>
  <c r="I52" i="8"/>
  <c r="F52" i="8"/>
  <c r="D18" i="8"/>
  <c r="E10" i="9"/>
  <c r="I35" i="9"/>
  <c r="G35" i="9"/>
  <c r="H35" i="9"/>
  <c r="E35" i="9"/>
  <c r="G45" i="9"/>
  <c r="E68" i="9"/>
  <c r="M68" i="9" s="1"/>
  <c r="D52" i="8"/>
  <c r="G58" i="8"/>
  <c r="E3" i="9"/>
  <c r="G10" i="9"/>
  <c r="E29" i="9"/>
  <c r="D42" i="9"/>
  <c r="I45" i="9"/>
  <c r="I55" i="9"/>
  <c r="Q55" i="9" s="1"/>
  <c r="G55" i="9"/>
  <c r="H55" i="9"/>
  <c r="E55" i="9"/>
  <c r="G12" i="8"/>
  <c r="G52" i="8"/>
  <c r="G3" i="9"/>
  <c r="I10" i="9"/>
  <c r="E23" i="9"/>
  <c r="F35" i="9"/>
  <c r="F23" i="9"/>
  <c r="D71" i="9"/>
  <c r="H12" i="8"/>
  <c r="I42" i="8"/>
  <c r="F42" i="8"/>
  <c r="H3" i="9"/>
  <c r="H2" i="9"/>
  <c r="I2" i="9"/>
  <c r="F2" i="9"/>
  <c r="G23" i="9"/>
  <c r="E31" i="9"/>
  <c r="E44" i="9"/>
  <c r="F55" i="9"/>
  <c r="I61" i="9"/>
  <c r="H23" i="9"/>
  <c r="I26" i="8"/>
  <c r="F26" i="8"/>
  <c r="H60" i="8"/>
  <c r="I60" i="8"/>
  <c r="F60" i="8"/>
  <c r="D26" i="8"/>
  <c r="E26" i="8"/>
  <c r="G26" i="8"/>
  <c r="D60" i="8"/>
  <c r="H42" i="9"/>
  <c r="I42" i="9"/>
  <c r="F42" i="9"/>
  <c r="D58" i="8"/>
  <c r="G60" i="8"/>
  <c r="I2" i="8"/>
  <c r="F2" i="8"/>
  <c r="H52" i="8"/>
  <c r="I36" i="8"/>
  <c r="F36" i="8"/>
  <c r="I28" i="9"/>
  <c r="H28" i="9"/>
  <c r="F28" i="9"/>
  <c r="G28" i="9"/>
  <c r="D28" i="9"/>
  <c r="F31" i="9"/>
  <c r="F44" i="9"/>
  <c r="D2" i="8"/>
  <c r="G4" i="8"/>
  <c r="D42" i="8"/>
  <c r="G44" i="8"/>
  <c r="I34" i="9"/>
  <c r="G34" i="9"/>
  <c r="F34" i="9"/>
  <c r="D34" i="9"/>
  <c r="L58" i="9" s="1"/>
  <c r="E34" i="9"/>
  <c r="G60" i="9"/>
  <c r="E60" i="9"/>
  <c r="D60" i="9"/>
  <c r="I69" i="9"/>
  <c r="G69" i="9"/>
  <c r="P47" i="9"/>
  <c r="D45" i="9"/>
  <c r="I29" i="9"/>
  <c r="G29" i="9"/>
  <c r="G24" i="8"/>
  <c r="E2" i="8"/>
  <c r="I34" i="8"/>
  <c r="F34" i="8"/>
  <c r="E42" i="8"/>
  <c r="H68" i="8"/>
  <c r="I68" i="8"/>
  <c r="F68" i="8"/>
  <c r="G15" i="9"/>
  <c r="O15" i="9" s="1"/>
  <c r="H15" i="9"/>
  <c r="E15" i="9"/>
  <c r="G15" i="6"/>
  <c r="G11" i="6"/>
  <c r="Q63" i="9"/>
  <c r="D7" i="9"/>
  <c r="L15" i="9" s="1"/>
  <c r="D27" i="9"/>
  <c r="D47" i="9"/>
  <c r="D67" i="9"/>
  <c r="E7" i="9"/>
  <c r="E27" i="9"/>
  <c r="E47" i="9"/>
  <c r="M47" i="9" s="1"/>
  <c r="E67" i="9"/>
  <c r="F7" i="9"/>
  <c r="D13" i="9"/>
  <c r="F27" i="9"/>
  <c r="F47" i="9"/>
  <c r="D53" i="9"/>
  <c r="F67" i="9"/>
  <c r="O46" i="9" l="1"/>
  <c r="M22" i="9"/>
  <c r="P6" i="9"/>
  <c r="N6" i="9"/>
  <c r="N54" i="9"/>
  <c r="O14" i="9"/>
  <c r="P54" i="9"/>
  <c r="P34" i="9"/>
  <c r="O6" i="9"/>
  <c r="L54" i="9"/>
  <c r="L30" i="9"/>
  <c r="M30" i="9"/>
  <c r="O30" i="9"/>
  <c r="N70" i="9"/>
  <c r="M70" i="9"/>
  <c r="L6" i="9"/>
  <c r="O62" i="9"/>
  <c r="M46" i="9"/>
  <c r="P46" i="9"/>
  <c r="O70" i="9"/>
  <c r="L46" i="9"/>
  <c r="Q53" i="9"/>
  <c r="M62" i="9"/>
  <c r="L62" i="9"/>
  <c r="L38" i="9"/>
  <c r="N62" i="9"/>
  <c r="M58" i="9"/>
  <c r="L2" i="9"/>
  <c r="P14" i="9"/>
  <c r="L70" i="9"/>
  <c r="Q20" i="9"/>
  <c r="P22" i="9"/>
  <c r="P61" i="9"/>
  <c r="Q50" i="9"/>
  <c r="N66" i="9"/>
  <c r="N37" i="9"/>
  <c r="Q43" i="9"/>
  <c r="P27" i="9"/>
  <c r="M12" i="9"/>
  <c r="O11" i="9"/>
  <c r="N11" i="9"/>
  <c r="O4" i="9"/>
  <c r="L10" i="9"/>
  <c r="P69" i="9"/>
  <c r="M29" i="9"/>
  <c r="Q68" i="9"/>
  <c r="P51" i="9"/>
  <c r="O10" i="9"/>
  <c r="N52" i="9"/>
  <c r="M59" i="9"/>
  <c r="P66" i="9"/>
  <c r="M67" i="9"/>
  <c r="P18" i="9"/>
  <c r="L71" i="9"/>
  <c r="O5" i="9"/>
  <c r="O37" i="9"/>
  <c r="Q37" i="9"/>
  <c r="N35" i="9"/>
  <c r="P35" i="9"/>
  <c r="O35" i="9"/>
  <c r="N18" i="9"/>
  <c r="O69" i="9"/>
  <c r="Q10" i="9"/>
  <c r="Q13" i="9"/>
  <c r="Q69" i="9"/>
  <c r="Q58" i="9"/>
  <c r="N45" i="9"/>
  <c r="O28" i="9"/>
  <c r="O27" i="9"/>
  <c r="M66" i="9"/>
  <c r="L28" i="9"/>
  <c r="L34" i="9"/>
  <c r="O39" i="9"/>
  <c r="L66" i="9"/>
  <c r="P31" i="9"/>
  <c r="P15" i="9"/>
  <c r="P63" i="9"/>
  <c r="L63" i="9"/>
  <c r="Q4" i="9"/>
  <c r="P52" i="9"/>
  <c r="P44" i="9"/>
  <c r="M36" i="9"/>
  <c r="L43" i="9"/>
  <c r="P53" i="9"/>
  <c r="Q15" i="9"/>
  <c r="L21" i="9"/>
  <c r="N28" i="9"/>
  <c r="P10" i="9"/>
  <c r="Q21" i="9"/>
  <c r="O21" i="9"/>
  <c r="N21" i="9"/>
  <c r="O20" i="9"/>
  <c r="N7" i="9"/>
  <c r="P7" i="9"/>
  <c r="O50" i="9"/>
  <c r="M27" i="9"/>
  <c r="Q28" i="9"/>
  <c r="O13" i="9"/>
  <c r="N36" i="9"/>
  <c r="O42" i="9"/>
  <c r="L37" i="9"/>
  <c r="P23" i="9"/>
  <c r="L36" i="9"/>
  <c r="N3" i="9"/>
  <c r="N19" i="9"/>
  <c r="M2" i="9"/>
  <c r="L52" i="9"/>
  <c r="Q35" i="9"/>
  <c r="N53" i="9"/>
  <c r="P60" i="9"/>
  <c r="N34" i="9"/>
  <c r="N51" i="9"/>
  <c r="M4" i="9"/>
  <c r="P50" i="9"/>
  <c r="P29" i="9"/>
  <c r="N15" i="9"/>
  <c r="Q27" i="9"/>
  <c r="P5" i="9"/>
  <c r="M43" i="9"/>
  <c r="O18" i="9"/>
  <c r="M21" i="9"/>
  <c r="M5" i="9"/>
  <c r="L67" i="9"/>
  <c r="N23" i="9"/>
  <c r="M45" i="9"/>
  <c r="L47" i="9"/>
  <c r="L27" i="9"/>
  <c r="M37" i="9"/>
  <c r="N59" i="9"/>
  <c r="M44" i="9"/>
  <c r="L20" i="9"/>
  <c r="Q19" i="9"/>
  <c r="O59" i="9"/>
  <c r="L26" i="9"/>
  <c r="P28" i="9"/>
  <c r="M7" i="9"/>
  <c r="L55" i="9"/>
  <c r="L60" i="9"/>
  <c r="L44" i="9"/>
  <c r="P36" i="9"/>
  <c r="N60" i="9"/>
  <c r="N55" i="9"/>
  <c r="N12" i="9"/>
  <c r="L35" i="9"/>
  <c r="M10" i="9"/>
  <c r="O63" i="9"/>
  <c r="O34" i="9"/>
  <c r="Q42" i="9"/>
  <c r="M55" i="9"/>
  <c r="L29" i="9"/>
  <c r="M20" i="9"/>
  <c r="L12" i="9"/>
  <c r="N5" i="9"/>
  <c r="P37" i="9"/>
  <c r="M26" i="9"/>
  <c r="M3" i="9"/>
  <c r="M51" i="9"/>
  <c r="M19" i="9"/>
  <c r="M69" i="9"/>
  <c r="Q36" i="9"/>
  <c r="N29" i="9"/>
  <c r="L59" i="9"/>
  <c r="M23" i="9"/>
  <c r="O66" i="9"/>
  <c r="Q44" i="9"/>
  <c r="O3" i="9"/>
  <c r="O51" i="9"/>
  <c r="O19" i="9"/>
  <c r="O67" i="9"/>
  <c r="M52" i="9"/>
  <c r="N42" i="9"/>
  <c r="P45" i="9"/>
  <c r="N63" i="9"/>
  <c r="Q34" i="9"/>
  <c r="M31" i="9"/>
  <c r="P11" i="9"/>
  <c r="P42" i="9"/>
  <c r="O23" i="9"/>
  <c r="P55" i="9"/>
  <c r="P20" i="9"/>
  <c r="Q11" i="9"/>
  <c r="Q67" i="9"/>
  <c r="N39" i="9"/>
  <c r="O2" i="9"/>
  <c r="Q59" i="9"/>
  <c r="Q60" i="9"/>
  <c r="O36" i="9"/>
  <c r="L7" i="9"/>
  <c r="L31" i="9"/>
  <c r="Q61" i="9"/>
  <c r="O71" i="9"/>
  <c r="O47" i="9"/>
  <c r="P59" i="9"/>
  <c r="Q2" i="9"/>
  <c r="Q26" i="9"/>
  <c r="Q3" i="9"/>
  <c r="L3" i="9"/>
  <c r="L19" i="9"/>
  <c r="L51" i="9"/>
  <c r="Q18" i="9"/>
  <c r="P12" i="9"/>
  <c r="M39" i="9"/>
  <c r="O52" i="9"/>
  <c r="O44" i="9"/>
  <c r="L61" i="9"/>
  <c r="M53" i="9"/>
  <c r="M34" i="9"/>
  <c r="N10" i="9"/>
  <c r="L4" i="9"/>
  <c r="O26" i="9"/>
  <c r="O29" i="9"/>
  <c r="P58" i="9"/>
  <c r="P2" i="9"/>
  <c r="P26" i="9"/>
  <c r="Q52" i="9"/>
  <c r="L68" i="9"/>
  <c r="N61" i="9"/>
  <c r="N13" i="9"/>
  <c r="L18" i="9"/>
  <c r="O53" i="9"/>
  <c r="O31" i="9"/>
  <c r="N43" i="9"/>
  <c r="L39" i="9"/>
  <c r="N20" i="9"/>
  <c r="P21" i="9"/>
  <c r="O45" i="9"/>
  <c r="N4" i="9"/>
  <c r="M60" i="9"/>
  <c r="M35" i="9"/>
  <c r="N71" i="9"/>
  <c r="O60" i="9"/>
  <c r="L69" i="9"/>
  <c r="O7" i="9"/>
  <c r="N2" i="9"/>
  <c r="N26" i="9"/>
  <c r="N58" i="9"/>
  <c r="Q5" i="9"/>
  <c r="L50" i="9"/>
  <c r="L53" i="9"/>
  <c r="M63" i="9"/>
  <c r="N47" i="9"/>
  <c r="N50" i="9"/>
  <c r="N27" i="9"/>
  <c r="Q29" i="9"/>
  <c r="N44" i="9"/>
  <c r="P4" i="9"/>
  <c r="O58" i="9"/>
  <c r="Q45" i="9"/>
  <c r="O68" i="9"/>
  <c r="M61" i="9"/>
  <c r="L11" i="9"/>
  <c r="O12" i="9"/>
  <c r="N69" i="9"/>
  <c r="O43" i="9"/>
  <c r="M18" i="9"/>
  <c r="M15" i="9"/>
  <c r="M11" i="9"/>
  <c r="Q12" i="9"/>
  <c r="L23" i="9"/>
  <c r="N67" i="9"/>
  <c r="O55" i="9"/>
  <c r="L13" i="9"/>
  <c r="L5" i="9"/>
  <c r="Q51" i="9"/>
  <c r="L45" i="9"/>
  <c r="N31" i="9"/>
  <c r="P67" i="9"/>
  <c r="P19" i="9"/>
  <c r="P3" i="9"/>
  <c r="L42" i="9"/>
  <c r="N68" i="9"/>
  <c r="O61" i="9"/>
  <c r="P13" i="9"/>
  <c r="M13" i="9"/>
  <c r="Q66" i="9"/>
  <c r="M71" i="9"/>
  <c r="P43" i="9"/>
  <c r="M28" i="9"/>
  <c r="B22" i="10" l="1"/>
</calcChain>
</file>

<file path=xl/sharedStrings.xml><?xml version="1.0" encoding="utf-8"?>
<sst xmlns="http://schemas.openxmlformats.org/spreadsheetml/2006/main" count="1163" uniqueCount="198">
  <si>
    <t>HƯỚNG DẪN — PHIÊN BẢN 9 LỚP + RÀNG BUỘC SƯ PHẠM</t>
  </si>
  <si>
    <t>Nhập liệu: PhanCong (GV — lớp 6C đang tạm chép từ 6B, HÃY SỬA LẠI), SoTiet (định mức), GV_Ban (GV nghỉ/bận), TKB_Nhap (vị trí tiết).</t>
  </si>
  <si>
    <t>Tự động: TKB (in), TKB_GV (đỏ = trùng GV), KiemTra (đỏ = lệch định mức; tổng tiết mỗi lớp so với khung 29–30 + buổi 2).</t>
  </si>
  <si>
    <t>MACRO XepTKB (Alt+F8) tự xếp với đầy đủ ràng buộc:</t>
  </si>
  <si>
    <t xml:space="preserve">  Hệ thống: không trùng GV, không trùng lớp (1 ô 1 môn), đúng định mức SoTiet từng môn/lớp (⇒ đủ tiết GV).</t>
  </si>
  <si>
    <t xml:space="preserve">  Sư phạm: mỗi môn ≤1 tiết/ngày (riêng Ngữ văn được tiết kép — 2 tiết LIỀN nhau cùng buổi);</t>
  </si>
  <si>
    <t xml:space="preserve">  không quá 3 tiết 'môn nặng' (Toán, Văn, KHTN Lý/Hoá) liên tiếp trong 1 buổi; Thể dục tránh tiết 5;</t>
  </si>
  <si>
    <t xml:space="preserve">  ưu tiên rải đều các tiết cùng môn cách ngày; chào cờ = HĐTN Thứ 2 tiết 1; sinh hoạt lớp = HĐTN tiết cuối Thứ 7.</t>
  </si>
  <si>
    <t xml:space="preserve">  Số tiết/ngày do khung tiết quyết định (sheet ẩn Khung): ngày 2 buổi 7 tiết, ngày 1 buổi 5 tiết — đã đúng chuẩn.</t>
  </si>
  <si>
    <t xml:space="preserve">  Chế độ giữ lịch tối đa: chỉ đổi các ô bắt buộc, báo rõ số ô giữ/đổi.</t>
  </si>
  <si>
    <t>Lần đầu sau khi thêm 6C: KiemTra sẽ đỏ ở cột 6C (chưa xếp tiết) — chạy macro 1 lần để điền.</t>
  </si>
  <si>
    <t>ĐỊNH MỨC GIÁO VIÊN (sheet DinhMuc_GV):</t>
  </si>
  <si>
    <t xml:space="preserve">  Chuẩn 19 tiết/tuần; giảm trừ: GVCN −4, Tổ trưởng −3, Tổ phó −1, Tổng phụ trách −8. Chọn chức vụ ở cột B.</t>
  </si>
  <si>
    <t xml:space="preserve">  Cột 'Vượt' đỏ = GV bị phân công quá trần → sửa PhanCong (chuyển lớp/môn sang GV khác); TKB không thể giảm tải.</t>
  </si>
  <si>
    <t xml:space="preserve">  Macro v4 kiểm tra định mức trước khi xếp và thêm ràng buộc: GV không dạy quá 4 tiết/buổi (không full 5 tiết).</t>
  </si>
  <si>
    <t>HƯỚNG DẪN CHI TIẾT — HỆ THỐNG XẾP THỜI KHÓA BIỂU TỰ ĐỘNG</t>
  </si>
  <si>
    <t>8. CÂN BẰNG TẢI GIÁO VIÊN (ModCanBangTai)</t>
  </si>
  <si>
    <t>Alt+F8 → CanBangTai → tạo sheet 'DeXuat_CanBang'.</t>
  </si>
  <si>
    <t>Macro quét GV vượt trần (DinhMuc_GV), tìm GV nhược tải DẠY CÙNG MÔN còn quota để chuyển bớt tiết.</t>
  </si>
  <si>
    <t>Chỉ ĐỀ XUẤT — không tự sửa PhanCong (chuyển GV kéo theo GVCN/thực tế macro không biết).</t>
  </si>
  <si>
    <t>Quy trình: chạy CanBangTai → xem đề xuất → sửa tay PhanCong → chạy lại để kiểm → XepTKB.</t>
  </si>
  <si>
    <t>Nếu báo 'không tìm được GV nhận cùng môn': môn đó chỉ 1 GV dạy — cần phân công thêm GV hoặc chấp nhận vượt.</t>
  </si>
  <si>
    <t>• GV_Ban    [NHẬP] — Giáo viên bận/nghỉ theo Thứ/Buổi/Tiết. Macro sẽ né các ô này.</t>
  </si>
  <si>
    <t>• DinhMuc_GV[NHẬP] — Chức vụ GV → trần tiết (19 − giảm trừ). Cột 'Vượt' đỏ = phải sửa PhanCong.</t>
  </si>
  <si>
    <t>• TKB_Nhap  [LÕI]  — Lưới TKB. Macro ghi kết quả vào đây. Là nguồn cho mọi sheet hiển thị.</t>
  </si>
  <si>
    <t>• Khung     [ẨN]   — Bản đồ ô được phép xếp (dấu 'x'). Quyết định mẫu buổi học (S4-C3, S5...).</t>
  </si>
  <si>
    <t>• TuanConfig[CẤU HÌNH] — Seed mỗi tuần (B1) + lịch sử. Điều khiển 'mỗi tuần một TKB'.</t>
  </si>
  <si>
    <t>• TKB       [HIỂN THỊ] — Bản in đầy đủ Môn + GV (toàn công thức INDEX/MATCH, không sửa tay).</t>
  </si>
  <si>
    <t>• TKB_GV    [HIỂN THỊ] — Chỉ tên GV; ô ĐỎ = trùng giáo viên cùng buổi/tiết/thứ.</t>
  </si>
  <si>
    <t>• KiemTra   [HIỂN THỊ] — Chênh lệch định mức (đỏ=lệch), tổng ô trùng GV, tải mỗi GV.</t>
  </si>
  <si>
    <t>2. CƠ CHẾ HOẠT ĐỘNG CỦA MACRO XepTKB</t>
  </si>
  <si>
    <t>Thuật toán: Greedy + Swap-Repair + Restart (thử lại nhiều lần, giữ phương án ít thay đổi nhất).</t>
  </si>
  <si>
    <t>Luồng xử lý mỗi lần chạy:</t>
  </si>
  <si>
    <t xml:space="preserve">   B1. Đọc PhanCong/SoTiet/GV_Ban/Khung → dựng ma trận ràng buộc.</t>
  </si>
  <si>
    <t xml:space="preserve">   B2. Ghim cứng: Chào cờ = HĐTN Thứ 2 tiết 1; SHL = HĐTN tiết cuối Thứ 7.</t>
  </si>
  <si>
    <t xml:space="preserve">   B3. Duyệt từng khung giờ, chọn môn 'còn nhiều tiết nhất' + hợp lệ đặt vào.</t>
  </si>
  <si>
    <t xml:space="preserve">   B4. Nếu kẹt → Swap-Repair: dời 1 tiết đã xếp sang chỗ khác để mở đường.</t>
  </si>
  <si>
    <t xml:space="preserve">   B5. Lặp tối đa 600 lần, giữ TKB đổi ít ô nhất so với tuần trước (minimal-change).</t>
  </si>
  <si>
    <t>Ràng buộc CỨNG (không bao giờ vi phạm): không trùng GV · 1 ô 1 môn · đúng định mức ·</t>
  </si>
  <si>
    <t xml:space="preserve">   ≤1 tiết/môn/ngày (trừ tiết kép 2 tiết liền) · ≤3 tiết nặng liên tiếp/buổi ·</t>
  </si>
  <si>
    <t xml:space="preserve">   Thể dục không tiết 5 · GV ≤4 tiết/buổi (không full 5).</t>
  </si>
  <si>
    <t>3. QUY TRÌNH CHUẨN KHI THAY ĐỔI</t>
  </si>
  <si>
    <t>Đổi giáo viên phụ trách:</t>
  </si>
  <si>
    <t xml:space="preserve">   PhanCong (sửa tên GV) → Alt+F8 → XepTKB → mở KiemTra kiểm 0 lệch, 0 trùng.</t>
  </si>
  <si>
    <t>Giáo viên xin nghỉ 1 buổi:</t>
  </si>
  <si>
    <t xml:space="preserve">   GV_Ban (thêm dòng: Tên | Thứ | Buổi | Tiết) → Alt+F8 → XepTKB.</t>
  </si>
  <si>
    <t xml:space="preserve">   Vd:  Giang | 5 | S | *   = cô Giang nghỉ cả sáng Thứ 5.</t>
  </si>
  <si>
    <t>Đổi số tiết môn:</t>
  </si>
  <si>
    <t xml:space="preserve">   SoTiet (sửa số) → Alt+F8 → XepTKB → KiemTra tự báo nếu tổng vượt khung.</t>
  </si>
  <si>
    <t>4. ĐỔI MẪU BUỔI HỌC (ModKhung)</t>
  </si>
  <si>
    <t>Bước 1 sinh khung — Bước 2 xếp. LUÔN 2 bước:</t>
  </si>
  <si>
    <t xml:space="preserve">   Alt+F8 → Khung_S4_C3   (sáng 4 + chiều 3 = 42 ô/lớp)</t>
  </si>
  <si>
    <t xml:space="preserve">   Alt+F8 → Khung_S5      (sáng 5 nghỉ chiều = 30 ô/lớp)</t>
  </si>
  <si>
    <t xml:space="preserve">   Alt+F8 → Khung_S5_C2   (sáng 5 + chiều 2 = 42 ô/lớp)</t>
  </si>
  <si>
    <t xml:space="preserve">   Alt+F8 → Khung_TuChon  (nhập tay số tiết sáng/chiều)</t>
  </si>
  <si>
    <t xml:space="preserve">   → sau đó Alt+F8 → XepTKB</t>
  </si>
  <si>
    <t>&gt;&gt; LƯU Ý SỐ HỌC QUAN TRỌNG: Định mức hiện tại = 36 tiết/tuần/lớp.</t>
  </si>
  <si>
    <t xml:space="preserve">   Mẫu S5 chỉ có 30 ô → KHÔNG đủ chứa 36. Muốn dùng phải giảm SoTiet xuống ≤30 trước.</t>
  </si>
  <si>
    <t xml:space="preserve">   Macro tự cảnh báo nếu chọn mẫu thiếu ô — không tạo ra TKB sai.</t>
  </si>
  <si>
    <t>5. MỖI TUẦN MỘT TKB KHÁC (ModSeed)</t>
  </si>
  <si>
    <t>Cơ chế: XepTKB đọc seed ở TuanConfig!B1. Cùng seed → TKB giống hệt (tái lập được).</t>
  </si>
  <si>
    <t xml:space="preserve">   Alt+F8 → TuanMoi      (seed mới, tự tăng số tuần, hỏi xếp luôn)</t>
  </si>
  <si>
    <t xml:space="preserve">   Alt+F8 → TuanTaiTao   (nhập số tuần cũ → in lại đúng TKB tuần đó)</t>
  </si>
  <si>
    <t xml:space="preserve">   Alt+F8 → XoaLichSuSeed (reset về tuần 1)</t>
  </si>
  <si>
    <t>Vì sao cần seed? Randomize theo giờ cho kết quả ngẫu nhiên nhưng KHÔNG in lại được.</t>
  </si>
  <si>
    <t xml:space="preserve">   Lưu seed → BGH tái tạo chính xác TKB bất kỳ tuần nào để đối chiếu/in lại.</t>
  </si>
  <si>
    <t>6. BẢNG TRA LỖI THƯỜNG GẶP</t>
  </si>
  <si>
    <t>LỖI: 'Subscript out of range' → PhanCong/SoTiet lệch số lớp-môn, hoặc có cột/dòng trống xen giữa.</t>
  </si>
  <si>
    <t xml:space="preserve">   Cách sửa: đảm bảo 2 sheet cùng số lớp (hàng 2) và số môn (cột A), không dòng trống.</t>
  </si>
  <si>
    <t>LỖI: 'Không tìm thấy mã 5' → cột MÃ (sau cột lớp cuối) tại dòng HĐTN phải điền số 5.</t>
  </si>
  <si>
    <t>LỖI: KiemTra còn ô đỏ → định mức SoTiet vượt số ô khung, hoặc 1 GV quá tải (xem DinhMuc_GV).</t>
  </si>
  <si>
    <t>LỖI: TKB_GV còn ô đỏ (trùng GV) → thường do GVCN bị phân 2 lớp (chào cờ/SHL diễn ra đồng thời).</t>
  </si>
  <si>
    <t xml:space="preserve">   Mỗi lớp phải có GVCN (môn mã 5) RIÊNG BIỆT.</t>
  </si>
  <si>
    <t>LỖI: 'Khong xep duoc sau 600 lan' → GV_Ban cấm quá nhiều giờ GV tải nặng, hoặc định mức vượt khung.</t>
  </si>
  <si>
    <t>7. LƯU Ý KỸ THUẬT (tránh lỗi tái diễn)</t>
  </si>
  <si>
    <t>• KHÔNG gõ tiếng Việt có dấu vào code VBA — VBA Editor làm hỏng font → so khớp sai.</t>
  </si>
  <si>
    <t xml:space="preserve">   Vai trò môn dùng MÃ SỐ (cột MÃ), không dùng chữ. Muốn đổi phân loại → sửa số, không đụng .bas.</t>
  </si>
  <si>
    <t>• Mảng động trong VBA: dùng ReDim để reset, KHÔNG dùng Erase (Erase giải phóng → lỗi lần lặp sau).</t>
  </si>
  <si>
    <t>• Đếm số lớp dừng ở cột trống HOẶC header 'MÃ' → tránh đếm nhầm cột phụ thành lớp.</t>
  </si>
  <si>
    <t>• Luôn lưu file dạng .xlsm (Macro-Enabled). Lưu .xlsx sẽ MẤT toàn bộ macro.</t>
  </si>
  <si>
    <t>PHÂN CÔNG CHUYÊN MÔN — 9 lớp (3 lớp 6), nguồn Sheet2. Cột MÃ=vai trò, cột CV=chức vụ</t>
  </si>
  <si>
    <t>Môn \ Lớp</t>
  </si>
  <si>
    <t>6A</t>
  </si>
  <si>
    <t>6B</t>
  </si>
  <si>
    <t>6C</t>
  </si>
  <si>
    <t>7A</t>
  </si>
  <si>
    <t>7B</t>
  </si>
  <si>
    <t>8A</t>
  </si>
  <si>
    <t>8B</t>
  </si>
  <si>
    <t>9A</t>
  </si>
  <si>
    <t>9B</t>
  </si>
  <si>
    <t>MA</t>
  </si>
  <si>
    <t>Toán học</t>
  </si>
  <si>
    <t>Lệ</t>
  </si>
  <si>
    <t>Minh Anh</t>
  </si>
  <si>
    <t>Nguyễn Ly</t>
  </si>
  <si>
    <t>Huyền Ly</t>
  </si>
  <si>
    <t>Ngữ văn</t>
  </si>
  <si>
    <t>GVHĐ 1</t>
  </si>
  <si>
    <t>Uyên</t>
  </si>
  <si>
    <t>Lan</t>
  </si>
  <si>
    <t>Hoa</t>
  </si>
  <si>
    <t>Ngoại ngữ</t>
  </si>
  <si>
    <t>Trung</t>
  </si>
  <si>
    <t>Giang</t>
  </si>
  <si>
    <t>Khoa học tự nhiên (Vật lý)</t>
  </si>
  <si>
    <t>Sơn</t>
  </si>
  <si>
    <t>Khoa học tự nhiên (Hoá học)</t>
  </si>
  <si>
    <t>Hoà</t>
  </si>
  <si>
    <t>Khu</t>
  </si>
  <si>
    <t>Khoa học tự nhiên (Sinh học)</t>
  </si>
  <si>
    <t>Lịch sử và địa lý (Lịch sử)</t>
  </si>
  <si>
    <t>Nhung</t>
  </si>
  <si>
    <t>Huyền</t>
  </si>
  <si>
    <t>Lịch sử và địa lý (Địa lý)</t>
  </si>
  <si>
    <t>Giáo dục công dân</t>
  </si>
  <si>
    <t>Công nghệ</t>
  </si>
  <si>
    <t>Tin</t>
  </si>
  <si>
    <t>Giáo dục thể chất</t>
  </si>
  <si>
    <t>Hồng</t>
  </si>
  <si>
    <t>Nội dung giáo dục của địa phương</t>
  </si>
  <si>
    <t>Vân</t>
  </si>
  <si>
    <t>Hoạt động trải nghiệm, hướng nghiệp</t>
  </si>
  <si>
    <t>Nghệ thuật (Nhạc)</t>
  </si>
  <si>
    <t>Hà</t>
  </si>
  <si>
    <t>Nghệ thuật (Mỹ thuật)</t>
  </si>
  <si>
    <t>Lan Ly</t>
  </si>
  <si>
    <t>ĐỊNH MỨC TIẾT/TUẦN — (C)=chẵn, (L)=lẻ. Môn .5: chẵn=2 lẻ=1</t>
  </si>
  <si>
    <t>6A C</t>
  </si>
  <si>
    <t>6B C</t>
  </si>
  <si>
    <t>6C C</t>
  </si>
  <si>
    <t>7A C</t>
  </si>
  <si>
    <t>7B C</t>
  </si>
  <si>
    <t>8A C</t>
  </si>
  <si>
    <t>8B C</t>
  </si>
  <si>
    <t>9A C</t>
  </si>
  <si>
    <t>9B C</t>
  </si>
  <si>
    <t>6A L</t>
  </si>
  <si>
    <t>6B L</t>
  </si>
  <si>
    <t>6C L</t>
  </si>
  <si>
    <t>7A L</t>
  </si>
  <si>
    <t>7B L</t>
  </si>
  <si>
    <t>8A L</t>
  </si>
  <si>
    <t>8B L</t>
  </si>
  <si>
    <t>9A L</t>
  </si>
  <si>
    <t>9B L</t>
  </si>
  <si>
    <t>TỔNG</t>
  </si>
  <si>
    <t>GIÁO VIÊN BẬN / XIN NGHỈ — macro né các khung giờ này, chỉ đổi tối thiểu số tiết</t>
  </si>
  <si>
    <t>Giáo viên</t>
  </si>
  <si>
    <t>Thứ (2-7, CN, *)</t>
  </si>
  <si>
    <t>Buổi (S/C/*)</t>
  </si>
  <si>
    <t>Tiết (1-5, *)</t>
  </si>
  <si>
    <t>Ví dụ:  Giang | 5 | * | *  → nghỉ cả Thứ 5.   Hồng | 3 | S | *  → bận sáng Thứ 3.</t>
  </si>
  <si>
    <t>Tên GV phải khớp sheet PhanCong. Xoá dòng khi GV dạy lại rồi chạy lại macro.</t>
  </si>
  <si>
    <t>ĐỊNH MỨC GIÁO VIÊN — Vượt&gt;0 (đỏ)=quá tải. Chức vụ điền sẵn từ Sheet2.</t>
  </si>
  <si>
    <t>Chuẩn:</t>
  </si>
  <si>
    <t>Chức vụ</t>
  </si>
  <si>
    <t>Giảm</t>
  </si>
  <si>
    <t>Giảm trừ</t>
  </si>
  <si>
    <t>Trần</t>
  </si>
  <si>
    <t>Tải Chẵn</t>
  </si>
  <si>
    <t>Tải Lẻ</t>
  </si>
  <si>
    <t>Vượt (Chẵn)</t>
  </si>
  <si>
    <t>Đi T2 (1/0)</t>
  </si>
  <si>
    <t>GVCN (1/0)</t>
  </si>
  <si>
    <t>GVCN</t>
  </si>
  <si>
    <t>Tổ trưởng</t>
  </si>
  <si>
    <t>Tổ phó</t>
  </si>
  <si>
    <t>Tổng phụ trách</t>
  </si>
  <si>
    <t>1=phải đi T2</t>
  </si>
  <si>
    <t>GVCN=phải đi T2+T7</t>
  </si>
  <si>
    <t>LỚP HỌC</t>
  </si>
  <si>
    <t>BUỔI</t>
  </si>
  <si>
    <t>TIẾT THỨ</t>
  </si>
  <si>
    <t>THỨ 2</t>
  </si>
  <si>
    <t>THỨ 3</t>
  </si>
  <si>
    <t>THỨ 4</t>
  </si>
  <si>
    <t>THỨ 5</t>
  </si>
  <si>
    <t>THỨ 6</t>
  </si>
  <si>
    <t>THỨ 7</t>
  </si>
  <si>
    <t>CHỦ NHẬT</t>
  </si>
  <si>
    <t>S</t>
  </si>
  <si>
    <t>1</t>
  </si>
  <si>
    <t>2</t>
  </si>
  <si>
    <t>3</t>
  </si>
  <si>
    <t>4</t>
  </si>
  <si>
    <t>5</t>
  </si>
  <si>
    <t>C</t>
  </si>
  <si>
    <t>Cờ trùng GV (ẩn) →</t>
  </si>
  <si>
    <t>KIỂM TRA — Định mức theo TuanConfig!B2 (C/L). Chênh lệch=Đã xếp−Định mức (0=đạt)</t>
  </si>
  <si>
    <t>TỔNG (xếp−ĐM)</t>
  </si>
  <si>
    <t>Số ô trùng GV:</t>
  </si>
  <si>
    <t>x</t>
  </si>
  <si>
    <t>SEED HIEN TAI -&gt;</t>
  </si>
  <si>
    <t>TUAN HIEN TAI (C=chan/L=le) -&gt;</t>
  </si>
  <si>
    <t>Tuan</t>
  </si>
  <si>
    <t>Seed</t>
  </si>
  <si>
    <t>Ngay tao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</si>
</sst>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1"/>
    </font>
    <font>
      <b/>
      <sz val="13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b/>
      <sz val="15"/>
      <color rgb="FFFFFFFF"/>
      <name val="Times New Roman"/>
      <family val="1"/>
    </font>
    <font>
      <b/>
      <sz val="12"/>
      <color rgb="FF1F4E78"/>
      <name val="Times New Roman"/>
      <family val="1"/>
    </font>
    <font>
      <sz val="10"/>
      <color rgb="FFC00000"/>
      <name val="Consolas"/>
      <family val="3"/>
    </font>
    <font>
      <b/>
      <sz val="11"/>
      <color rgb="FFC00000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sz val="11"/>
      <color rgb="FF0000FF"/>
      <name val="Times New Roman"/>
      <family val="1"/>
    </font>
    <font>
      <b/>
      <sz val="11"/>
      <color rgb="FF0000FF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i/>
      <sz val="9"/>
      <name val="Times New Roman"/>
      <family val="1"/>
    </font>
    <font>
      <sz val="9"/>
      <name val="Times New Roman"/>
      <family val="1"/>
    </font>
    <font>
      <i/>
      <sz val="11"/>
      <name val="Times New Roman"/>
      <family val="1"/>
    </font>
    <font>
      <b/>
      <sz val="11"/>
      <name val="Cambria"/>
      <family val="1"/>
    </font>
  </fonts>
  <fills count="9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BDD7EE"/>
        <bgColor rgb="FFD9E1F2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F2F2F2"/>
      </patternFill>
    </fill>
    <fill>
      <patternFill patternType="solid">
        <fgColor rgb="FFD9E1F2"/>
        <bgColor rgb="FFBDD7EE"/>
      </patternFill>
    </fill>
    <fill>
      <patternFill patternType="solid">
        <fgColor rgb="FFC6E0B4"/>
        <bgColor rgb="FFC6EFCE"/>
      </patternFill>
    </fill>
    <fill>
      <patternFill patternType="solid">
        <fgColor rgb="FFFFE699"/>
        <bgColor rgb="FFFCE4D6"/>
      </patternFill>
    </fill>
  </fills>
  <borders count="3">
    <border>
      <left/>
      <right/>
      <top/>
      <bottom/>
      <diagonal/>
    </border>
    <border>
      <left/>
      <right/>
      <top/>
      <bottom style="thin">
        <color rgb="FFB0B0B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0" xfId="0" applyFont="1" applyFill="1"/>
    <xf numFmtId="0" fontId="2" fillId="0" borderId="0" xfId="0" applyFont="1" applyAlignment="1">
      <alignment vertical="top" wrapText="1"/>
    </xf>
    <xf numFmtId="0" fontId="5" fillId="3" borderId="1" xfId="0" applyFont="1" applyFill="1" applyBorder="1"/>
    <xf numFmtId="0" fontId="6" fillId="4" borderId="0" xfId="0" applyFont="1" applyFill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3" fillId="6" borderId="2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9" fillId="0" borderId="0" xfId="0" applyFont="1"/>
    <xf numFmtId="0" fontId="3" fillId="0" borderId="2" xfId="0" applyFont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2" fillId="0" borderId="0" xfId="0" applyFont="1"/>
    <xf numFmtId="0" fontId="3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/>
    <xf numFmtId="0" fontId="3" fillId="7" borderId="2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10" fillId="0" borderId="2" xfId="0" applyFont="1" applyBorder="1"/>
    <xf numFmtId="0" fontId="3" fillId="6" borderId="2" xfId="0" applyFont="1" applyFill="1" applyBorder="1"/>
    <xf numFmtId="0" fontId="2" fillId="0" borderId="2" xfId="0" applyFont="1" applyBorder="1"/>
    <xf numFmtId="0" fontId="2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4" fillId="0" borderId="0" xfId="0" applyFont="1"/>
    <xf numFmtId="0" fontId="3" fillId="3" borderId="2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left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15" fillId="0" borderId="0" xfId="0" applyFont="1"/>
    <xf numFmtId="0" fontId="16" fillId="0" borderId="0" xfId="0" applyFont="1"/>
    <xf numFmtId="0" fontId="8" fillId="0" borderId="0" xfId="0" applyFont="1"/>
    <xf numFmtId="0" fontId="17" fillId="0" borderId="0" xfId="0" applyFont="1"/>
    <xf numFmtId="0" fontId="7" fillId="0" borderId="0" xfId="0" applyFont="1"/>
  </cellXfs>
  <cellStyles count="1">
    <cellStyle name="Normal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0B0B0"/>
      <rgbColor rgb="FF808080"/>
      <rgbColor rgb="FF9999FF"/>
      <rgbColor rgb="FF993366"/>
      <rgbColor rgb="FFF2F2F2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6E0B4"/>
      <rgbColor rgb="FFC6EFCE"/>
      <rgbColor rgb="FFFFE699"/>
      <rgbColor rgb="FF99CCFF"/>
      <rgbColor rgb="FFFCE4D6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9"/>
  <sheetViews>
    <sheetView zoomScaleNormal="100" workbookViewId="0"/>
  </sheetViews>
  <sheetFormatPr defaultColWidth="8.7109375" defaultRowHeight="15" x14ac:dyDescent="0.25"/>
  <cols>
    <col min="1" max="1" width="140" customWidth="1"/>
  </cols>
  <sheetData>
    <row r="1" spans="1:1" ht="15.75" customHeight="1" x14ac:dyDescent="0.25">
      <c r="A1" s="3" t="s">
        <v>0</v>
      </c>
    </row>
    <row r="2" spans="1:1" ht="15" customHeight="1" x14ac:dyDescent="0.25">
      <c r="A2" s="4"/>
    </row>
    <row r="3" spans="1:1" ht="15" customHeight="1" x14ac:dyDescent="0.25">
      <c r="A3" s="4" t="s">
        <v>1</v>
      </c>
    </row>
    <row r="4" spans="1:1" ht="15" customHeight="1" x14ac:dyDescent="0.25">
      <c r="A4" s="4" t="s">
        <v>2</v>
      </c>
    </row>
    <row r="5" spans="1:1" ht="15" customHeight="1" x14ac:dyDescent="0.25">
      <c r="A5" s="4"/>
    </row>
    <row r="6" spans="1:1" ht="15.75" customHeight="1" x14ac:dyDescent="0.25">
      <c r="A6" s="3" t="s">
        <v>3</v>
      </c>
    </row>
    <row r="7" spans="1:1" ht="15" customHeight="1" x14ac:dyDescent="0.25">
      <c r="A7" s="4" t="s">
        <v>4</v>
      </c>
    </row>
    <row r="8" spans="1:1" ht="15" customHeight="1" x14ac:dyDescent="0.25">
      <c r="A8" s="4" t="s">
        <v>5</v>
      </c>
    </row>
    <row r="9" spans="1:1" ht="15" customHeight="1" x14ac:dyDescent="0.25">
      <c r="A9" s="4" t="s">
        <v>6</v>
      </c>
    </row>
    <row r="10" spans="1:1" ht="15" customHeight="1" x14ac:dyDescent="0.25">
      <c r="A10" s="4" t="s">
        <v>7</v>
      </c>
    </row>
    <row r="11" spans="1:1" ht="15" customHeight="1" x14ac:dyDescent="0.25">
      <c r="A11" s="4" t="s">
        <v>8</v>
      </c>
    </row>
    <row r="12" spans="1:1" ht="15" customHeight="1" x14ac:dyDescent="0.25">
      <c r="A12" s="4" t="s">
        <v>9</v>
      </c>
    </row>
    <row r="13" spans="1:1" ht="15" customHeight="1" x14ac:dyDescent="0.25">
      <c r="A13" s="4"/>
    </row>
    <row r="14" spans="1:1" ht="15" customHeight="1" x14ac:dyDescent="0.25">
      <c r="A14" s="4" t="s">
        <v>10</v>
      </c>
    </row>
    <row r="15" spans="1:1" ht="15" customHeight="1" x14ac:dyDescent="0.25">
      <c r="A15" s="4"/>
    </row>
    <row r="16" spans="1:1" ht="15" customHeight="1" x14ac:dyDescent="0.25">
      <c r="A16" s="5" t="s">
        <v>11</v>
      </c>
    </row>
    <row r="17" spans="1:1" ht="15" customHeight="1" x14ac:dyDescent="0.25">
      <c r="A17" s="4" t="s">
        <v>12</v>
      </c>
    </row>
    <row r="18" spans="1:1" ht="15" customHeight="1" x14ac:dyDescent="0.25">
      <c r="A18" s="4" t="s">
        <v>13</v>
      </c>
    </row>
    <row r="19" spans="1:1" ht="15" customHeight="1" x14ac:dyDescent="0.25">
      <c r="A19" s="4" t="s">
        <v>14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B7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7109375" defaultRowHeight="15" x14ac:dyDescent="0.25"/>
  <cols>
    <col min="1" max="1" width="4" customWidth="1"/>
    <col min="2" max="2" width="120" customWidth="1"/>
  </cols>
  <sheetData>
    <row r="1" spans="2:2" ht="18" customHeight="1" x14ac:dyDescent="0.3">
      <c r="B1" s="6" t="s">
        <v>15</v>
      </c>
    </row>
    <row r="2" spans="2:2" ht="15" customHeight="1" x14ac:dyDescent="0.25">
      <c r="B2" s="7"/>
    </row>
    <row r="3" spans="2:2" ht="15" customHeight="1" x14ac:dyDescent="0.25">
      <c r="B3" s="8" t="s">
        <v>16</v>
      </c>
    </row>
    <row r="4" spans="2:2" ht="15" customHeight="1" x14ac:dyDescent="0.25">
      <c r="B4" s="9" t="s">
        <v>17</v>
      </c>
    </row>
    <row r="5" spans="2:2" ht="15" customHeight="1" x14ac:dyDescent="0.25">
      <c r="B5" s="7" t="s">
        <v>18</v>
      </c>
    </row>
    <row r="6" spans="2:2" ht="15" customHeight="1" x14ac:dyDescent="0.25">
      <c r="B6" s="7" t="s">
        <v>19</v>
      </c>
    </row>
    <row r="7" spans="2:2" ht="15" customHeight="1" x14ac:dyDescent="0.25">
      <c r="B7" s="7" t="s">
        <v>20</v>
      </c>
    </row>
    <row r="8" spans="2:2" ht="15" customHeight="1" x14ac:dyDescent="0.25">
      <c r="B8" s="10" t="s">
        <v>21</v>
      </c>
    </row>
    <row r="9" spans="2:2" ht="15" customHeight="1" x14ac:dyDescent="0.25">
      <c r="B9" s="7" t="s">
        <v>22</v>
      </c>
    </row>
    <row r="10" spans="2:2" ht="15" customHeight="1" x14ac:dyDescent="0.25">
      <c r="B10" s="7" t="s">
        <v>23</v>
      </c>
    </row>
    <row r="11" spans="2:2" ht="15" customHeight="1" x14ac:dyDescent="0.25">
      <c r="B11" s="7" t="s">
        <v>24</v>
      </c>
    </row>
    <row r="12" spans="2:2" ht="15" customHeight="1" x14ac:dyDescent="0.25">
      <c r="B12" s="7" t="s">
        <v>25</v>
      </c>
    </row>
    <row r="13" spans="2:2" ht="15" customHeight="1" x14ac:dyDescent="0.25">
      <c r="B13" s="7" t="s">
        <v>26</v>
      </c>
    </row>
    <row r="14" spans="2:2" ht="15" customHeight="1" x14ac:dyDescent="0.25">
      <c r="B14" s="7" t="s">
        <v>27</v>
      </c>
    </row>
    <row r="15" spans="2:2" ht="15" customHeight="1" x14ac:dyDescent="0.25">
      <c r="B15" s="7" t="s">
        <v>28</v>
      </c>
    </row>
    <row r="16" spans="2:2" ht="15" customHeight="1" x14ac:dyDescent="0.25">
      <c r="B16" s="7" t="s">
        <v>29</v>
      </c>
    </row>
    <row r="17" spans="2:2" ht="15" customHeight="1" x14ac:dyDescent="0.25">
      <c r="B17" s="7"/>
    </row>
    <row r="18" spans="2:2" ht="15" customHeight="1" x14ac:dyDescent="0.25">
      <c r="B18" s="8" t="s">
        <v>30</v>
      </c>
    </row>
    <row r="19" spans="2:2" ht="15" customHeight="1" x14ac:dyDescent="0.25">
      <c r="B19" s="7" t="s">
        <v>31</v>
      </c>
    </row>
    <row r="20" spans="2:2" ht="15" customHeight="1" x14ac:dyDescent="0.25">
      <c r="B20" s="7" t="s">
        <v>32</v>
      </c>
    </row>
    <row r="21" spans="2:2" ht="15" customHeight="1" x14ac:dyDescent="0.25">
      <c r="B21" s="7" t="s">
        <v>33</v>
      </c>
    </row>
    <row r="22" spans="2:2" ht="15" customHeight="1" x14ac:dyDescent="0.25">
      <c r="B22" s="7" t="s">
        <v>34</v>
      </c>
    </row>
    <row r="23" spans="2:2" ht="15" customHeight="1" x14ac:dyDescent="0.25">
      <c r="B23" s="7" t="s">
        <v>35</v>
      </c>
    </row>
    <row r="24" spans="2:2" ht="15" customHeight="1" x14ac:dyDescent="0.25">
      <c r="B24" s="7" t="s">
        <v>36</v>
      </c>
    </row>
    <row r="25" spans="2:2" ht="15" customHeight="1" x14ac:dyDescent="0.25">
      <c r="B25" s="7" t="s">
        <v>37</v>
      </c>
    </row>
    <row r="26" spans="2:2" ht="15" customHeight="1" x14ac:dyDescent="0.25">
      <c r="B26" s="7" t="s">
        <v>38</v>
      </c>
    </row>
    <row r="27" spans="2:2" ht="15" customHeight="1" x14ac:dyDescent="0.25">
      <c r="B27" s="7" t="s">
        <v>39</v>
      </c>
    </row>
    <row r="28" spans="2:2" ht="15" customHeight="1" x14ac:dyDescent="0.25">
      <c r="B28" s="7" t="s">
        <v>40</v>
      </c>
    </row>
    <row r="29" spans="2:2" ht="15" customHeight="1" x14ac:dyDescent="0.25">
      <c r="B29" s="7"/>
    </row>
    <row r="30" spans="2:2" ht="15" customHeight="1" x14ac:dyDescent="0.25">
      <c r="B30" s="8" t="s">
        <v>41</v>
      </c>
    </row>
    <row r="31" spans="2:2" ht="15" customHeight="1" x14ac:dyDescent="0.25">
      <c r="B31" s="7" t="s">
        <v>42</v>
      </c>
    </row>
    <row r="32" spans="2:2" ht="15" customHeight="1" x14ac:dyDescent="0.25">
      <c r="B32" s="9" t="s">
        <v>43</v>
      </c>
    </row>
    <row r="33" spans="2:2" ht="15" customHeight="1" x14ac:dyDescent="0.25">
      <c r="B33" s="7" t="s">
        <v>44</v>
      </c>
    </row>
    <row r="34" spans="2:2" ht="15" customHeight="1" x14ac:dyDescent="0.25">
      <c r="B34" s="9" t="s">
        <v>45</v>
      </c>
    </row>
    <row r="35" spans="2:2" ht="15" customHeight="1" x14ac:dyDescent="0.25">
      <c r="B35" s="9" t="s">
        <v>46</v>
      </c>
    </row>
    <row r="36" spans="2:2" ht="15" customHeight="1" x14ac:dyDescent="0.25">
      <c r="B36" s="7" t="s">
        <v>47</v>
      </c>
    </row>
    <row r="37" spans="2:2" ht="15" customHeight="1" x14ac:dyDescent="0.25">
      <c r="B37" s="9" t="s">
        <v>48</v>
      </c>
    </row>
    <row r="38" spans="2:2" ht="15" customHeight="1" x14ac:dyDescent="0.25">
      <c r="B38" s="7"/>
    </row>
    <row r="39" spans="2:2" ht="15" customHeight="1" x14ac:dyDescent="0.25">
      <c r="B39" s="8" t="s">
        <v>49</v>
      </c>
    </row>
    <row r="40" spans="2:2" ht="15" customHeight="1" x14ac:dyDescent="0.25">
      <c r="B40" s="7" t="s">
        <v>50</v>
      </c>
    </row>
    <row r="41" spans="2:2" ht="15" customHeight="1" x14ac:dyDescent="0.25">
      <c r="B41" s="9" t="s">
        <v>51</v>
      </c>
    </row>
    <row r="42" spans="2:2" ht="15" customHeight="1" x14ac:dyDescent="0.25">
      <c r="B42" s="9" t="s">
        <v>52</v>
      </c>
    </row>
    <row r="43" spans="2:2" ht="15" customHeight="1" x14ac:dyDescent="0.25">
      <c r="B43" s="9" t="s">
        <v>53</v>
      </c>
    </row>
    <row r="44" spans="2:2" ht="15" customHeight="1" x14ac:dyDescent="0.25">
      <c r="B44" s="9" t="s">
        <v>54</v>
      </c>
    </row>
    <row r="45" spans="2:2" ht="15" customHeight="1" x14ac:dyDescent="0.25">
      <c r="B45" s="9" t="s">
        <v>55</v>
      </c>
    </row>
    <row r="46" spans="2:2" ht="15" customHeight="1" x14ac:dyDescent="0.25">
      <c r="B46" s="10" t="s">
        <v>56</v>
      </c>
    </row>
    <row r="47" spans="2:2" ht="15" customHeight="1" x14ac:dyDescent="0.25">
      <c r="B47" s="10" t="s">
        <v>57</v>
      </c>
    </row>
    <row r="48" spans="2:2" ht="15" customHeight="1" x14ac:dyDescent="0.25">
      <c r="B48" s="7" t="s">
        <v>58</v>
      </c>
    </row>
    <row r="49" spans="2:2" ht="15" customHeight="1" x14ac:dyDescent="0.25">
      <c r="B49" s="7"/>
    </row>
    <row r="50" spans="2:2" ht="15" customHeight="1" x14ac:dyDescent="0.25">
      <c r="B50" s="8" t="s">
        <v>59</v>
      </c>
    </row>
    <row r="51" spans="2:2" ht="15" customHeight="1" x14ac:dyDescent="0.25">
      <c r="B51" s="7" t="s">
        <v>60</v>
      </c>
    </row>
    <row r="52" spans="2:2" ht="15" customHeight="1" x14ac:dyDescent="0.25">
      <c r="B52" s="9" t="s">
        <v>61</v>
      </c>
    </row>
    <row r="53" spans="2:2" ht="15" customHeight="1" x14ac:dyDescent="0.25">
      <c r="B53" s="9" t="s">
        <v>62</v>
      </c>
    </row>
    <row r="54" spans="2:2" ht="15" customHeight="1" x14ac:dyDescent="0.25">
      <c r="B54" s="9" t="s">
        <v>63</v>
      </c>
    </row>
    <row r="55" spans="2:2" ht="15" customHeight="1" x14ac:dyDescent="0.25">
      <c r="B55" s="7" t="s">
        <v>64</v>
      </c>
    </row>
    <row r="56" spans="2:2" ht="15" customHeight="1" x14ac:dyDescent="0.25">
      <c r="B56" s="7" t="s">
        <v>65</v>
      </c>
    </row>
    <row r="57" spans="2:2" ht="15" customHeight="1" x14ac:dyDescent="0.25">
      <c r="B57" s="7"/>
    </row>
    <row r="58" spans="2:2" ht="15" customHeight="1" x14ac:dyDescent="0.25">
      <c r="B58" s="8" t="s">
        <v>66</v>
      </c>
    </row>
    <row r="59" spans="2:2" ht="15" customHeight="1" x14ac:dyDescent="0.25">
      <c r="B59" s="7" t="s">
        <v>67</v>
      </c>
    </row>
    <row r="60" spans="2:2" ht="15" customHeight="1" x14ac:dyDescent="0.25">
      <c r="B60" s="7" t="s">
        <v>68</v>
      </c>
    </row>
    <row r="61" spans="2:2" ht="15" customHeight="1" x14ac:dyDescent="0.25">
      <c r="B61" s="7" t="s">
        <v>69</v>
      </c>
    </row>
    <row r="62" spans="2:2" ht="15" customHeight="1" x14ac:dyDescent="0.25">
      <c r="B62" s="7" t="s">
        <v>70</v>
      </c>
    </row>
    <row r="63" spans="2:2" ht="15" customHeight="1" x14ac:dyDescent="0.25">
      <c r="B63" s="7" t="s">
        <v>71</v>
      </c>
    </row>
    <row r="64" spans="2:2" ht="15" customHeight="1" x14ac:dyDescent="0.25">
      <c r="B64" s="7" t="s">
        <v>72</v>
      </c>
    </row>
    <row r="65" spans="2:2" ht="15" customHeight="1" x14ac:dyDescent="0.25">
      <c r="B65" s="7" t="s">
        <v>73</v>
      </c>
    </row>
    <row r="66" spans="2:2" ht="15" customHeight="1" x14ac:dyDescent="0.25">
      <c r="B66" s="7"/>
    </row>
    <row r="67" spans="2:2" ht="15" customHeight="1" x14ac:dyDescent="0.25">
      <c r="B67" s="8" t="s">
        <v>74</v>
      </c>
    </row>
    <row r="68" spans="2:2" ht="15" customHeight="1" x14ac:dyDescent="0.25">
      <c r="B68" s="7" t="s">
        <v>75</v>
      </c>
    </row>
    <row r="69" spans="2:2" ht="15" customHeight="1" x14ac:dyDescent="0.25">
      <c r="B69" s="7" t="s">
        <v>76</v>
      </c>
    </row>
    <row r="70" spans="2:2" ht="15" customHeight="1" x14ac:dyDescent="0.25">
      <c r="B70" s="7" t="s">
        <v>77</v>
      </c>
    </row>
    <row r="71" spans="2:2" ht="15" customHeight="1" x14ac:dyDescent="0.25">
      <c r="B71" s="7" t="s">
        <v>78</v>
      </c>
    </row>
    <row r="72" spans="2:2" ht="15" customHeight="1" x14ac:dyDescent="0.25">
      <c r="B72" s="7" t="s">
        <v>79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9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ColWidth="8.7109375" defaultRowHeight="15" x14ac:dyDescent="0.25"/>
  <cols>
    <col min="1" max="1" width="34" customWidth="1"/>
    <col min="2" max="11" width="10" customWidth="1"/>
    <col min="12" max="12" width="7" customWidth="1"/>
    <col min="13" max="14" width="6" customWidth="1"/>
    <col min="15" max="15" width="42" customWidth="1"/>
  </cols>
  <sheetData>
    <row r="1" spans="1:15" ht="15.75" customHeight="1" x14ac:dyDescent="0.25">
      <c r="A1" s="2" t="s">
        <v>80</v>
      </c>
      <c r="B1" s="2"/>
      <c r="C1" s="2"/>
      <c r="D1" s="2"/>
      <c r="E1" s="2"/>
      <c r="F1" s="2"/>
      <c r="G1" s="2"/>
      <c r="H1" s="2"/>
      <c r="I1" s="2"/>
      <c r="J1" s="2"/>
    </row>
    <row r="2" spans="1:15" ht="15" customHeight="1" x14ac:dyDescent="0.25">
      <c r="A2" s="11" t="s">
        <v>81</v>
      </c>
      <c r="B2" s="11" t="s">
        <v>82</v>
      </c>
      <c r="C2" s="11" t="s">
        <v>83</v>
      </c>
      <c r="D2" s="11" t="s">
        <v>84</v>
      </c>
      <c r="E2" s="11" t="s">
        <v>85</v>
      </c>
      <c r="F2" s="11" t="s">
        <v>86</v>
      </c>
      <c r="G2" s="11" t="s">
        <v>87</v>
      </c>
      <c r="H2" s="11" t="s">
        <v>88</v>
      </c>
      <c r="I2" s="11" t="s">
        <v>89</v>
      </c>
      <c r="J2" s="11" t="s">
        <v>90</v>
      </c>
      <c r="K2" s="12"/>
      <c r="L2" s="13" t="s">
        <v>91</v>
      </c>
      <c r="M2" s="12"/>
      <c r="N2" s="12"/>
      <c r="O2" s="14"/>
    </row>
    <row r="3" spans="1:15" ht="15" customHeight="1" x14ac:dyDescent="0.25">
      <c r="A3" s="15" t="s">
        <v>92</v>
      </c>
      <c r="B3" s="16" t="s">
        <v>93</v>
      </c>
      <c r="C3" s="16" t="s">
        <v>93</v>
      </c>
      <c r="D3" s="16" t="s">
        <v>93</v>
      </c>
      <c r="E3" s="16" t="s">
        <v>94</v>
      </c>
      <c r="F3" s="16" t="s">
        <v>94</v>
      </c>
      <c r="G3" s="16" t="s">
        <v>95</v>
      </c>
      <c r="H3" s="16" t="s">
        <v>95</v>
      </c>
      <c r="I3" s="16" t="s">
        <v>96</v>
      </c>
      <c r="J3" s="16" t="s">
        <v>96</v>
      </c>
      <c r="K3" s="17"/>
      <c r="L3" s="18">
        <v>1</v>
      </c>
      <c r="M3" s="19"/>
      <c r="N3" s="19"/>
      <c r="O3" s="20"/>
    </row>
    <row r="4" spans="1:15" ht="15" customHeight="1" x14ac:dyDescent="0.25">
      <c r="A4" s="15" t="s">
        <v>97</v>
      </c>
      <c r="B4" s="16" t="s">
        <v>98</v>
      </c>
      <c r="C4" s="16" t="s">
        <v>98</v>
      </c>
      <c r="D4" s="16" t="s">
        <v>98</v>
      </c>
      <c r="E4" s="16" t="s">
        <v>99</v>
      </c>
      <c r="F4" s="16" t="s">
        <v>99</v>
      </c>
      <c r="G4" s="16" t="s">
        <v>100</v>
      </c>
      <c r="H4" s="16" t="s">
        <v>100</v>
      </c>
      <c r="I4" s="16" t="s">
        <v>101</v>
      </c>
      <c r="J4" s="16" t="s">
        <v>101</v>
      </c>
      <c r="K4" s="17"/>
      <c r="L4" s="18">
        <v>3</v>
      </c>
      <c r="M4" s="19"/>
      <c r="N4" s="19"/>
      <c r="O4" s="20"/>
    </row>
    <row r="5" spans="1:15" ht="15" customHeight="1" x14ac:dyDescent="0.25">
      <c r="A5" s="15" t="s">
        <v>102</v>
      </c>
      <c r="B5" s="16" t="s">
        <v>103</v>
      </c>
      <c r="C5" s="16" t="s">
        <v>103</v>
      </c>
      <c r="D5" s="16" t="s">
        <v>103</v>
      </c>
      <c r="E5" s="16" t="s">
        <v>104</v>
      </c>
      <c r="F5" s="16" t="s">
        <v>104</v>
      </c>
      <c r="G5" s="16" t="s">
        <v>103</v>
      </c>
      <c r="H5" s="16" t="s">
        <v>103</v>
      </c>
      <c r="I5" s="16" t="s">
        <v>104</v>
      </c>
      <c r="J5" s="16" t="s">
        <v>104</v>
      </c>
      <c r="K5" s="17"/>
      <c r="L5" s="18">
        <v>0</v>
      </c>
      <c r="M5" s="19"/>
      <c r="N5" s="19"/>
      <c r="O5" s="20"/>
    </row>
    <row r="6" spans="1:15" ht="15" customHeight="1" x14ac:dyDescent="0.25">
      <c r="A6" s="15" t="s">
        <v>105</v>
      </c>
      <c r="B6" s="16" t="s">
        <v>106</v>
      </c>
      <c r="C6" s="16" t="s">
        <v>106</v>
      </c>
      <c r="D6" s="16" t="s">
        <v>106</v>
      </c>
      <c r="E6" s="16" t="s">
        <v>96</v>
      </c>
      <c r="F6" s="16" t="s">
        <v>96</v>
      </c>
      <c r="G6" s="16" t="s">
        <v>96</v>
      </c>
      <c r="H6" s="16" t="s">
        <v>96</v>
      </c>
      <c r="I6" s="16" t="s">
        <v>95</v>
      </c>
      <c r="J6" s="16" t="s">
        <v>95</v>
      </c>
      <c r="K6" s="17"/>
      <c r="L6" s="18">
        <v>1</v>
      </c>
      <c r="M6" s="19"/>
      <c r="N6" s="19"/>
      <c r="O6" s="20"/>
    </row>
    <row r="7" spans="1:15" ht="15" customHeight="1" x14ac:dyDescent="0.25">
      <c r="A7" s="15" t="s">
        <v>107</v>
      </c>
      <c r="B7" s="16" t="s">
        <v>108</v>
      </c>
      <c r="C7" s="16" t="s">
        <v>108</v>
      </c>
      <c r="D7" s="16" t="s">
        <v>108</v>
      </c>
      <c r="E7" s="16" t="s">
        <v>109</v>
      </c>
      <c r="F7" s="16" t="s">
        <v>109</v>
      </c>
      <c r="G7" s="16" t="s">
        <v>109</v>
      </c>
      <c r="H7" s="16" t="s">
        <v>109</v>
      </c>
      <c r="I7" s="16" t="s">
        <v>109</v>
      </c>
      <c r="J7" s="16" t="s">
        <v>109</v>
      </c>
      <c r="K7" s="17"/>
      <c r="L7" s="18">
        <v>1</v>
      </c>
      <c r="M7" s="19"/>
      <c r="N7" s="19"/>
      <c r="O7" s="20"/>
    </row>
    <row r="8" spans="1:15" ht="15" customHeight="1" x14ac:dyDescent="0.25">
      <c r="A8" s="15" t="s">
        <v>110</v>
      </c>
      <c r="B8" s="16" t="s">
        <v>106</v>
      </c>
      <c r="C8" s="16" t="s">
        <v>106</v>
      </c>
      <c r="D8" s="16" t="s">
        <v>106</v>
      </c>
      <c r="E8" s="16" t="s">
        <v>108</v>
      </c>
      <c r="F8" s="16" t="s">
        <v>108</v>
      </c>
      <c r="G8" s="16" t="s">
        <v>108</v>
      </c>
      <c r="H8" s="16" t="s">
        <v>108</v>
      </c>
      <c r="I8" s="16" t="s">
        <v>106</v>
      </c>
      <c r="J8" s="16" t="s">
        <v>106</v>
      </c>
      <c r="K8" s="17"/>
      <c r="L8" s="18">
        <v>0</v>
      </c>
      <c r="M8" s="19"/>
      <c r="N8" s="19"/>
      <c r="O8" s="20"/>
    </row>
    <row r="9" spans="1:15" ht="15" customHeight="1" x14ac:dyDescent="0.25">
      <c r="A9" s="15" t="s">
        <v>111</v>
      </c>
      <c r="B9" s="16" t="s">
        <v>112</v>
      </c>
      <c r="C9" s="16" t="s">
        <v>112</v>
      </c>
      <c r="D9" s="16" t="s">
        <v>112</v>
      </c>
      <c r="E9" s="16" t="s">
        <v>113</v>
      </c>
      <c r="F9" s="16" t="s">
        <v>113</v>
      </c>
      <c r="G9" s="16" t="s">
        <v>113</v>
      </c>
      <c r="H9" s="16" t="s">
        <v>113</v>
      </c>
      <c r="I9" s="16" t="s">
        <v>113</v>
      </c>
      <c r="J9" s="16" t="s">
        <v>113</v>
      </c>
      <c r="K9" s="17"/>
      <c r="L9" s="18">
        <v>0</v>
      </c>
    </row>
    <row r="10" spans="1:15" ht="15" customHeight="1" x14ac:dyDescent="0.25">
      <c r="A10" s="15" t="s">
        <v>114</v>
      </c>
      <c r="B10" s="16" t="s">
        <v>112</v>
      </c>
      <c r="C10" s="16" t="s">
        <v>112</v>
      </c>
      <c r="D10" s="16" t="s">
        <v>112</v>
      </c>
      <c r="E10" s="16" t="s">
        <v>113</v>
      </c>
      <c r="F10" s="16" t="s">
        <v>113</v>
      </c>
      <c r="G10" s="16" t="s">
        <v>113</v>
      </c>
      <c r="H10" s="16" t="s">
        <v>113</v>
      </c>
      <c r="I10" s="16" t="s">
        <v>113</v>
      </c>
      <c r="J10" s="16" t="s">
        <v>113</v>
      </c>
      <c r="K10" s="17"/>
      <c r="L10" s="18">
        <v>0</v>
      </c>
    </row>
    <row r="11" spans="1:15" ht="15" customHeight="1" x14ac:dyDescent="0.25">
      <c r="A11" s="15" t="s">
        <v>115</v>
      </c>
      <c r="B11" s="16" t="s">
        <v>98</v>
      </c>
      <c r="C11" s="16" t="s">
        <v>98</v>
      </c>
      <c r="D11" s="16" t="s">
        <v>98</v>
      </c>
      <c r="E11" s="16" t="s">
        <v>101</v>
      </c>
      <c r="F11" s="16" t="s">
        <v>101</v>
      </c>
      <c r="G11" s="16" t="s">
        <v>99</v>
      </c>
      <c r="H11" s="16" t="s">
        <v>99</v>
      </c>
      <c r="I11" s="16" t="s">
        <v>99</v>
      </c>
      <c r="J11" s="16" t="s">
        <v>99</v>
      </c>
      <c r="K11" s="17"/>
      <c r="L11" s="18">
        <v>0</v>
      </c>
    </row>
    <row r="12" spans="1:15" ht="15" customHeight="1" x14ac:dyDescent="0.25">
      <c r="A12" s="15" t="s">
        <v>116</v>
      </c>
      <c r="B12" s="16" t="s">
        <v>106</v>
      </c>
      <c r="C12" s="16" t="s">
        <v>106</v>
      </c>
      <c r="D12" s="16" t="s">
        <v>106</v>
      </c>
      <c r="E12" s="16" t="s">
        <v>106</v>
      </c>
      <c r="F12" s="16" t="s">
        <v>106</v>
      </c>
      <c r="G12" s="16" t="s">
        <v>106</v>
      </c>
      <c r="H12" s="16" t="s">
        <v>106</v>
      </c>
      <c r="I12" s="16" t="s">
        <v>109</v>
      </c>
      <c r="J12" s="16" t="s">
        <v>109</v>
      </c>
      <c r="K12" s="17"/>
      <c r="L12" s="18">
        <v>0</v>
      </c>
    </row>
    <row r="13" spans="1:15" ht="15" customHeight="1" x14ac:dyDescent="0.25">
      <c r="A13" s="15" t="s">
        <v>117</v>
      </c>
      <c r="B13" s="16" t="s">
        <v>98</v>
      </c>
      <c r="C13" s="16" t="s">
        <v>98</v>
      </c>
      <c r="D13" s="16" t="s">
        <v>98</v>
      </c>
      <c r="E13" s="16" t="s">
        <v>94</v>
      </c>
      <c r="F13" s="16" t="s">
        <v>94</v>
      </c>
      <c r="G13" s="16" t="s">
        <v>94</v>
      </c>
      <c r="H13" s="16" t="s">
        <v>94</v>
      </c>
      <c r="I13" s="16" t="s">
        <v>96</v>
      </c>
      <c r="J13" s="16" t="s">
        <v>96</v>
      </c>
      <c r="K13" s="17"/>
      <c r="L13" s="18">
        <v>0</v>
      </c>
    </row>
    <row r="14" spans="1:15" ht="15" customHeight="1" x14ac:dyDescent="0.25">
      <c r="A14" s="15" t="s">
        <v>118</v>
      </c>
      <c r="B14" s="16" t="s">
        <v>119</v>
      </c>
      <c r="C14" s="16" t="s">
        <v>119</v>
      </c>
      <c r="D14" s="16" t="s">
        <v>119</v>
      </c>
      <c r="E14" s="16" t="s">
        <v>119</v>
      </c>
      <c r="F14" s="16" t="s">
        <v>119</v>
      </c>
      <c r="G14" s="16" t="s">
        <v>119</v>
      </c>
      <c r="H14" s="16" t="s">
        <v>119</v>
      </c>
      <c r="I14" s="16" t="s">
        <v>119</v>
      </c>
      <c r="J14" s="16" t="s">
        <v>119</v>
      </c>
      <c r="K14" s="17"/>
      <c r="L14" s="18">
        <v>4</v>
      </c>
    </row>
    <row r="15" spans="1:15" ht="15" customHeight="1" x14ac:dyDescent="0.25">
      <c r="A15" s="15" t="s">
        <v>120</v>
      </c>
      <c r="B15" s="16" t="s">
        <v>100</v>
      </c>
      <c r="C15" s="16" t="s">
        <v>100</v>
      </c>
      <c r="D15" s="16" t="s">
        <v>100</v>
      </c>
      <c r="E15" s="16" t="s">
        <v>112</v>
      </c>
      <c r="F15" s="16" t="s">
        <v>112</v>
      </c>
      <c r="G15" s="16" t="s">
        <v>121</v>
      </c>
      <c r="H15" s="16" t="s">
        <v>121</v>
      </c>
      <c r="I15" s="16" t="s">
        <v>121</v>
      </c>
      <c r="J15" s="16" t="s">
        <v>121</v>
      </c>
      <c r="K15" s="17"/>
      <c r="L15" s="18">
        <v>0</v>
      </c>
    </row>
    <row r="16" spans="1:15" ht="15" customHeight="1" x14ac:dyDescent="0.25">
      <c r="A16" s="15" t="s">
        <v>122</v>
      </c>
      <c r="B16" s="16" t="s">
        <v>93</v>
      </c>
      <c r="C16" s="16" t="s">
        <v>112</v>
      </c>
      <c r="D16" s="16" t="s">
        <v>99</v>
      </c>
      <c r="E16" s="16" t="s">
        <v>94</v>
      </c>
      <c r="F16" s="16" t="s">
        <v>108</v>
      </c>
      <c r="G16" s="16" t="s">
        <v>95</v>
      </c>
      <c r="H16" s="16" t="s">
        <v>109</v>
      </c>
      <c r="I16" s="16" t="s">
        <v>101</v>
      </c>
      <c r="J16" s="16" t="s">
        <v>104</v>
      </c>
      <c r="K16" s="17"/>
      <c r="L16" s="18">
        <v>5</v>
      </c>
    </row>
    <row r="17" spans="1:12" ht="15" customHeight="1" x14ac:dyDescent="0.25">
      <c r="A17" s="15" t="s">
        <v>123</v>
      </c>
      <c r="B17" s="16" t="s">
        <v>100</v>
      </c>
      <c r="C17" s="16" t="s">
        <v>100</v>
      </c>
      <c r="D17" s="16" t="s">
        <v>100</v>
      </c>
      <c r="E17" s="16" t="s">
        <v>112</v>
      </c>
      <c r="F17" s="16" t="s">
        <v>112</v>
      </c>
      <c r="G17" s="16" t="s">
        <v>98</v>
      </c>
      <c r="H17" s="16" t="s">
        <v>98</v>
      </c>
      <c r="I17" s="16" t="s">
        <v>124</v>
      </c>
      <c r="J17" s="16" t="s">
        <v>124</v>
      </c>
      <c r="K17" s="17"/>
      <c r="L17" s="18">
        <v>0</v>
      </c>
    </row>
    <row r="18" spans="1:12" ht="15" customHeight="1" x14ac:dyDescent="0.25">
      <c r="A18" s="15" t="s">
        <v>125</v>
      </c>
      <c r="B18" s="16" t="s">
        <v>126</v>
      </c>
      <c r="C18" s="16" t="s">
        <v>126</v>
      </c>
      <c r="D18" s="16" t="s">
        <v>126</v>
      </c>
      <c r="E18" s="16" t="s">
        <v>126</v>
      </c>
      <c r="F18" s="16" t="s">
        <v>126</v>
      </c>
      <c r="G18" s="16" t="s">
        <v>126</v>
      </c>
      <c r="H18" s="16" t="s">
        <v>126</v>
      </c>
      <c r="I18" s="16" t="s">
        <v>126</v>
      </c>
      <c r="J18" s="16" t="s">
        <v>126</v>
      </c>
      <c r="K18" s="17"/>
      <c r="L18" s="18">
        <v>0</v>
      </c>
    </row>
    <row r="19" spans="1:12" ht="15" customHeight="1" x14ac:dyDescent="0.25">
      <c r="A19" s="21"/>
      <c r="B19" s="22"/>
      <c r="C19" s="22"/>
      <c r="D19" s="22"/>
      <c r="E19" s="22"/>
      <c r="F19" s="22"/>
      <c r="G19" s="22"/>
      <c r="H19" s="22"/>
      <c r="I19" s="22"/>
      <c r="J19" s="22"/>
      <c r="K19" s="17"/>
      <c r="L19" s="17"/>
    </row>
    <row r="20" spans="1:12" ht="15" customHeight="1" x14ac:dyDescent="0.25"/>
    <row r="21" spans="1:12" ht="15" customHeight="1" x14ac:dyDescent="0.25">
      <c r="A21" s="23"/>
    </row>
    <row r="22" spans="1:12" ht="15" customHeight="1" x14ac:dyDescent="0.25"/>
    <row r="23" spans="1:12" ht="15" customHeight="1" x14ac:dyDescent="0.25"/>
    <row r="24" spans="1:12" ht="15" customHeight="1" x14ac:dyDescent="0.25"/>
    <row r="25" spans="1:12" ht="15" customHeight="1" x14ac:dyDescent="0.25"/>
    <row r="26" spans="1:12" ht="15" customHeight="1" x14ac:dyDescent="0.25"/>
    <row r="27" spans="1:12" ht="15" customHeight="1" x14ac:dyDescent="0.25"/>
    <row r="28" spans="1:12" ht="15" customHeight="1" x14ac:dyDescent="0.25"/>
    <row r="29" spans="1:12" ht="15" customHeight="1" x14ac:dyDescent="0.25"/>
    <row r="30" spans="1:12" ht="15" customHeight="1" x14ac:dyDescent="0.25"/>
    <row r="31" spans="1:12" ht="15" customHeight="1" x14ac:dyDescent="0.25"/>
    <row r="32" spans="1:1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</sheetData>
  <mergeCells count="1">
    <mergeCell ref="A1:J1"/>
  </mergeCells>
  <dataValidations count="1">
    <dataValidation type="whole" sqref="L3:L18" xr:uid="{00000000-0002-0000-0200-000000000000}">
      <formula1>0</formula1>
      <formula2>5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9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ColWidth="8.7109375" defaultRowHeight="15" x14ac:dyDescent="0.25"/>
  <cols>
    <col min="1" max="1" width="34" customWidth="1"/>
    <col min="2" max="20" width="7" customWidth="1"/>
  </cols>
  <sheetData>
    <row r="1" spans="1:20" ht="15.75" customHeight="1" x14ac:dyDescent="0.25">
      <c r="A1" s="2" t="s">
        <v>127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5" customHeight="1" x14ac:dyDescent="0.25">
      <c r="A2" s="11" t="s">
        <v>81</v>
      </c>
      <c r="B2" s="24" t="s">
        <v>128</v>
      </c>
      <c r="C2" s="24" t="s">
        <v>129</v>
      </c>
      <c r="D2" s="24" t="s">
        <v>130</v>
      </c>
      <c r="E2" s="24" t="s">
        <v>131</v>
      </c>
      <c r="F2" s="24" t="s">
        <v>132</v>
      </c>
      <c r="G2" s="24" t="s">
        <v>133</v>
      </c>
      <c r="H2" s="24" t="s">
        <v>134</v>
      </c>
      <c r="I2" s="24" t="s">
        <v>135</v>
      </c>
      <c r="J2" s="24" t="s">
        <v>136</v>
      </c>
      <c r="K2" s="12"/>
      <c r="L2" s="25" t="s">
        <v>137</v>
      </c>
      <c r="M2" s="25" t="s">
        <v>138</v>
      </c>
      <c r="N2" s="25" t="s">
        <v>139</v>
      </c>
      <c r="O2" s="25" t="s">
        <v>140</v>
      </c>
      <c r="P2" s="25" t="s">
        <v>141</v>
      </c>
      <c r="Q2" s="25" t="s">
        <v>142</v>
      </c>
      <c r="R2" s="25" t="s">
        <v>143</v>
      </c>
      <c r="S2" s="25" t="s">
        <v>144</v>
      </c>
      <c r="T2" s="25" t="s">
        <v>145</v>
      </c>
    </row>
    <row r="3" spans="1:20" ht="15" customHeight="1" x14ac:dyDescent="0.25">
      <c r="A3" s="26" t="s">
        <v>92</v>
      </c>
      <c r="B3" s="16">
        <v>4</v>
      </c>
      <c r="C3" s="16">
        <v>4</v>
      </c>
      <c r="D3" s="16">
        <v>4</v>
      </c>
      <c r="E3" s="16">
        <v>4</v>
      </c>
      <c r="F3" s="16">
        <v>4</v>
      </c>
      <c r="G3" s="16">
        <v>4</v>
      </c>
      <c r="H3" s="16">
        <v>4</v>
      </c>
      <c r="I3" s="16">
        <v>4</v>
      </c>
      <c r="J3" s="16">
        <v>4</v>
      </c>
      <c r="K3" s="22"/>
      <c r="L3" s="16">
        <v>4</v>
      </c>
      <c r="M3" s="16">
        <v>4</v>
      </c>
      <c r="N3" s="16">
        <v>4</v>
      </c>
      <c r="O3" s="16">
        <v>4</v>
      </c>
      <c r="P3" s="16">
        <v>4</v>
      </c>
      <c r="Q3" s="16">
        <v>4</v>
      </c>
      <c r="R3" s="16">
        <v>4</v>
      </c>
      <c r="S3" s="16">
        <v>4</v>
      </c>
      <c r="T3" s="16">
        <v>4</v>
      </c>
    </row>
    <row r="4" spans="1:20" ht="15" customHeight="1" x14ac:dyDescent="0.25">
      <c r="A4" s="26" t="s">
        <v>97</v>
      </c>
      <c r="B4" s="16">
        <v>4</v>
      </c>
      <c r="C4" s="16">
        <v>4</v>
      </c>
      <c r="D4" s="16">
        <v>4</v>
      </c>
      <c r="E4" s="16">
        <v>4</v>
      </c>
      <c r="F4" s="16">
        <v>4</v>
      </c>
      <c r="G4" s="16">
        <v>4</v>
      </c>
      <c r="H4" s="16">
        <v>4</v>
      </c>
      <c r="I4" s="16">
        <v>4</v>
      </c>
      <c r="J4" s="16">
        <v>4</v>
      </c>
      <c r="K4" s="22"/>
      <c r="L4" s="16">
        <v>4</v>
      </c>
      <c r="M4" s="16">
        <v>4</v>
      </c>
      <c r="N4" s="16">
        <v>4</v>
      </c>
      <c r="O4" s="16">
        <v>4</v>
      </c>
      <c r="P4" s="16">
        <v>4</v>
      </c>
      <c r="Q4" s="16">
        <v>4</v>
      </c>
      <c r="R4" s="16">
        <v>4</v>
      </c>
      <c r="S4" s="16">
        <v>4</v>
      </c>
      <c r="T4" s="16">
        <v>4</v>
      </c>
    </row>
    <row r="5" spans="1:20" ht="15" customHeight="1" x14ac:dyDescent="0.25">
      <c r="A5" s="26" t="s">
        <v>102</v>
      </c>
      <c r="B5" s="16">
        <v>3</v>
      </c>
      <c r="C5" s="16">
        <v>3</v>
      </c>
      <c r="D5" s="16">
        <v>3</v>
      </c>
      <c r="E5" s="16">
        <v>3</v>
      </c>
      <c r="F5" s="16">
        <v>3</v>
      </c>
      <c r="G5" s="16">
        <v>3</v>
      </c>
      <c r="H5" s="16">
        <v>3</v>
      </c>
      <c r="I5" s="16">
        <v>3</v>
      </c>
      <c r="J5" s="16">
        <v>3</v>
      </c>
      <c r="K5" s="22"/>
      <c r="L5" s="16">
        <v>3</v>
      </c>
      <c r="M5" s="16">
        <v>3</v>
      </c>
      <c r="N5" s="16">
        <v>3</v>
      </c>
      <c r="O5" s="16">
        <v>3</v>
      </c>
      <c r="P5" s="16">
        <v>3</v>
      </c>
      <c r="Q5" s="16">
        <v>3</v>
      </c>
      <c r="R5" s="16">
        <v>3</v>
      </c>
      <c r="S5" s="16">
        <v>3</v>
      </c>
      <c r="T5" s="16">
        <v>3</v>
      </c>
    </row>
    <row r="6" spans="1:20" ht="15" customHeight="1" x14ac:dyDescent="0.25">
      <c r="A6" s="26" t="s">
        <v>105</v>
      </c>
      <c r="B6" s="16">
        <v>1</v>
      </c>
      <c r="C6" s="16">
        <v>1</v>
      </c>
      <c r="D6" s="16">
        <v>1</v>
      </c>
      <c r="E6" s="16">
        <v>1</v>
      </c>
      <c r="F6" s="16">
        <v>1</v>
      </c>
      <c r="G6" s="16">
        <v>2</v>
      </c>
      <c r="H6" s="16">
        <v>2</v>
      </c>
      <c r="I6" s="16">
        <v>2</v>
      </c>
      <c r="J6" s="16">
        <v>2</v>
      </c>
      <c r="K6" s="22"/>
      <c r="L6" s="16">
        <v>1</v>
      </c>
      <c r="M6" s="16">
        <v>1</v>
      </c>
      <c r="N6" s="16">
        <v>1</v>
      </c>
      <c r="O6" s="16">
        <v>1</v>
      </c>
      <c r="P6" s="16">
        <v>1</v>
      </c>
      <c r="Q6" s="16">
        <v>1</v>
      </c>
      <c r="R6" s="16">
        <v>1</v>
      </c>
      <c r="S6" s="16">
        <v>1</v>
      </c>
      <c r="T6" s="16">
        <v>1</v>
      </c>
    </row>
    <row r="7" spans="1:20" ht="15" customHeight="1" x14ac:dyDescent="0.25">
      <c r="A7" s="26" t="s">
        <v>107</v>
      </c>
      <c r="B7" s="16">
        <v>1</v>
      </c>
      <c r="C7" s="16">
        <v>1</v>
      </c>
      <c r="D7" s="16">
        <v>1</v>
      </c>
      <c r="E7" s="16">
        <v>1</v>
      </c>
      <c r="F7" s="16">
        <v>1</v>
      </c>
      <c r="G7" s="16">
        <v>1</v>
      </c>
      <c r="H7" s="16">
        <v>1</v>
      </c>
      <c r="I7" s="16">
        <v>1</v>
      </c>
      <c r="J7" s="16">
        <v>1</v>
      </c>
      <c r="K7" s="22"/>
      <c r="L7" s="16">
        <v>1</v>
      </c>
      <c r="M7" s="16">
        <v>1</v>
      </c>
      <c r="N7" s="16">
        <v>1</v>
      </c>
      <c r="O7" s="16">
        <v>1</v>
      </c>
      <c r="P7" s="16">
        <v>1</v>
      </c>
      <c r="Q7" s="16">
        <v>1</v>
      </c>
      <c r="R7" s="16">
        <v>1</v>
      </c>
      <c r="S7" s="16">
        <v>2</v>
      </c>
      <c r="T7" s="16">
        <v>2</v>
      </c>
    </row>
    <row r="8" spans="1:20" ht="15" customHeight="1" x14ac:dyDescent="0.25">
      <c r="A8" s="26" t="s">
        <v>110</v>
      </c>
      <c r="B8" s="16">
        <v>2</v>
      </c>
      <c r="C8" s="16">
        <v>2</v>
      </c>
      <c r="D8" s="16">
        <v>2</v>
      </c>
      <c r="E8" s="16">
        <v>2</v>
      </c>
      <c r="F8" s="16">
        <v>2</v>
      </c>
      <c r="G8" s="16">
        <v>2</v>
      </c>
      <c r="H8" s="16">
        <v>2</v>
      </c>
      <c r="I8" s="16">
        <v>1</v>
      </c>
      <c r="J8" s="16">
        <v>1</v>
      </c>
      <c r="K8" s="22"/>
      <c r="L8" s="16">
        <v>2</v>
      </c>
      <c r="M8" s="16">
        <v>2</v>
      </c>
      <c r="N8" s="16">
        <v>2</v>
      </c>
      <c r="O8" s="16">
        <v>2</v>
      </c>
      <c r="P8" s="16">
        <v>2</v>
      </c>
      <c r="Q8" s="16">
        <v>1</v>
      </c>
      <c r="R8" s="16">
        <v>1</v>
      </c>
      <c r="S8" s="16">
        <v>1</v>
      </c>
      <c r="T8" s="16">
        <v>1</v>
      </c>
    </row>
    <row r="9" spans="1:20" ht="15" customHeight="1" x14ac:dyDescent="0.25">
      <c r="A9" s="26" t="s">
        <v>111</v>
      </c>
      <c r="B9" s="16">
        <v>2</v>
      </c>
      <c r="C9" s="16">
        <v>2</v>
      </c>
      <c r="D9" s="16">
        <v>2</v>
      </c>
      <c r="E9" s="16">
        <v>2</v>
      </c>
      <c r="F9" s="16">
        <v>2</v>
      </c>
      <c r="G9" s="16">
        <v>2</v>
      </c>
      <c r="H9" s="16">
        <v>2</v>
      </c>
      <c r="I9" s="16">
        <v>2</v>
      </c>
      <c r="J9" s="16">
        <v>2</v>
      </c>
      <c r="K9" s="22"/>
      <c r="L9" s="16">
        <v>1</v>
      </c>
      <c r="M9" s="16">
        <v>1</v>
      </c>
      <c r="N9" s="16">
        <v>1</v>
      </c>
      <c r="O9" s="16">
        <v>1</v>
      </c>
      <c r="P9" s="16">
        <v>1</v>
      </c>
      <c r="Q9" s="16">
        <v>1</v>
      </c>
      <c r="R9" s="16">
        <v>1</v>
      </c>
      <c r="S9" s="16">
        <v>1</v>
      </c>
      <c r="T9" s="16">
        <v>1</v>
      </c>
    </row>
    <row r="10" spans="1:20" ht="15" customHeight="1" x14ac:dyDescent="0.25">
      <c r="A10" s="26" t="s">
        <v>114</v>
      </c>
      <c r="B10" s="16">
        <v>1</v>
      </c>
      <c r="C10" s="16">
        <v>1</v>
      </c>
      <c r="D10" s="16">
        <v>1</v>
      </c>
      <c r="E10" s="16">
        <v>1</v>
      </c>
      <c r="F10" s="16">
        <v>1</v>
      </c>
      <c r="G10" s="16">
        <v>1</v>
      </c>
      <c r="H10" s="16">
        <v>1</v>
      </c>
      <c r="I10" s="16">
        <v>1</v>
      </c>
      <c r="J10" s="16">
        <v>1</v>
      </c>
      <c r="K10" s="22"/>
      <c r="L10" s="16">
        <v>2</v>
      </c>
      <c r="M10" s="16">
        <v>2</v>
      </c>
      <c r="N10" s="16">
        <v>2</v>
      </c>
      <c r="O10" s="16">
        <v>2</v>
      </c>
      <c r="P10" s="16">
        <v>2</v>
      </c>
      <c r="Q10" s="16">
        <v>2</v>
      </c>
      <c r="R10" s="16">
        <v>2</v>
      </c>
      <c r="S10" s="16">
        <v>2</v>
      </c>
      <c r="T10" s="16">
        <v>2</v>
      </c>
    </row>
    <row r="11" spans="1:20" ht="15" customHeight="1" x14ac:dyDescent="0.25">
      <c r="A11" s="26" t="s">
        <v>115</v>
      </c>
      <c r="B11" s="16">
        <v>1</v>
      </c>
      <c r="C11" s="16">
        <v>1</v>
      </c>
      <c r="D11" s="16">
        <v>1</v>
      </c>
      <c r="E11" s="16">
        <v>1</v>
      </c>
      <c r="F11" s="16">
        <v>1</v>
      </c>
      <c r="G11" s="16">
        <v>1</v>
      </c>
      <c r="H11" s="16">
        <v>1</v>
      </c>
      <c r="I11" s="16">
        <v>1</v>
      </c>
      <c r="J11" s="16">
        <v>1</v>
      </c>
      <c r="K11" s="22"/>
      <c r="L11" s="16">
        <v>1</v>
      </c>
      <c r="M11" s="16">
        <v>1</v>
      </c>
      <c r="N11" s="16">
        <v>1</v>
      </c>
      <c r="O11" s="16">
        <v>1</v>
      </c>
      <c r="P11" s="16">
        <v>1</v>
      </c>
      <c r="Q11" s="16">
        <v>1</v>
      </c>
      <c r="R11" s="16">
        <v>1</v>
      </c>
      <c r="S11" s="16">
        <v>1</v>
      </c>
      <c r="T11" s="16">
        <v>1</v>
      </c>
    </row>
    <row r="12" spans="1:20" ht="15" customHeight="1" x14ac:dyDescent="0.25">
      <c r="A12" s="26" t="s">
        <v>116</v>
      </c>
      <c r="B12" s="16">
        <v>1</v>
      </c>
      <c r="C12" s="16">
        <v>1</v>
      </c>
      <c r="D12" s="16">
        <v>1</v>
      </c>
      <c r="E12" s="16">
        <v>1</v>
      </c>
      <c r="F12" s="16">
        <v>1</v>
      </c>
      <c r="G12" s="16">
        <v>1</v>
      </c>
      <c r="H12" s="16">
        <v>1</v>
      </c>
      <c r="I12" s="16">
        <v>1</v>
      </c>
      <c r="J12" s="16">
        <v>1</v>
      </c>
      <c r="K12" s="22"/>
      <c r="L12" s="16">
        <v>1</v>
      </c>
      <c r="M12" s="16">
        <v>1</v>
      </c>
      <c r="N12" s="16">
        <v>1</v>
      </c>
      <c r="O12" s="16">
        <v>1</v>
      </c>
      <c r="P12" s="16">
        <v>1</v>
      </c>
      <c r="Q12" s="16">
        <v>1</v>
      </c>
      <c r="R12" s="16">
        <v>1</v>
      </c>
      <c r="S12" s="16">
        <v>1</v>
      </c>
      <c r="T12" s="16">
        <v>1</v>
      </c>
    </row>
    <row r="13" spans="1:20" ht="15" customHeight="1" x14ac:dyDescent="0.25">
      <c r="A13" s="26" t="s">
        <v>117</v>
      </c>
      <c r="B13" s="16">
        <v>1</v>
      </c>
      <c r="C13" s="16">
        <v>1</v>
      </c>
      <c r="D13" s="16">
        <v>1</v>
      </c>
      <c r="E13" s="16">
        <v>1</v>
      </c>
      <c r="F13" s="16">
        <v>1</v>
      </c>
      <c r="G13" s="16">
        <v>1</v>
      </c>
      <c r="H13" s="16">
        <v>1</v>
      </c>
      <c r="I13" s="16">
        <v>1</v>
      </c>
      <c r="J13" s="16">
        <v>1</v>
      </c>
      <c r="K13" s="22"/>
      <c r="L13" s="16">
        <v>1</v>
      </c>
      <c r="M13" s="16">
        <v>1</v>
      </c>
      <c r="N13" s="16">
        <v>1</v>
      </c>
      <c r="O13" s="16">
        <v>1</v>
      </c>
      <c r="P13" s="16">
        <v>1</v>
      </c>
      <c r="Q13" s="16">
        <v>1</v>
      </c>
      <c r="R13" s="16">
        <v>1</v>
      </c>
      <c r="S13" s="16">
        <v>1</v>
      </c>
      <c r="T13" s="16">
        <v>1</v>
      </c>
    </row>
    <row r="14" spans="1:20" ht="15" customHeight="1" x14ac:dyDescent="0.25">
      <c r="A14" s="26" t="s">
        <v>118</v>
      </c>
      <c r="B14" s="16">
        <v>2</v>
      </c>
      <c r="C14" s="16">
        <v>2</v>
      </c>
      <c r="D14" s="16">
        <v>2</v>
      </c>
      <c r="E14" s="16">
        <v>2</v>
      </c>
      <c r="F14" s="16">
        <v>2</v>
      </c>
      <c r="G14" s="16">
        <v>2</v>
      </c>
      <c r="H14" s="16">
        <v>2</v>
      </c>
      <c r="I14" s="16">
        <v>2</v>
      </c>
      <c r="J14" s="16">
        <v>2</v>
      </c>
      <c r="K14" s="22"/>
      <c r="L14" s="16">
        <v>2</v>
      </c>
      <c r="M14" s="16">
        <v>2</v>
      </c>
      <c r="N14" s="16">
        <v>2</v>
      </c>
      <c r="O14" s="16">
        <v>2</v>
      </c>
      <c r="P14" s="16">
        <v>2</v>
      </c>
      <c r="Q14" s="16">
        <v>2</v>
      </c>
      <c r="R14" s="16">
        <v>2</v>
      </c>
      <c r="S14" s="16">
        <v>2</v>
      </c>
      <c r="T14" s="16">
        <v>2</v>
      </c>
    </row>
    <row r="15" spans="1:20" ht="15" customHeight="1" x14ac:dyDescent="0.25">
      <c r="A15" s="26" t="s">
        <v>120</v>
      </c>
      <c r="B15" s="16">
        <v>1</v>
      </c>
      <c r="C15" s="16">
        <v>1</v>
      </c>
      <c r="D15" s="16">
        <v>1</v>
      </c>
      <c r="E15" s="16">
        <v>1</v>
      </c>
      <c r="F15" s="16">
        <v>1</v>
      </c>
      <c r="G15" s="16">
        <v>1</v>
      </c>
      <c r="H15" s="16">
        <v>1</v>
      </c>
      <c r="I15" s="16">
        <v>1</v>
      </c>
      <c r="J15" s="16">
        <v>1</v>
      </c>
      <c r="K15" s="22"/>
      <c r="L15" s="16">
        <v>1</v>
      </c>
      <c r="M15" s="16">
        <v>1</v>
      </c>
      <c r="N15" s="16">
        <v>1</v>
      </c>
      <c r="O15" s="16">
        <v>1</v>
      </c>
      <c r="P15" s="16">
        <v>1</v>
      </c>
      <c r="Q15" s="16">
        <v>1</v>
      </c>
      <c r="R15" s="16">
        <v>1</v>
      </c>
      <c r="S15" s="16">
        <v>1</v>
      </c>
      <c r="T15" s="16">
        <v>1</v>
      </c>
    </row>
    <row r="16" spans="1:20" ht="15" customHeight="1" x14ac:dyDescent="0.25">
      <c r="A16" s="26" t="s">
        <v>122</v>
      </c>
      <c r="B16" s="16">
        <v>3</v>
      </c>
      <c r="C16" s="16">
        <v>3</v>
      </c>
      <c r="D16" s="16">
        <v>3</v>
      </c>
      <c r="E16" s="16">
        <v>3</v>
      </c>
      <c r="F16" s="16">
        <v>3</v>
      </c>
      <c r="G16" s="16">
        <v>3</v>
      </c>
      <c r="H16" s="16">
        <v>3</v>
      </c>
      <c r="I16" s="16">
        <v>3</v>
      </c>
      <c r="J16" s="16">
        <v>3</v>
      </c>
      <c r="K16" s="22"/>
      <c r="L16" s="16">
        <v>3</v>
      </c>
      <c r="M16" s="16">
        <v>3</v>
      </c>
      <c r="N16" s="16">
        <v>3</v>
      </c>
      <c r="O16" s="16">
        <v>3</v>
      </c>
      <c r="P16" s="16">
        <v>3</v>
      </c>
      <c r="Q16" s="16">
        <v>3</v>
      </c>
      <c r="R16" s="16">
        <v>3</v>
      </c>
      <c r="S16" s="16">
        <v>3</v>
      </c>
      <c r="T16" s="16">
        <v>3</v>
      </c>
    </row>
    <row r="17" spans="1:20" ht="15" customHeight="1" x14ac:dyDescent="0.25">
      <c r="A17" s="26" t="s">
        <v>123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22"/>
      <c r="L17" s="16">
        <v>1</v>
      </c>
      <c r="M17" s="16">
        <v>1</v>
      </c>
      <c r="N17" s="16">
        <v>1</v>
      </c>
      <c r="O17" s="16">
        <v>1</v>
      </c>
      <c r="P17" s="16">
        <v>1</v>
      </c>
      <c r="Q17" s="16">
        <v>1</v>
      </c>
      <c r="R17" s="16">
        <v>1</v>
      </c>
      <c r="S17" s="16">
        <v>1</v>
      </c>
      <c r="T17" s="16">
        <v>1</v>
      </c>
    </row>
    <row r="18" spans="1:20" ht="15" customHeight="1" x14ac:dyDescent="0.25">
      <c r="A18" s="26" t="s">
        <v>125</v>
      </c>
      <c r="B18" s="16">
        <v>1</v>
      </c>
      <c r="C18" s="16">
        <v>1</v>
      </c>
      <c r="D18" s="16">
        <v>1</v>
      </c>
      <c r="E18" s="16">
        <v>1</v>
      </c>
      <c r="F18" s="16">
        <v>1</v>
      </c>
      <c r="G18" s="16">
        <v>1</v>
      </c>
      <c r="H18" s="16">
        <v>1</v>
      </c>
      <c r="I18" s="16">
        <v>1</v>
      </c>
      <c r="J18" s="16">
        <v>1</v>
      </c>
      <c r="K18" s="22"/>
      <c r="L18" s="16">
        <v>1</v>
      </c>
      <c r="M18" s="16">
        <v>1</v>
      </c>
      <c r="N18" s="16">
        <v>1</v>
      </c>
      <c r="O18" s="16">
        <v>1</v>
      </c>
      <c r="P18" s="16">
        <v>1</v>
      </c>
      <c r="Q18" s="16">
        <v>1</v>
      </c>
      <c r="R18" s="16">
        <v>1</v>
      </c>
      <c r="S18" s="16">
        <v>1</v>
      </c>
      <c r="T18" s="16">
        <v>1</v>
      </c>
    </row>
    <row r="19" spans="1:20" ht="15" customHeight="1" x14ac:dyDescent="0.25">
      <c r="A19" s="15" t="s">
        <v>146</v>
      </c>
      <c r="B19" s="11">
        <f t="shared" ref="B19:J19" si="0">SUM(B3:B18)</f>
        <v>29</v>
      </c>
      <c r="C19" s="11">
        <f t="shared" si="0"/>
        <v>29</v>
      </c>
      <c r="D19" s="11">
        <f t="shared" si="0"/>
        <v>29</v>
      </c>
      <c r="E19" s="11">
        <f t="shared" si="0"/>
        <v>29</v>
      </c>
      <c r="F19" s="11">
        <f t="shared" si="0"/>
        <v>29</v>
      </c>
      <c r="G19" s="11">
        <f t="shared" si="0"/>
        <v>30</v>
      </c>
      <c r="H19" s="11">
        <f t="shared" si="0"/>
        <v>30</v>
      </c>
      <c r="I19" s="11">
        <f t="shared" si="0"/>
        <v>29</v>
      </c>
      <c r="J19" s="11">
        <f t="shared" si="0"/>
        <v>29</v>
      </c>
      <c r="K19" s="12"/>
      <c r="L19" s="11">
        <f t="shared" ref="L19:T19" si="1">SUM(L3:L18)</f>
        <v>29</v>
      </c>
      <c r="M19" s="11">
        <f t="shared" si="1"/>
        <v>29</v>
      </c>
      <c r="N19" s="11">
        <f t="shared" si="1"/>
        <v>29</v>
      </c>
      <c r="O19" s="11">
        <f t="shared" si="1"/>
        <v>29</v>
      </c>
      <c r="P19" s="11">
        <f t="shared" si="1"/>
        <v>29</v>
      </c>
      <c r="Q19" s="11">
        <f t="shared" si="1"/>
        <v>28</v>
      </c>
      <c r="R19" s="11">
        <f t="shared" si="1"/>
        <v>28</v>
      </c>
      <c r="S19" s="11">
        <f t="shared" si="1"/>
        <v>29</v>
      </c>
      <c r="T19" s="11">
        <f t="shared" si="1"/>
        <v>29</v>
      </c>
    </row>
    <row r="20" spans="1:20" ht="15" customHeight="1" x14ac:dyDescent="0.25">
      <c r="A20" s="5"/>
      <c r="B20" s="12"/>
      <c r="C20" s="12"/>
      <c r="D20" s="12"/>
      <c r="E20" s="12"/>
      <c r="F20" s="12"/>
      <c r="G20" s="12"/>
      <c r="H20" s="12"/>
      <c r="I20" s="12"/>
      <c r="J20" s="12"/>
    </row>
    <row r="21" spans="1:20" ht="15" customHeight="1" x14ac:dyDescent="0.25"/>
    <row r="22" spans="1:20" ht="15" customHeight="1" x14ac:dyDescent="0.25"/>
    <row r="23" spans="1:20" ht="15" customHeight="1" x14ac:dyDescent="0.25"/>
    <row r="24" spans="1:20" ht="15" customHeight="1" x14ac:dyDescent="0.25"/>
    <row r="25" spans="1:20" ht="15" customHeight="1" x14ac:dyDescent="0.25"/>
    <row r="26" spans="1:20" ht="15" customHeight="1" x14ac:dyDescent="0.25"/>
    <row r="27" spans="1:20" ht="15" customHeight="1" x14ac:dyDescent="0.25"/>
    <row r="28" spans="1:20" ht="15" customHeight="1" x14ac:dyDescent="0.25"/>
    <row r="29" spans="1:20" ht="15" customHeight="1" x14ac:dyDescent="0.25"/>
    <row r="30" spans="1:20" ht="15" customHeight="1" x14ac:dyDescent="0.25"/>
    <row r="31" spans="1:20" ht="15" customHeight="1" x14ac:dyDescent="0.25"/>
    <row r="32" spans="1:20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</sheetData>
  <mergeCells count="1">
    <mergeCell ref="A1:T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5"/>
  <sheetViews>
    <sheetView zoomScaleNormal="100" workbookViewId="0"/>
  </sheetViews>
  <sheetFormatPr defaultColWidth="8.7109375" defaultRowHeight="15" x14ac:dyDescent="0.25"/>
  <cols>
    <col min="1" max="1" width="18" customWidth="1"/>
    <col min="2" max="4" width="16" customWidth="1"/>
  </cols>
  <sheetData>
    <row r="1" spans="1:4" ht="29.25" customHeight="1" x14ac:dyDescent="0.25">
      <c r="A1" s="1" t="s">
        <v>147</v>
      </c>
      <c r="B1" s="1"/>
      <c r="C1" s="1"/>
      <c r="D1" s="1"/>
    </row>
    <row r="2" spans="1:4" ht="15" customHeight="1" x14ac:dyDescent="0.25">
      <c r="A2" s="11" t="s">
        <v>148</v>
      </c>
      <c r="B2" s="11" t="s">
        <v>149</v>
      </c>
      <c r="C2" s="11" t="s">
        <v>150</v>
      </c>
      <c r="D2" s="11" t="s">
        <v>151</v>
      </c>
    </row>
    <row r="3" spans="1:4" ht="15" customHeight="1" x14ac:dyDescent="0.25">
      <c r="A3" s="27"/>
      <c r="B3" s="27"/>
      <c r="C3" s="27"/>
      <c r="D3" s="27"/>
    </row>
    <row r="4" spans="1:4" ht="15" customHeight="1" x14ac:dyDescent="0.25">
      <c r="A4" s="27"/>
      <c r="B4" s="27"/>
      <c r="C4" s="27"/>
      <c r="D4" s="27"/>
    </row>
    <row r="5" spans="1:4" ht="15" customHeight="1" x14ac:dyDescent="0.25">
      <c r="A5" s="27"/>
      <c r="B5" s="27"/>
      <c r="C5" s="27"/>
      <c r="D5" s="27"/>
    </row>
    <row r="6" spans="1:4" ht="15" customHeight="1" x14ac:dyDescent="0.25">
      <c r="A6" s="27"/>
      <c r="B6" s="27"/>
      <c r="C6" s="27"/>
      <c r="D6" s="27"/>
    </row>
    <row r="7" spans="1:4" ht="15" customHeight="1" x14ac:dyDescent="0.25">
      <c r="A7" s="27"/>
      <c r="B7" s="27"/>
      <c r="C7" s="27"/>
      <c r="D7" s="27"/>
    </row>
    <row r="8" spans="1:4" ht="15" customHeight="1" x14ac:dyDescent="0.25">
      <c r="A8" s="27"/>
      <c r="B8" s="27"/>
      <c r="C8" s="27"/>
      <c r="D8" s="27"/>
    </row>
    <row r="9" spans="1:4" ht="15" customHeight="1" x14ac:dyDescent="0.25">
      <c r="A9" s="27"/>
      <c r="B9" s="27"/>
      <c r="C9" s="27"/>
      <c r="D9" s="27"/>
    </row>
    <row r="10" spans="1:4" ht="15" customHeight="1" x14ac:dyDescent="0.25">
      <c r="A10" s="27"/>
      <c r="B10" s="27"/>
      <c r="C10" s="27"/>
      <c r="D10" s="27"/>
    </row>
    <row r="11" spans="1:4" ht="15" customHeight="1" x14ac:dyDescent="0.25">
      <c r="A11" s="27"/>
      <c r="B11" s="27"/>
      <c r="C11" s="27"/>
      <c r="D11" s="27"/>
    </row>
    <row r="12" spans="1:4" ht="15" customHeight="1" x14ac:dyDescent="0.25">
      <c r="A12" s="27"/>
      <c r="B12" s="27"/>
      <c r="C12" s="27"/>
      <c r="D12" s="27"/>
    </row>
    <row r="14" spans="1:4" ht="15" customHeight="1" x14ac:dyDescent="0.25">
      <c r="A14" s="23" t="s">
        <v>152</v>
      </c>
    </row>
    <row r="15" spans="1:4" ht="15" customHeight="1" x14ac:dyDescent="0.25">
      <c r="A15" s="23" t="s">
        <v>153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60"/>
  <sheetViews>
    <sheetView zoomScaleNormal="100" workbookViewId="0">
      <selection sqref="A1:F1"/>
    </sheetView>
  </sheetViews>
  <sheetFormatPr defaultColWidth="8.7109375" defaultRowHeight="15" x14ac:dyDescent="0.25"/>
  <cols>
    <col min="1" max="2" width="15" customWidth="1"/>
    <col min="3" max="7" width="12" customWidth="1"/>
    <col min="8" max="9" width="11" customWidth="1"/>
  </cols>
  <sheetData>
    <row r="1" spans="1:12" ht="15.75" customHeight="1" x14ac:dyDescent="0.25">
      <c r="A1" s="2" t="s">
        <v>154</v>
      </c>
      <c r="B1" s="2"/>
      <c r="C1" s="2"/>
      <c r="D1" s="2"/>
      <c r="E1" s="2"/>
      <c r="F1" s="2"/>
      <c r="H1" s="5" t="s">
        <v>155</v>
      </c>
      <c r="I1" s="18">
        <v>19</v>
      </c>
      <c r="K1" s="28" t="s">
        <v>156</v>
      </c>
      <c r="L1" s="28" t="s">
        <v>157</v>
      </c>
    </row>
    <row r="2" spans="1:12" ht="15" customHeight="1" x14ac:dyDescent="0.25">
      <c r="A2" s="11" t="s">
        <v>148</v>
      </c>
      <c r="B2" s="11" t="s">
        <v>156</v>
      </c>
      <c r="C2" s="11" t="s">
        <v>158</v>
      </c>
      <c r="D2" s="11" t="s">
        <v>159</v>
      </c>
      <c r="E2" s="11" t="s">
        <v>160</v>
      </c>
      <c r="F2" s="11" t="s">
        <v>161</v>
      </c>
      <c r="G2" s="11" t="s">
        <v>162</v>
      </c>
      <c r="H2" s="11" t="s">
        <v>163</v>
      </c>
      <c r="I2" s="11" t="s">
        <v>164</v>
      </c>
      <c r="K2" s="29" t="s">
        <v>165</v>
      </c>
      <c r="L2" s="30">
        <v>4</v>
      </c>
    </row>
    <row r="3" spans="1:12" ht="15" customHeight="1" x14ac:dyDescent="0.25">
      <c r="A3" s="29" t="s">
        <v>98</v>
      </c>
      <c r="B3" s="16"/>
      <c r="C3" s="30">
        <f t="shared" ref="C3:C21" si="0">IFERROR(VLOOKUP(B3,$K$2:$L$5,2,0),0)</f>
        <v>0</v>
      </c>
      <c r="D3" s="31">
        <f t="shared" ref="D3:D21" si="1">$I$1-C3</f>
        <v>19</v>
      </c>
      <c r="E3" s="30">
        <f>SUMPRODUCT((PhanCong!$B$3:$J$18=A3)*SoTiet!$B$3:$J$18)</f>
        <v>20</v>
      </c>
      <c r="F3" s="30">
        <f>SUMPRODUCT((PhanCong!$B$3:$J$18=A3)*SoTiet!$L$3:$T$18)</f>
        <v>20</v>
      </c>
      <c r="G3" s="31">
        <f t="shared" ref="G3:G21" si="2">E3-D3</f>
        <v>1</v>
      </c>
      <c r="H3" s="16">
        <v>0</v>
      </c>
      <c r="I3" s="16">
        <v>0</v>
      </c>
      <c r="K3" s="29" t="s">
        <v>166</v>
      </c>
      <c r="L3" s="30">
        <v>3</v>
      </c>
    </row>
    <row r="4" spans="1:12" ht="15" customHeight="1" x14ac:dyDescent="0.25">
      <c r="A4" s="29" t="s">
        <v>104</v>
      </c>
      <c r="B4" s="16" t="s">
        <v>165</v>
      </c>
      <c r="C4" s="30">
        <f t="shared" si="0"/>
        <v>4</v>
      </c>
      <c r="D4" s="31">
        <f t="shared" si="1"/>
        <v>15</v>
      </c>
      <c r="E4" s="30">
        <f>SUMPRODUCT((PhanCong!$B$3:$J$18=A4)*SoTiet!$B$3:$J$18)</f>
        <v>15</v>
      </c>
      <c r="F4" s="30">
        <f>SUMPRODUCT((PhanCong!$B$3:$J$18=A4)*SoTiet!$L$3:$T$18)</f>
        <v>15</v>
      </c>
      <c r="G4" s="31">
        <f t="shared" si="2"/>
        <v>0</v>
      </c>
      <c r="H4" s="16">
        <v>1</v>
      </c>
      <c r="I4" s="16">
        <v>1</v>
      </c>
      <c r="K4" s="29" t="s">
        <v>167</v>
      </c>
      <c r="L4" s="30">
        <v>1</v>
      </c>
    </row>
    <row r="5" spans="1:12" ht="15" customHeight="1" x14ac:dyDescent="0.25">
      <c r="A5" s="29" t="s">
        <v>101</v>
      </c>
      <c r="B5" s="16" t="s">
        <v>165</v>
      </c>
      <c r="C5" s="30">
        <f t="shared" si="0"/>
        <v>4</v>
      </c>
      <c r="D5" s="31">
        <f t="shared" si="1"/>
        <v>15</v>
      </c>
      <c r="E5" s="30">
        <f>SUMPRODUCT((PhanCong!$B$3:$J$18=A5)*SoTiet!$B$3:$J$18)</f>
        <v>13</v>
      </c>
      <c r="F5" s="30">
        <f>SUMPRODUCT((PhanCong!$B$3:$J$18=A5)*SoTiet!$L$3:$T$18)</f>
        <v>13</v>
      </c>
      <c r="G5" s="31">
        <f t="shared" si="2"/>
        <v>-2</v>
      </c>
      <c r="H5" s="16">
        <v>1</v>
      </c>
      <c r="I5" s="16">
        <v>1</v>
      </c>
      <c r="K5" s="29" t="s">
        <v>168</v>
      </c>
      <c r="L5" s="30">
        <v>8</v>
      </c>
    </row>
    <row r="6" spans="1:12" ht="15" customHeight="1" x14ac:dyDescent="0.25">
      <c r="A6" s="29" t="s">
        <v>108</v>
      </c>
      <c r="B6" s="16" t="s">
        <v>165</v>
      </c>
      <c r="C6" s="30">
        <f t="shared" si="0"/>
        <v>4</v>
      </c>
      <c r="D6" s="31">
        <f t="shared" si="1"/>
        <v>15</v>
      </c>
      <c r="E6" s="30">
        <f>SUMPRODUCT((PhanCong!$B$3:$J$18=A6)*SoTiet!$B$3:$J$18)</f>
        <v>14</v>
      </c>
      <c r="F6" s="30">
        <f>SUMPRODUCT((PhanCong!$B$3:$J$18=A6)*SoTiet!$L$3:$T$18)</f>
        <v>12</v>
      </c>
      <c r="G6" s="31">
        <f t="shared" si="2"/>
        <v>-1</v>
      </c>
      <c r="H6" s="16">
        <v>1</v>
      </c>
      <c r="I6" s="16">
        <v>1</v>
      </c>
    </row>
    <row r="7" spans="1:12" ht="15" customHeight="1" x14ac:dyDescent="0.25">
      <c r="A7" s="29" t="s">
        <v>113</v>
      </c>
      <c r="B7" s="16"/>
      <c r="C7" s="30">
        <f t="shared" si="0"/>
        <v>0</v>
      </c>
      <c r="D7" s="31">
        <f t="shared" si="1"/>
        <v>19</v>
      </c>
      <c r="E7" s="30">
        <f>SUMPRODUCT((PhanCong!$B$3:$J$18=A7)*SoTiet!$B$3:$J$18)</f>
        <v>18</v>
      </c>
      <c r="F7" s="30">
        <f>SUMPRODUCT((PhanCong!$B$3:$J$18=A7)*SoTiet!$L$3:$T$18)</f>
        <v>18</v>
      </c>
      <c r="G7" s="31">
        <f t="shared" si="2"/>
        <v>-1</v>
      </c>
      <c r="H7" s="16">
        <v>0</v>
      </c>
      <c r="I7" s="16">
        <v>0</v>
      </c>
    </row>
    <row r="8" spans="1:12" ht="15" customHeight="1" x14ac:dyDescent="0.25">
      <c r="A8" s="29" t="s">
        <v>96</v>
      </c>
      <c r="B8" s="16" t="s">
        <v>166</v>
      </c>
      <c r="C8" s="30">
        <f t="shared" si="0"/>
        <v>3</v>
      </c>
      <c r="D8" s="31">
        <f t="shared" si="1"/>
        <v>16</v>
      </c>
      <c r="E8" s="30">
        <f>SUMPRODUCT((PhanCong!$B$3:$J$18=A8)*SoTiet!$B$3:$J$18)</f>
        <v>16</v>
      </c>
      <c r="F8" s="30">
        <f>SUMPRODUCT((PhanCong!$B$3:$J$18=A8)*SoTiet!$L$3:$T$18)</f>
        <v>14</v>
      </c>
      <c r="G8" s="31">
        <f t="shared" si="2"/>
        <v>0</v>
      </c>
      <c r="H8" s="16">
        <v>1</v>
      </c>
      <c r="I8" s="16">
        <v>0</v>
      </c>
    </row>
    <row r="9" spans="1:12" ht="15" customHeight="1" x14ac:dyDescent="0.25">
      <c r="A9" s="29" t="s">
        <v>124</v>
      </c>
      <c r="B9" s="16"/>
      <c r="C9" s="30">
        <f t="shared" si="0"/>
        <v>0</v>
      </c>
      <c r="D9" s="31">
        <f t="shared" si="1"/>
        <v>19</v>
      </c>
      <c r="E9" s="30">
        <f>SUMPRODUCT((PhanCong!$B$3:$J$18=A9)*SoTiet!$B$3:$J$18)</f>
        <v>2</v>
      </c>
      <c r="F9" s="30">
        <f>SUMPRODUCT((PhanCong!$B$3:$J$18=A9)*SoTiet!$L$3:$T$18)</f>
        <v>2</v>
      </c>
      <c r="G9" s="31">
        <f t="shared" si="2"/>
        <v>-17</v>
      </c>
      <c r="H9" s="16">
        <v>1</v>
      </c>
      <c r="I9" s="16">
        <v>0</v>
      </c>
    </row>
    <row r="10" spans="1:12" ht="15" customHeight="1" x14ac:dyDescent="0.25">
      <c r="A10" s="29" t="s">
        <v>119</v>
      </c>
      <c r="B10" s="16"/>
      <c r="C10" s="30">
        <f t="shared" si="0"/>
        <v>0</v>
      </c>
      <c r="D10" s="31">
        <f t="shared" si="1"/>
        <v>19</v>
      </c>
      <c r="E10" s="30">
        <f>SUMPRODUCT((PhanCong!$B$3:$J$18=A10)*SoTiet!$B$3:$J$18)</f>
        <v>18</v>
      </c>
      <c r="F10" s="30">
        <f>SUMPRODUCT((PhanCong!$B$3:$J$18=A10)*SoTiet!$L$3:$T$18)</f>
        <v>18</v>
      </c>
      <c r="G10" s="31">
        <f t="shared" si="2"/>
        <v>-1</v>
      </c>
      <c r="H10" s="16">
        <v>0</v>
      </c>
      <c r="I10" s="16">
        <v>0</v>
      </c>
    </row>
    <row r="11" spans="1:12" ht="15" customHeight="1" x14ac:dyDescent="0.25">
      <c r="A11" s="29" t="s">
        <v>109</v>
      </c>
      <c r="B11" s="16" t="s">
        <v>165</v>
      </c>
      <c r="C11" s="30">
        <f t="shared" si="0"/>
        <v>4</v>
      </c>
      <c r="D11" s="31">
        <f t="shared" si="1"/>
        <v>15</v>
      </c>
      <c r="E11" s="30">
        <f>SUMPRODUCT((PhanCong!$B$3:$J$18=A11)*SoTiet!$B$3:$J$18)</f>
        <v>11</v>
      </c>
      <c r="F11" s="30">
        <f>SUMPRODUCT((PhanCong!$B$3:$J$18=A11)*SoTiet!$L$3:$T$18)</f>
        <v>13</v>
      </c>
      <c r="G11" s="31">
        <f t="shared" si="2"/>
        <v>-4</v>
      </c>
      <c r="H11" s="16">
        <v>1</v>
      </c>
      <c r="I11" s="16">
        <v>1</v>
      </c>
    </row>
    <row r="12" spans="1:12" ht="15" customHeight="1" x14ac:dyDescent="0.25">
      <c r="A12" s="29" t="s">
        <v>100</v>
      </c>
      <c r="B12" s="16" t="s">
        <v>166</v>
      </c>
      <c r="C12" s="30">
        <f t="shared" si="0"/>
        <v>3</v>
      </c>
      <c r="D12" s="31">
        <f t="shared" si="1"/>
        <v>16</v>
      </c>
      <c r="E12" s="30">
        <f>SUMPRODUCT((PhanCong!$B$3:$J$18=A12)*SoTiet!$B$3:$J$18)</f>
        <v>14</v>
      </c>
      <c r="F12" s="30">
        <f>SUMPRODUCT((PhanCong!$B$3:$J$18=A12)*SoTiet!$L$3:$T$18)</f>
        <v>14</v>
      </c>
      <c r="G12" s="31">
        <f t="shared" si="2"/>
        <v>-2</v>
      </c>
      <c r="H12" s="16">
        <v>1</v>
      </c>
      <c r="I12" s="16">
        <v>0</v>
      </c>
    </row>
    <row r="13" spans="1:12" ht="15" customHeight="1" x14ac:dyDescent="0.25">
      <c r="A13" s="29" t="s">
        <v>126</v>
      </c>
      <c r="B13" s="16" t="s">
        <v>168</v>
      </c>
      <c r="C13" s="30">
        <f t="shared" si="0"/>
        <v>8</v>
      </c>
      <c r="D13" s="31">
        <f t="shared" si="1"/>
        <v>11</v>
      </c>
      <c r="E13" s="30">
        <f>SUMPRODUCT((PhanCong!$B$3:$J$18=A13)*SoTiet!$B$3:$J$18)</f>
        <v>9</v>
      </c>
      <c r="F13" s="30">
        <f>SUMPRODUCT((PhanCong!$B$3:$J$18=A13)*SoTiet!$L$3:$T$18)</f>
        <v>9</v>
      </c>
      <c r="G13" s="31">
        <f t="shared" si="2"/>
        <v>-2</v>
      </c>
      <c r="H13" s="16">
        <v>1</v>
      </c>
      <c r="I13" s="16">
        <v>0</v>
      </c>
    </row>
    <row r="14" spans="1:12" ht="15" customHeight="1" x14ac:dyDescent="0.25">
      <c r="A14" s="29" t="s">
        <v>93</v>
      </c>
      <c r="B14" s="16" t="s">
        <v>165</v>
      </c>
      <c r="C14" s="30">
        <f t="shared" si="0"/>
        <v>4</v>
      </c>
      <c r="D14" s="31">
        <f t="shared" si="1"/>
        <v>15</v>
      </c>
      <c r="E14" s="30">
        <f>SUMPRODUCT((PhanCong!$B$3:$J$18=A14)*SoTiet!$B$3:$J$18)</f>
        <v>15</v>
      </c>
      <c r="F14" s="30">
        <f>SUMPRODUCT((PhanCong!$B$3:$J$18=A14)*SoTiet!$L$3:$T$18)</f>
        <v>15</v>
      </c>
      <c r="G14" s="31">
        <f t="shared" si="2"/>
        <v>0</v>
      </c>
      <c r="H14" s="16">
        <v>1</v>
      </c>
      <c r="I14" s="16">
        <v>1</v>
      </c>
    </row>
    <row r="15" spans="1:12" ht="15" customHeight="1" x14ac:dyDescent="0.25">
      <c r="A15" s="29" t="s">
        <v>94</v>
      </c>
      <c r="B15" s="16" t="s">
        <v>165</v>
      </c>
      <c r="C15" s="30">
        <f t="shared" si="0"/>
        <v>4</v>
      </c>
      <c r="D15" s="31">
        <f t="shared" si="1"/>
        <v>15</v>
      </c>
      <c r="E15" s="30">
        <f>SUMPRODUCT((PhanCong!$B$3:$J$18=A15)*SoTiet!$B$3:$J$18)</f>
        <v>15</v>
      </c>
      <c r="F15" s="30">
        <f>SUMPRODUCT((PhanCong!$B$3:$J$18=A15)*SoTiet!$L$3:$T$18)</f>
        <v>15</v>
      </c>
      <c r="G15" s="31">
        <f t="shared" si="2"/>
        <v>0</v>
      </c>
      <c r="H15" s="16">
        <v>1</v>
      </c>
      <c r="I15" s="16">
        <v>1</v>
      </c>
    </row>
    <row r="16" spans="1:12" ht="15" customHeight="1" x14ac:dyDescent="0.25">
      <c r="A16" s="29" t="s">
        <v>95</v>
      </c>
      <c r="B16" s="16" t="s">
        <v>165</v>
      </c>
      <c r="C16" s="30">
        <f t="shared" si="0"/>
        <v>4</v>
      </c>
      <c r="D16" s="31">
        <f t="shared" si="1"/>
        <v>15</v>
      </c>
      <c r="E16" s="30">
        <f>SUMPRODUCT((PhanCong!$B$3:$J$18=A16)*SoTiet!$B$3:$J$18)</f>
        <v>15</v>
      </c>
      <c r="F16" s="30">
        <f>SUMPRODUCT((PhanCong!$B$3:$J$18=A16)*SoTiet!$L$3:$T$18)</f>
        <v>13</v>
      </c>
      <c r="G16" s="31">
        <f t="shared" si="2"/>
        <v>0</v>
      </c>
      <c r="H16" s="16">
        <v>1</v>
      </c>
      <c r="I16" s="16">
        <v>1</v>
      </c>
    </row>
    <row r="17" spans="1:9" ht="15" customHeight="1" x14ac:dyDescent="0.25">
      <c r="A17" s="29" t="s">
        <v>112</v>
      </c>
      <c r="B17" s="16" t="s">
        <v>165</v>
      </c>
      <c r="C17" s="30">
        <f t="shared" si="0"/>
        <v>4</v>
      </c>
      <c r="D17" s="31">
        <f t="shared" si="1"/>
        <v>15</v>
      </c>
      <c r="E17" s="30">
        <f>SUMPRODUCT((PhanCong!$B$3:$J$18=A17)*SoTiet!$B$3:$J$18)</f>
        <v>16</v>
      </c>
      <c r="F17" s="30">
        <f>SUMPRODUCT((PhanCong!$B$3:$J$18=A17)*SoTiet!$L$3:$T$18)</f>
        <v>16</v>
      </c>
      <c r="G17" s="31">
        <f t="shared" si="2"/>
        <v>1</v>
      </c>
      <c r="H17" s="16">
        <v>1</v>
      </c>
      <c r="I17" s="16">
        <v>1</v>
      </c>
    </row>
    <row r="18" spans="1:9" ht="15" customHeight="1" x14ac:dyDescent="0.25">
      <c r="A18" s="29" t="s">
        <v>106</v>
      </c>
      <c r="B18" s="16" t="s">
        <v>167</v>
      </c>
      <c r="C18" s="30">
        <f t="shared" si="0"/>
        <v>1</v>
      </c>
      <c r="D18" s="31">
        <f t="shared" si="1"/>
        <v>18</v>
      </c>
      <c r="E18" s="30">
        <f>SUMPRODUCT((PhanCong!$B$3:$J$18=A18)*SoTiet!$B$3:$J$18)</f>
        <v>18</v>
      </c>
      <c r="F18" s="30">
        <f>SUMPRODUCT((PhanCong!$B$3:$J$18=A18)*SoTiet!$L$3:$T$18)</f>
        <v>18</v>
      </c>
      <c r="G18" s="31">
        <f t="shared" si="2"/>
        <v>0</v>
      </c>
      <c r="H18" s="16">
        <v>1</v>
      </c>
      <c r="I18" s="16">
        <v>0</v>
      </c>
    </row>
    <row r="19" spans="1:9" ht="15" customHeight="1" x14ac:dyDescent="0.25">
      <c r="A19" s="29" t="s">
        <v>103</v>
      </c>
      <c r="B19" s="16" t="s">
        <v>167</v>
      </c>
      <c r="C19" s="30">
        <f t="shared" si="0"/>
        <v>1</v>
      </c>
      <c r="D19" s="31">
        <f t="shared" si="1"/>
        <v>18</v>
      </c>
      <c r="E19" s="30">
        <f>SUMPRODUCT((PhanCong!$B$3:$J$18=A19)*SoTiet!$B$3:$J$18)</f>
        <v>15</v>
      </c>
      <c r="F19" s="30">
        <f>SUMPRODUCT((PhanCong!$B$3:$J$18=A19)*SoTiet!$L$3:$T$18)</f>
        <v>15</v>
      </c>
      <c r="G19" s="31">
        <f t="shared" si="2"/>
        <v>-3</v>
      </c>
      <c r="H19" s="16">
        <v>1</v>
      </c>
      <c r="I19" s="16">
        <v>0</v>
      </c>
    </row>
    <row r="20" spans="1:9" ht="15" customHeight="1" x14ac:dyDescent="0.25">
      <c r="A20" s="29" t="s">
        <v>99</v>
      </c>
      <c r="B20" s="16" t="s">
        <v>165</v>
      </c>
      <c r="C20" s="30">
        <f t="shared" si="0"/>
        <v>4</v>
      </c>
      <c r="D20" s="31">
        <f t="shared" si="1"/>
        <v>15</v>
      </c>
      <c r="E20" s="30">
        <f>SUMPRODUCT((PhanCong!$B$3:$J$18=A20)*SoTiet!$B$3:$J$18)</f>
        <v>15</v>
      </c>
      <c r="F20" s="30">
        <f>SUMPRODUCT((PhanCong!$B$3:$J$18=A20)*SoTiet!$L$3:$T$18)</f>
        <v>15</v>
      </c>
      <c r="G20" s="31">
        <f t="shared" si="2"/>
        <v>0</v>
      </c>
      <c r="H20" s="16">
        <v>1</v>
      </c>
      <c r="I20" s="16">
        <v>1</v>
      </c>
    </row>
    <row r="21" spans="1:9" ht="15" customHeight="1" x14ac:dyDescent="0.25">
      <c r="A21" s="29" t="s">
        <v>121</v>
      </c>
      <c r="B21" s="16"/>
      <c r="C21" s="30">
        <f t="shared" si="0"/>
        <v>0</v>
      </c>
      <c r="D21" s="31">
        <f t="shared" si="1"/>
        <v>19</v>
      </c>
      <c r="E21" s="30">
        <f>SUMPRODUCT((PhanCong!$B$3:$J$18=A21)*SoTiet!$B$3:$J$18)</f>
        <v>4</v>
      </c>
      <c r="F21" s="30">
        <f>SUMPRODUCT((PhanCong!$B$3:$J$18=A21)*SoTiet!$L$3:$T$18)</f>
        <v>4</v>
      </c>
      <c r="G21" s="31">
        <f t="shared" si="2"/>
        <v>-15</v>
      </c>
      <c r="H21" s="16">
        <v>1</v>
      </c>
      <c r="I21" s="16">
        <v>0</v>
      </c>
    </row>
    <row r="22" spans="1:9" ht="15" customHeight="1" x14ac:dyDescent="0.25">
      <c r="B22" s="32"/>
      <c r="D22" s="5"/>
      <c r="E22" s="5"/>
    </row>
    <row r="23" spans="1:9" ht="15" customHeight="1" x14ac:dyDescent="0.25">
      <c r="A23" s="23"/>
      <c r="D23" s="5"/>
      <c r="E23" s="5"/>
      <c r="H23" s="33" t="s">
        <v>169</v>
      </c>
    </row>
    <row r="24" spans="1:9" ht="15" customHeight="1" x14ac:dyDescent="0.25">
      <c r="A24" s="23"/>
      <c r="D24" s="5"/>
      <c r="E24" s="5"/>
      <c r="H24" s="33" t="s">
        <v>170</v>
      </c>
    </row>
    <row r="25" spans="1:9" ht="15" customHeight="1" x14ac:dyDescent="0.25"/>
    <row r="26" spans="1:9" ht="15" customHeight="1" x14ac:dyDescent="0.25"/>
    <row r="27" spans="1:9" ht="15" customHeight="1" x14ac:dyDescent="0.25"/>
    <row r="28" spans="1:9" ht="15" customHeight="1" x14ac:dyDescent="0.25"/>
    <row r="29" spans="1:9" ht="15" customHeight="1" x14ac:dyDescent="0.25"/>
    <row r="30" spans="1:9" ht="15" customHeight="1" x14ac:dyDescent="0.25"/>
    <row r="31" spans="1:9" ht="15" customHeight="1" x14ac:dyDescent="0.25"/>
    <row r="32" spans="1:9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</sheetData>
  <mergeCells count="1">
    <mergeCell ref="A1:F1"/>
  </mergeCells>
  <conditionalFormatting sqref="E22:E24">
    <cfRule type="expression" dxfId="10" priority="3">
      <formula>E22&gt;E21</formula>
    </cfRule>
  </conditionalFormatting>
  <conditionalFormatting sqref="F3:G20">
    <cfRule type="expression" dxfId="9" priority="2">
      <formula>F3&gt;0</formula>
    </cfRule>
  </conditionalFormatting>
  <conditionalFormatting sqref="G3:G20">
    <cfRule type="expression" dxfId="8" priority="5">
      <formula>G3&lt;=0</formula>
    </cfRule>
  </conditionalFormatting>
  <conditionalFormatting sqref="G3:G21">
    <cfRule type="expression" dxfId="7" priority="7">
      <formula>G3&gt;0</formula>
    </cfRule>
    <cfRule type="expression" dxfId="6" priority="8">
      <formula>G3&lt;=0</formula>
    </cfRule>
    <cfRule type="expression" dxfId="5" priority="9">
      <formula>G3&gt;0</formula>
    </cfRule>
    <cfRule type="expression" dxfId="4" priority="10">
      <formula>G3&lt;=0</formula>
    </cfRule>
  </conditionalFormatting>
  <dataValidations count="1">
    <dataValidation type="list" allowBlank="1" sqref="B3:B21" xr:uid="{00000000-0002-0000-0500-000000000000}">
      <formula1>"GVCN,Tổ trưởng,Tổ phó,Tổng phụ trách"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90"/>
  <sheetViews>
    <sheetView tabSelected="1" zoomScaleNormal="100" workbookViewId="0">
      <pane xSplit="3" ySplit="1" topLeftCell="D62" activePane="bottomRight" state="frozen"/>
      <selection pane="topRight" activeCell="D1" sqref="D1"/>
      <selection pane="bottomLeft" activeCell="A2" sqref="A2"/>
      <selection pane="bottomRight"/>
    </sheetView>
  </sheetViews>
  <sheetFormatPr defaultColWidth="8.7109375" defaultRowHeight="15" x14ac:dyDescent="0.25"/>
  <cols>
    <col min="1" max="1" width="9" customWidth="1"/>
    <col min="2" max="3" width="6" customWidth="1"/>
    <col min="4" max="10" width="22" customWidth="1"/>
  </cols>
  <sheetData>
    <row r="1" spans="1:10" ht="24.75" customHeight="1" x14ac:dyDescent="0.25">
      <c r="A1" s="34" t="s">
        <v>171</v>
      </c>
      <c r="B1" s="34" t="s">
        <v>172</v>
      </c>
      <c r="C1" s="34" t="s">
        <v>173</v>
      </c>
      <c r="D1" s="34" t="s">
        <v>174</v>
      </c>
      <c r="E1" s="34" t="s">
        <v>175</v>
      </c>
      <c r="F1" s="34" t="s">
        <v>176</v>
      </c>
      <c r="G1" s="34" t="s">
        <v>177</v>
      </c>
      <c r="H1" s="34" t="s">
        <v>178</v>
      </c>
      <c r="I1" s="34" t="s">
        <v>179</v>
      </c>
      <c r="J1" s="34" t="s">
        <v>180</v>
      </c>
    </row>
    <row r="2" spans="1:10" ht="24.75" customHeight="1" x14ac:dyDescent="0.25">
      <c r="A2" s="30" t="s">
        <v>82</v>
      </c>
      <c r="B2" s="30" t="s">
        <v>181</v>
      </c>
      <c r="C2" s="30" t="s">
        <v>182</v>
      </c>
      <c r="D2" s="35" t="s">
        <v>122</v>
      </c>
      <c r="E2" s="35" t="s">
        <v>92</v>
      </c>
      <c r="F2" s="35" t="s">
        <v>110</v>
      </c>
      <c r="G2" s="35" t="s">
        <v>120</v>
      </c>
      <c r="H2" s="35" t="s">
        <v>115</v>
      </c>
      <c r="I2" s="35" t="s">
        <v>102</v>
      </c>
      <c r="J2" s="35"/>
    </row>
    <row r="3" spans="1:10" ht="15" customHeight="1" x14ac:dyDescent="0.25">
      <c r="A3" s="30" t="s">
        <v>82</v>
      </c>
      <c r="B3" s="30" t="s">
        <v>181</v>
      </c>
      <c r="C3" s="30" t="s">
        <v>183</v>
      </c>
      <c r="D3" s="35" t="s">
        <v>102</v>
      </c>
      <c r="E3" s="35" t="s">
        <v>122</v>
      </c>
      <c r="F3" s="35" t="s">
        <v>92</v>
      </c>
      <c r="G3" s="35" t="s">
        <v>123</v>
      </c>
      <c r="H3" s="35" t="s">
        <v>125</v>
      </c>
      <c r="I3" s="35" t="s">
        <v>111</v>
      </c>
      <c r="J3" s="35"/>
    </row>
    <row r="4" spans="1:10" ht="24.75" customHeight="1" x14ac:dyDescent="0.25">
      <c r="A4" s="30" t="s">
        <v>82</v>
      </c>
      <c r="B4" s="30" t="s">
        <v>181</v>
      </c>
      <c r="C4" s="30" t="s">
        <v>184</v>
      </c>
      <c r="D4" s="35" t="s">
        <v>118</v>
      </c>
      <c r="E4" s="35" t="s">
        <v>97</v>
      </c>
      <c r="F4" s="35" t="s">
        <v>97</v>
      </c>
      <c r="G4" s="35" t="s">
        <v>116</v>
      </c>
      <c r="H4" s="35" t="s">
        <v>118</v>
      </c>
      <c r="I4" s="35" t="s">
        <v>122</v>
      </c>
      <c r="J4" s="35"/>
    </row>
    <row r="5" spans="1:10" ht="15" customHeight="1" x14ac:dyDescent="0.25">
      <c r="A5" s="30" t="s">
        <v>82</v>
      </c>
      <c r="B5" s="30" t="s">
        <v>181</v>
      </c>
      <c r="C5" s="30" t="s">
        <v>185</v>
      </c>
      <c r="D5" s="35" t="s">
        <v>92</v>
      </c>
      <c r="E5" s="35" t="s">
        <v>111</v>
      </c>
      <c r="F5" s="35" t="s">
        <v>97</v>
      </c>
      <c r="G5" s="35" t="s">
        <v>105</v>
      </c>
      <c r="H5" s="35" t="s">
        <v>110</v>
      </c>
      <c r="I5" s="35" t="s">
        <v>117</v>
      </c>
      <c r="J5" s="35"/>
    </row>
    <row r="6" spans="1:10" ht="24.75" customHeight="1" x14ac:dyDescent="0.25">
      <c r="A6" s="30" t="s">
        <v>82</v>
      </c>
      <c r="B6" s="30" t="s">
        <v>181</v>
      </c>
      <c r="C6" s="30" t="s">
        <v>186</v>
      </c>
      <c r="D6" s="35" t="s">
        <v>107</v>
      </c>
      <c r="E6" s="35"/>
      <c r="F6" s="35" t="s">
        <v>114</v>
      </c>
      <c r="G6" s="35" t="s">
        <v>102</v>
      </c>
      <c r="H6" s="35" t="s">
        <v>97</v>
      </c>
      <c r="I6" s="35" t="s">
        <v>92</v>
      </c>
      <c r="J6" s="35"/>
    </row>
    <row r="7" spans="1:10" ht="24.75" customHeight="1" x14ac:dyDescent="0.25">
      <c r="A7" s="30" t="s">
        <v>82</v>
      </c>
      <c r="B7" s="30" t="s">
        <v>187</v>
      </c>
      <c r="C7" s="30" t="s">
        <v>182</v>
      </c>
      <c r="D7" s="35"/>
      <c r="E7" s="35"/>
      <c r="F7" s="35"/>
      <c r="G7" s="35"/>
      <c r="H7" s="35"/>
      <c r="I7" s="35"/>
      <c r="J7" s="35"/>
    </row>
    <row r="8" spans="1:10" ht="15" customHeight="1" x14ac:dyDescent="0.25">
      <c r="A8" s="30" t="s">
        <v>82</v>
      </c>
      <c r="B8" s="30" t="s">
        <v>187</v>
      </c>
      <c r="C8" s="30" t="s">
        <v>183</v>
      </c>
      <c r="D8" s="35"/>
      <c r="E8" s="35"/>
      <c r="F8" s="35"/>
      <c r="G8" s="35"/>
      <c r="H8" s="35"/>
      <c r="I8" s="35"/>
      <c r="J8" s="35"/>
    </row>
    <row r="9" spans="1:10" ht="15" customHeight="1" x14ac:dyDescent="0.25">
      <c r="A9" s="30" t="s">
        <v>82</v>
      </c>
      <c r="B9" s="30" t="s">
        <v>187</v>
      </c>
      <c r="C9" s="30" t="s">
        <v>184</v>
      </c>
      <c r="D9" s="35"/>
      <c r="E9" s="35"/>
      <c r="F9" s="35"/>
      <c r="G9" s="35"/>
      <c r="H9" s="35"/>
      <c r="I9" s="35"/>
      <c r="J9" s="35"/>
    </row>
    <row r="10" spans="1:10" ht="24.75" customHeight="1" x14ac:dyDescent="0.25">
      <c r="A10" s="36" t="s">
        <v>83</v>
      </c>
      <c r="B10" s="36" t="s">
        <v>181</v>
      </c>
      <c r="C10" s="36" t="s">
        <v>182</v>
      </c>
      <c r="D10" s="37" t="s">
        <v>122</v>
      </c>
      <c r="E10" s="37" t="s">
        <v>97</v>
      </c>
      <c r="F10" s="37" t="s">
        <v>92</v>
      </c>
      <c r="G10" s="37" t="s">
        <v>115</v>
      </c>
      <c r="H10" s="37" t="s">
        <v>122</v>
      </c>
      <c r="I10" s="37" t="s">
        <v>117</v>
      </c>
      <c r="J10" s="37"/>
    </row>
    <row r="11" spans="1:10" ht="15" customHeight="1" x14ac:dyDescent="0.25">
      <c r="A11" s="36" t="s">
        <v>83</v>
      </c>
      <c r="B11" s="36" t="s">
        <v>181</v>
      </c>
      <c r="C11" s="36" t="s">
        <v>183</v>
      </c>
      <c r="D11" s="37" t="s">
        <v>111</v>
      </c>
      <c r="E11" s="37" t="s">
        <v>97</v>
      </c>
      <c r="F11" s="37" t="s">
        <v>97</v>
      </c>
      <c r="G11" s="37" t="s">
        <v>110</v>
      </c>
      <c r="H11" s="37" t="s">
        <v>114</v>
      </c>
      <c r="I11" s="37" t="s">
        <v>116</v>
      </c>
      <c r="J11" s="37"/>
    </row>
    <row r="12" spans="1:10" ht="15" customHeight="1" x14ac:dyDescent="0.25">
      <c r="A12" s="36" t="s">
        <v>83</v>
      </c>
      <c r="B12" s="36" t="s">
        <v>181</v>
      </c>
      <c r="C12" s="36" t="s">
        <v>184</v>
      </c>
      <c r="D12" s="37" t="s">
        <v>92</v>
      </c>
      <c r="E12" s="37" t="s">
        <v>92</v>
      </c>
      <c r="F12" s="37" t="s">
        <v>118</v>
      </c>
      <c r="G12" s="37" t="s">
        <v>102</v>
      </c>
      <c r="H12" s="37" t="s">
        <v>97</v>
      </c>
      <c r="I12" s="37" t="s">
        <v>102</v>
      </c>
      <c r="J12" s="37"/>
    </row>
    <row r="13" spans="1:10" ht="15" customHeight="1" x14ac:dyDescent="0.25">
      <c r="A13" s="36" t="s">
        <v>83</v>
      </c>
      <c r="B13" s="36" t="s">
        <v>181</v>
      </c>
      <c r="C13" s="36" t="s">
        <v>185</v>
      </c>
      <c r="D13" s="37" t="s">
        <v>102</v>
      </c>
      <c r="E13" s="37" t="s">
        <v>125</v>
      </c>
      <c r="F13" s="37" t="s">
        <v>105</v>
      </c>
      <c r="G13" s="37" t="s">
        <v>118</v>
      </c>
      <c r="H13" s="37" t="s">
        <v>92</v>
      </c>
      <c r="I13" s="37" t="s">
        <v>111</v>
      </c>
      <c r="J13" s="37"/>
    </row>
    <row r="14" spans="1:10" ht="24.75" customHeight="1" x14ac:dyDescent="0.25">
      <c r="A14" s="36" t="s">
        <v>83</v>
      </c>
      <c r="B14" s="36" t="s">
        <v>181</v>
      </c>
      <c r="C14" s="36" t="s">
        <v>186</v>
      </c>
      <c r="D14" s="37" t="s">
        <v>110</v>
      </c>
      <c r="E14" s="37"/>
      <c r="F14" s="37" t="s">
        <v>120</v>
      </c>
      <c r="G14" s="37" t="s">
        <v>123</v>
      </c>
      <c r="H14" s="37" t="s">
        <v>107</v>
      </c>
      <c r="I14" s="37" t="s">
        <v>122</v>
      </c>
      <c r="J14" s="37"/>
    </row>
    <row r="15" spans="1:10" ht="24.75" customHeight="1" x14ac:dyDescent="0.25">
      <c r="A15" s="36" t="s">
        <v>83</v>
      </c>
      <c r="B15" s="36" t="s">
        <v>187</v>
      </c>
      <c r="C15" s="36" t="s">
        <v>182</v>
      </c>
      <c r="D15" s="37"/>
      <c r="E15" s="37"/>
      <c r="F15" s="37"/>
      <c r="G15" s="37"/>
      <c r="H15" s="37"/>
      <c r="I15" s="37"/>
      <c r="J15" s="37"/>
    </row>
    <row r="16" spans="1:10" ht="15" customHeight="1" x14ac:dyDescent="0.25">
      <c r="A16" s="36" t="s">
        <v>83</v>
      </c>
      <c r="B16" s="36" t="s">
        <v>187</v>
      </c>
      <c r="C16" s="36" t="s">
        <v>183</v>
      </c>
      <c r="D16" s="37"/>
      <c r="E16" s="37"/>
      <c r="F16" s="37"/>
      <c r="G16" s="37"/>
      <c r="H16" s="37"/>
      <c r="I16" s="37"/>
      <c r="J16" s="37"/>
    </row>
    <row r="17" spans="1:10" ht="24.75" customHeight="1" x14ac:dyDescent="0.25">
      <c r="A17" s="36" t="s">
        <v>83</v>
      </c>
      <c r="B17" s="36" t="s">
        <v>187</v>
      </c>
      <c r="C17" s="36" t="s">
        <v>184</v>
      </c>
      <c r="D17" s="37"/>
      <c r="E17" s="37"/>
      <c r="F17" s="37"/>
      <c r="G17" s="37"/>
      <c r="H17" s="37"/>
      <c r="I17" s="37"/>
      <c r="J17" s="37"/>
    </row>
    <row r="18" spans="1:10" ht="15" customHeight="1" x14ac:dyDescent="0.25">
      <c r="A18" s="30" t="s">
        <v>84</v>
      </c>
      <c r="B18" s="30" t="s">
        <v>181</v>
      </c>
      <c r="C18" s="30" t="s">
        <v>182</v>
      </c>
      <c r="D18" s="35" t="s">
        <v>122</v>
      </c>
      <c r="E18" s="35" t="s">
        <v>111</v>
      </c>
      <c r="F18" s="35" t="s">
        <v>97</v>
      </c>
      <c r="G18" s="35" t="s">
        <v>122</v>
      </c>
      <c r="H18" s="35" t="s">
        <v>102</v>
      </c>
      <c r="I18" s="35" t="s">
        <v>110</v>
      </c>
      <c r="J18" s="35"/>
    </row>
    <row r="19" spans="1:10" ht="15" customHeight="1" x14ac:dyDescent="0.25">
      <c r="A19" s="30" t="s">
        <v>84</v>
      </c>
      <c r="B19" s="30" t="s">
        <v>181</v>
      </c>
      <c r="C19" s="30" t="s">
        <v>183</v>
      </c>
      <c r="D19" s="35" t="s">
        <v>92</v>
      </c>
      <c r="E19" s="35" t="s">
        <v>125</v>
      </c>
      <c r="F19" s="35" t="s">
        <v>118</v>
      </c>
      <c r="G19" s="35" t="s">
        <v>97</v>
      </c>
      <c r="H19" s="35" t="s">
        <v>105</v>
      </c>
      <c r="I19" s="35" t="s">
        <v>97</v>
      </c>
      <c r="J19" s="35"/>
    </row>
    <row r="20" spans="1:10" ht="15" customHeight="1" x14ac:dyDescent="0.25">
      <c r="A20" s="30" t="s">
        <v>84</v>
      </c>
      <c r="B20" s="30" t="s">
        <v>181</v>
      </c>
      <c r="C20" s="30" t="s">
        <v>184</v>
      </c>
      <c r="D20" s="35" t="s">
        <v>102</v>
      </c>
      <c r="E20" s="35" t="s">
        <v>123</v>
      </c>
      <c r="F20" s="35" t="s">
        <v>92</v>
      </c>
      <c r="G20" s="35" t="s">
        <v>115</v>
      </c>
      <c r="H20" s="35" t="s">
        <v>114</v>
      </c>
      <c r="I20" s="35" t="s">
        <v>107</v>
      </c>
      <c r="J20" s="35"/>
    </row>
    <row r="21" spans="1:10" ht="15" customHeight="1" x14ac:dyDescent="0.25">
      <c r="A21" s="30" t="s">
        <v>84</v>
      </c>
      <c r="B21" s="30" t="s">
        <v>181</v>
      </c>
      <c r="C21" s="30" t="s">
        <v>185</v>
      </c>
      <c r="D21" s="35" t="s">
        <v>110</v>
      </c>
      <c r="E21" s="35" t="s">
        <v>92</v>
      </c>
      <c r="F21" s="35" t="s">
        <v>120</v>
      </c>
      <c r="G21" s="35" t="s">
        <v>117</v>
      </c>
      <c r="H21" s="35" t="s">
        <v>118</v>
      </c>
      <c r="I21" s="35" t="s">
        <v>122</v>
      </c>
      <c r="J21" s="35"/>
    </row>
    <row r="22" spans="1:10" ht="15" customHeight="1" x14ac:dyDescent="0.25">
      <c r="A22" s="30" t="s">
        <v>84</v>
      </c>
      <c r="B22" s="30" t="s">
        <v>181</v>
      </c>
      <c r="C22" s="30" t="s">
        <v>186</v>
      </c>
      <c r="D22" s="35" t="s">
        <v>111</v>
      </c>
      <c r="E22" s="35" t="s">
        <v>97</v>
      </c>
      <c r="F22" s="35" t="s">
        <v>102</v>
      </c>
      <c r="G22" s="35"/>
      <c r="H22" s="35" t="s">
        <v>92</v>
      </c>
      <c r="I22" s="35" t="s">
        <v>116</v>
      </c>
      <c r="J22" s="35"/>
    </row>
    <row r="23" spans="1:10" ht="15" customHeight="1" x14ac:dyDescent="0.25">
      <c r="A23" s="30" t="s">
        <v>84</v>
      </c>
      <c r="B23" s="30" t="s">
        <v>187</v>
      </c>
      <c r="C23" s="30" t="s">
        <v>182</v>
      </c>
      <c r="D23" s="35"/>
      <c r="E23" s="35"/>
      <c r="F23" s="35"/>
      <c r="G23" s="35"/>
      <c r="H23" s="35"/>
      <c r="I23" s="35"/>
      <c r="J23" s="35"/>
    </row>
    <row r="24" spans="1:10" ht="15" customHeight="1" x14ac:dyDescent="0.25">
      <c r="A24" s="30" t="s">
        <v>84</v>
      </c>
      <c r="B24" s="30" t="s">
        <v>187</v>
      </c>
      <c r="C24" s="30" t="s">
        <v>183</v>
      </c>
      <c r="D24" s="35"/>
      <c r="E24" s="35"/>
      <c r="F24" s="35"/>
      <c r="G24" s="35"/>
      <c r="H24" s="35"/>
      <c r="I24" s="35"/>
      <c r="J24" s="35"/>
    </row>
    <row r="25" spans="1:10" ht="15" customHeight="1" x14ac:dyDescent="0.25">
      <c r="A25" s="30" t="s">
        <v>84</v>
      </c>
      <c r="B25" s="30" t="s">
        <v>187</v>
      </c>
      <c r="C25" s="30" t="s">
        <v>184</v>
      </c>
      <c r="D25" s="35"/>
      <c r="E25" s="35"/>
      <c r="F25" s="35"/>
      <c r="G25" s="35"/>
      <c r="H25" s="35"/>
      <c r="I25" s="35"/>
      <c r="J25" s="35"/>
    </row>
    <row r="26" spans="1:10" ht="24.75" customHeight="1" x14ac:dyDescent="0.25">
      <c r="A26" s="36" t="s">
        <v>85</v>
      </c>
      <c r="B26" s="36" t="s">
        <v>181</v>
      </c>
      <c r="C26" s="36" t="s">
        <v>182</v>
      </c>
      <c r="D26" s="37" t="s">
        <v>122</v>
      </c>
      <c r="E26" s="37" t="s">
        <v>92</v>
      </c>
      <c r="F26" s="37" t="s">
        <v>110</v>
      </c>
      <c r="G26" s="37" t="s">
        <v>116</v>
      </c>
      <c r="H26" s="37" t="s">
        <v>102</v>
      </c>
      <c r="I26" s="37" t="s">
        <v>122</v>
      </c>
      <c r="J26" s="37"/>
    </row>
    <row r="27" spans="1:10" ht="15" customHeight="1" x14ac:dyDescent="0.25">
      <c r="A27" s="36" t="s">
        <v>85</v>
      </c>
      <c r="B27" s="36" t="s">
        <v>181</v>
      </c>
      <c r="C27" s="36" t="s">
        <v>183</v>
      </c>
      <c r="D27" s="37" t="s">
        <v>92</v>
      </c>
      <c r="E27" s="37" t="s">
        <v>120</v>
      </c>
      <c r="F27" s="37" t="s">
        <v>97</v>
      </c>
      <c r="G27" s="37" t="s">
        <v>107</v>
      </c>
      <c r="H27" s="37" t="s">
        <v>111</v>
      </c>
      <c r="I27" s="37" t="s">
        <v>117</v>
      </c>
      <c r="J27" s="37"/>
    </row>
    <row r="28" spans="1:10" ht="15" customHeight="1" x14ac:dyDescent="0.25">
      <c r="A28" s="36" t="s">
        <v>85</v>
      </c>
      <c r="B28" s="36" t="s">
        <v>181</v>
      </c>
      <c r="C28" s="36" t="s">
        <v>184</v>
      </c>
      <c r="D28" s="37" t="s">
        <v>97</v>
      </c>
      <c r="E28" s="37" t="s">
        <v>110</v>
      </c>
      <c r="F28" s="37" t="s">
        <v>97</v>
      </c>
      <c r="G28" s="37" t="s">
        <v>115</v>
      </c>
      <c r="H28" s="37" t="s">
        <v>125</v>
      </c>
      <c r="I28" s="37" t="s">
        <v>123</v>
      </c>
      <c r="J28" s="37"/>
    </row>
    <row r="29" spans="1:10" ht="24.75" customHeight="1" x14ac:dyDescent="0.25">
      <c r="A29" s="36" t="s">
        <v>85</v>
      </c>
      <c r="B29" s="36" t="s">
        <v>181</v>
      </c>
      <c r="C29" s="36" t="s">
        <v>185</v>
      </c>
      <c r="D29" s="37" t="s">
        <v>102</v>
      </c>
      <c r="E29" s="37" t="s">
        <v>118</v>
      </c>
      <c r="F29" s="37" t="s">
        <v>118</v>
      </c>
      <c r="G29" s="37" t="s">
        <v>105</v>
      </c>
      <c r="H29" s="37" t="s">
        <v>97</v>
      </c>
      <c r="I29" s="37" t="s">
        <v>114</v>
      </c>
      <c r="J29" s="37"/>
    </row>
    <row r="30" spans="1:10" ht="24.75" customHeight="1" x14ac:dyDescent="0.25">
      <c r="A30" s="36" t="s">
        <v>85</v>
      </c>
      <c r="B30" s="36" t="s">
        <v>181</v>
      </c>
      <c r="C30" s="36" t="s">
        <v>186</v>
      </c>
      <c r="D30" s="37" t="s">
        <v>111</v>
      </c>
      <c r="E30" s="37" t="s">
        <v>122</v>
      </c>
      <c r="F30" s="37" t="s">
        <v>102</v>
      </c>
      <c r="G30" s="37" t="s">
        <v>92</v>
      </c>
      <c r="H30" s="37"/>
      <c r="I30" s="37" t="s">
        <v>92</v>
      </c>
      <c r="J30" s="37"/>
    </row>
    <row r="31" spans="1:10" ht="24.75" customHeight="1" x14ac:dyDescent="0.25">
      <c r="A31" s="36" t="s">
        <v>85</v>
      </c>
      <c r="B31" s="36" t="s">
        <v>187</v>
      </c>
      <c r="C31" s="36" t="s">
        <v>182</v>
      </c>
      <c r="D31" s="37"/>
      <c r="E31" s="37"/>
      <c r="F31" s="37"/>
      <c r="G31" s="37"/>
      <c r="H31" s="37"/>
      <c r="I31" s="37"/>
      <c r="J31" s="37"/>
    </row>
    <row r="32" spans="1:10" ht="15" customHeight="1" x14ac:dyDescent="0.25">
      <c r="A32" s="36" t="s">
        <v>85</v>
      </c>
      <c r="B32" s="36" t="s">
        <v>187</v>
      </c>
      <c r="C32" s="36" t="s">
        <v>183</v>
      </c>
      <c r="D32" s="37"/>
      <c r="E32" s="37"/>
      <c r="F32" s="37"/>
      <c r="G32" s="37"/>
      <c r="H32" s="37"/>
      <c r="I32" s="37"/>
      <c r="J32" s="37"/>
    </row>
    <row r="33" spans="1:10" ht="15" customHeight="1" x14ac:dyDescent="0.25">
      <c r="A33" s="36" t="s">
        <v>85</v>
      </c>
      <c r="B33" s="36" t="s">
        <v>187</v>
      </c>
      <c r="C33" s="36" t="s">
        <v>184</v>
      </c>
      <c r="D33" s="37"/>
      <c r="E33" s="37"/>
      <c r="F33" s="37"/>
      <c r="G33" s="37"/>
      <c r="H33" s="37"/>
      <c r="I33" s="37"/>
      <c r="J33" s="37"/>
    </row>
    <row r="34" spans="1:10" ht="24.75" customHeight="1" x14ac:dyDescent="0.25">
      <c r="A34" s="30" t="s">
        <v>86</v>
      </c>
      <c r="B34" s="30" t="s">
        <v>181</v>
      </c>
      <c r="C34" s="30" t="s">
        <v>182</v>
      </c>
      <c r="D34" s="35" t="s">
        <v>122</v>
      </c>
      <c r="E34" s="35" t="s">
        <v>122</v>
      </c>
      <c r="F34" s="35" t="s">
        <v>92</v>
      </c>
      <c r="G34" s="35" t="s">
        <v>117</v>
      </c>
      <c r="H34" s="35" t="s">
        <v>122</v>
      </c>
      <c r="I34" s="35" t="s">
        <v>97</v>
      </c>
      <c r="J34" s="35"/>
    </row>
    <row r="35" spans="1:10" ht="24.75" customHeight="1" x14ac:dyDescent="0.25">
      <c r="A35" s="30" t="s">
        <v>86</v>
      </c>
      <c r="B35" s="30" t="s">
        <v>181</v>
      </c>
      <c r="C35" s="30" t="s">
        <v>183</v>
      </c>
      <c r="D35" s="35" t="s">
        <v>97</v>
      </c>
      <c r="E35" s="35" t="s">
        <v>92</v>
      </c>
      <c r="F35" s="35" t="s">
        <v>116</v>
      </c>
      <c r="G35" s="35" t="s">
        <v>97</v>
      </c>
      <c r="H35" s="35" t="s">
        <v>102</v>
      </c>
      <c r="I35" s="35" t="s">
        <v>102</v>
      </c>
      <c r="J35" s="35"/>
    </row>
    <row r="36" spans="1:10" ht="24.75" customHeight="1" x14ac:dyDescent="0.25">
      <c r="A36" s="30" t="s">
        <v>86</v>
      </c>
      <c r="B36" s="30" t="s">
        <v>181</v>
      </c>
      <c r="C36" s="30" t="s">
        <v>184</v>
      </c>
      <c r="D36" s="35" t="s">
        <v>92</v>
      </c>
      <c r="E36" s="35" t="s">
        <v>118</v>
      </c>
      <c r="F36" s="35" t="s">
        <v>111</v>
      </c>
      <c r="G36" s="35" t="s">
        <v>118</v>
      </c>
      <c r="H36" s="35" t="s">
        <v>105</v>
      </c>
      <c r="I36" s="35" t="s">
        <v>111</v>
      </c>
      <c r="J36" s="35"/>
    </row>
    <row r="37" spans="1:10" ht="15" customHeight="1" x14ac:dyDescent="0.25">
      <c r="A37" s="30" t="s">
        <v>86</v>
      </c>
      <c r="B37" s="30" t="s">
        <v>181</v>
      </c>
      <c r="C37" s="30" t="s">
        <v>185</v>
      </c>
      <c r="D37" s="35" t="s">
        <v>110</v>
      </c>
      <c r="E37" s="35" t="s">
        <v>107</v>
      </c>
      <c r="F37" s="35" t="s">
        <v>110</v>
      </c>
      <c r="G37" s="35" t="s">
        <v>115</v>
      </c>
      <c r="H37" s="35" t="s">
        <v>120</v>
      </c>
      <c r="I37" s="35" t="s">
        <v>92</v>
      </c>
      <c r="J37" s="35"/>
    </row>
    <row r="38" spans="1:10" ht="24.75" customHeight="1" x14ac:dyDescent="0.25">
      <c r="A38" s="30" t="s">
        <v>86</v>
      </c>
      <c r="B38" s="30" t="s">
        <v>181</v>
      </c>
      <c r="C38" s="30" t="s">
        <v>186</v>
      </c>
      <c r="D38" s="35" t="s">
        <v>125</v>
      </c>
      <c r="E38" s="35" t="s">
        <v>123</v>
      </c>
      <c r="F38" s="35" t="s">
        <v>97</v>
      </c>
      <c r="G38" s="35" t="s">
        <v>102</v>
      </c>
      <c r="H38" s="35"/>
      <c r="I38" s="35" t="s">
        <v>114</v>
      </c>
      <c r="J38" s="35"/>
    </row>
    <row r="39" spans="1:10" ht="15" customHeight="1" x14ac:dyDescent="0.25">
      <c r="A39" s="30" t="s">
        <v>86</v>
      </c>
      <c r="B39" s="30" t="s">
        <v>187</v>
      </c>
      <c r="C39" s="30" t="s">
        <v>182</v>
      </c>
      <c r="D39" s="35"/>
      <c r="E39" s="35"/>
      <c r="F39" s="35"/>
      <c r="G39" s="35"/>
      <c r="H39" s="35"/>
      <c r="I39" s="35"/>
      <c r="J39" s="35"/>
    </row>
    <row r="40" spans="1:10" ht="24.75" customHeight="1" x14ac:dyDescent="0.25">
      <c r="A40" s="30" t="s">
        <v>86</v>
      </c>
      <c r="B40" s="30" t="s">
        <v>187</v>
      </c>
      <c r="C40" s="30" t="s">
        <v>183</v>
      </c>
      <c r="D40" s="35"/>
      <c r="E40" s="35"/>
      <c r="F40" s="35"/>
      <c r="G40" s="35"/>
      <c r="H40" s="35"/>
      <c r="I40" s="35"/>
      <c r="J40" s="35"/>
    </row>
    <row r="41" spans="1:10" ht="24.75" customHeight="1" x14ac:dyDescent="0.25">
      <c r="A41" s="30" t="s">
        <v>86</v>
      </c>
      <c r="B41" s="30" t="s">
        <v>187</v>
      </c>
      <c r="C41" s="30" t="s">
        <v>184</v>
      </c>
      <c r="D41" s="35"/>
      <c r="E41" s="35"/>
      <c r="F41" s="35"/>
      <c r="G41" s="35"/>
      <c r="H41" s="35"/>
      <c r="I41" s="35"/>
      <c r="J41" s="35"/>
    </row>
    <row r="42" spans="1:10" ht="24.75" customHeight="1" x14ac:dyDescent="0.25">
      <c r="A42" s="36" t="s">
        <v>87</v>
      </c>
      <c r="B42" s="36" t="s">
        <v>181</v>
      </c>
      <c r="C42" s="36" t="s">
        <v>182</v>
      </c>
      <c r="D42" s="37" t="s">
        <v>122</v>
      </c>
      <c r="E42" s="37" t="s">
        <v>118</v>
      </c>
      <c r="F42" s="37" t="s">
        <v>111</v>
      </c>
      <c r="G42" s="37" t="s">
        <v>92</v>
      </c>
      <c r="H42" s="37" t="s">
        <v>105</v>
      </c>
      <c r="I42" s="37" t="s">
        <v>107</v>
      </c>
      <c r="J42" s="37"/>
    </row>
    <row r="43" spans="1:10" ht="24.75" customHeight="1" x14ac:dyDescent="0.25">
      <c r="A43" s="36" t="s">
        <v>87</v>
      </c>
      <c r="B43" s="36" t="s">
        <v>181</v>
      </c>
      <c r="C43" s="36" t="s">
        <v>183</v>
      </c>
      <c r="D43" s="37" t="s">
        <v>92</v>
      </c>
      <c r="E43" s="37" t="s">
        <v>110</v>
      </c>
      <c r="F43" s="37" t="s">
        <v>120</v>
      </c>
      <c r="G43" s="37" t="s">
        <v>102</v>
      </c>
      <c r="H43" s="37" t="s">
        <v>118</v>
      </c>
      <c r="I43" s="37" t="s">
        <v>102</v>
      </c>
      <c r="J43" s="37"/>
    </row>
    <row r="44" spans="1:10" ht="24.75" customHeight="1" x14ac:dyDescent="0.25">
      <c r="A44" s="36" t="s">
        <v>87</v>
      </c>
      <c r="B44" s="36" t="s">
        <v>181</v>
      </c>
      <c r="C44" s="36" t="s">
        <v>184</v>
      </c>
      <c r="D44" s="37" t="s">
        <v>97</v>
      </c>
      <c r="E44" s="37" t="s">
        <v>105</v>
      </c>
      <c r="F44" s="37" t="s">
        <v>110</v>
      </c>
      <c r="G44" s="37" t="s">
        <v>122</v>
      </c>
      <c r="H44" s="37" t="s">
        <v>111</v>
      </c>
      <c r="I44" s="37" t="s">
        <v>123</v>
      </c>
      <c r="J44" s="37"/>
    </row>
    <row r="45" spans="1:10" ht="24.75" customHeight="1" x14ac:dyDescent="0.25">
      <c r="A45" s="36" t="s">
        <v>87</v>
      </c>
      <c r="B45" s="36" t="s">
        <v>181</v>
      </c>
      <c r="C45" s="36" t="s">
        <v>185</v>
      </c>
      <c r="D45" s="37" t="s">
        <v>97</v>
      </c>
      <c r="E45" s="37" t="s">
        <v>97</v>
      </c>
      <c r="F45" s="37" t="s">
        <v>117</v>
      </c>
      <c r="G45" s="37" t="s">
        <v>97</v>
      </c>
      <c r="H45" s="37" t="s">
        <v>114</v>
      </c>
      <c r="I45" s="37" t="s">
        <v>92</v>
      </c>
      <c r="J45" s="37"/>
    </row>
    <row r="46" spans="1:10" ht="24.75" customHeight="1" x14ac:dyDescent="0.25">
      <c r="A46" s="36" t="s">
        <v>87</v>
      </c>
      <c r="B46" s="36" t="s">
        <v>181</v>
      </c>
      <c r="C46" s="36" t="s">
        <v>186</v>
      </c>
      <c r="D46" s="37" t="s">
        <v>102</v>
      </c>
      <c r="E46" s="37" t="s">
        <v>125</v>
      </c>
      <c r="F46" s="37" t="s">
        <v>92</v>
      </c>
      <c r="G46" s="37" t="s">
        <v>115</v>
      </c>
      <c r="H46" s="37" t="s">
        <v>116</v>
      </c>
      <c r="I46" s="37" t="s">
        <v>122</v>
      </c>
      <c r="J46" s="37"/>
    </row>
    <row r="47" spans="1:10" ht="15" customHeight="1" x14ac:dyDescent="0.25">
      <c r="A47" s="36" t="s">
        <v>87</v>
      </c>
      <c r="B47" s="36" t="s">
        <v>187</v>
      </c>
      <c r="C47" s="36" t="s">
        <v>182</v>
      </c>
      <c r="D47" s="37"/>
      <c r="E47" s="37"/>
      <c r="F47" s="37"/>
      <c r="G47" s="37"/>
      <c r="H47" s="37"/>
      <c r="I47" s="37"/>
      <c r="J47" s="37"/>
    </row>
    <row r="48" spans="1:10" ht="15" customHeight="1" x14ac:dyDescent="0.25">
      <c r="A48" s="36" t="s">
        <v>87</v>
      </c>
      <c r="B48" s="36" t="s">
        <v>187</v>
      </c>
      <c r="C48" s="36" t="s">
        <v>183</v>
      </c>
      <c r="D48" s="37"/>
      <c r="E48" s="37"/>
      <c r="F48" s="37"/>
      <c r="G48" s="37"/>
      <c r="H48" s="37"/>
      <c r="I48" s="37"/>
      <c r="J48" s="37"/>
    </row>
    <row r="49" spans="1:10" ht="24.75" customHeight="1" x14ac:dyDescent="0.25">
      <c r="A49" s="36" t="s">
        <v>87</v>
      </c>
      <c r="B49" s="36" t="s">
        <v>187</v>
      </c>
      <c r="C49" s="36" t="s">
        <v>184</v>
      </c>
      <c r="D49" s="37"/>
      <c r="E49" s="37"/>
      <c r="F49" s="37"/>
      <c r="G49" s="37"/>
      <c r="H49" s="37"/>
      <c r="I49" s="37"/>
      <c r="J49" s="37"/>
    </row>
    <row r="50" spans="1:10" ht="24.75" customHeight="1" x14ac:dyDescent="0.25">
      <c r="A50" s="30" t="s">
        <v>88</v>
      </c>
      <c r="B50" s="30" t="s">
        <v>181</v>
      </c>
      <c r="C50" s="30" t="s">
        <v>182</v>
      </c>
      <c r="D50" s="35" t="s">
        <v>122</v>
      </c>
      <c r="E50" s="35" t="s">
        <v>97</v>
      </c>
      <c r="F50" s="35" t="s">
        <v>97</v>
      </c>
      <c r="G50" s="35" t="s">
        <v>114</v>
      </c>
      <c r="H50" s="35" t="s">
        <v>118</v>
      </c>
      <c r="I50" s="35" t="s">
        <v>92</v>
      </c>
      <c r="J50" s="35"/>
    </row>
    <row r="51" spans="1:10" ht="24.75" customHeight="1" x14ac:dyDescent="0.25">
      <c r="A51" s="30" t="s">
        <v>88</v>
      </c>
      <c r="B51" s="30" t="s">
        <v>181</v>
      </c>
      <c r="C51" s="30" t="s">
        <v>183</v>
      </c>
      <c r="D51" s="35" t="s">
        <v>97</v>
      </c>
      <c r="E51" s="35" t="s">
        <v>97</v>
      </c>
      <c r="F51" s="35" t="s">
        <v>110</v>
      </c>
      <c r="G51" s="35" t="s">
        <v>92</v>
      </c>
      <c r="H51" s="35" t="s">
        <v>92</v>
      </c>
      <c r="I51" s="35" t="s">
        <v>107</v>
      </c>
      <c r="J51" s="35"/>
    </row>
    <row r="52" spans="1:10" ht="24.75" customHeight="1" x14ac:dyDescent="0.25">
      <c r="A52" s="30" t="s">
        <v>88</v>
      </c>
      <c r="B52" s="30" t="s">
        <v>181</v>
      </c>
      <c r="C52" s="30" t="s">
        <v>184</v>
      </c>
      <c r="D52" s="35" t="s">
        <v>92</v>
      </c>
      <c r="E52" s="35" t="s">
        <v>122</v>
      </c>
      <c r="F52" s="35" t="s">
        <v>102</v>
      </c>
      <c r="G52" s="35" t="s">
        <v>117</v>
      </c>
      <c r="H52" s="35" t="s">
        <v>115</v>
      </c>
      <c r="I52" s="35" t="s">
        <v>116</v>
      </c>
      <c r="J52" s="35"/>
    </row>
    <row r="53" spans="1:10" ht="24.75" customHeight="1" x14ac:dyDescent="0.25">
      <c r="A53" s="30" t="s">
        <v>88</v>
      </c>
      <c r="B53" s="30" t="s">
        <v>181</v>
      </c>
      <c r="C53" s="30" t="s">
        <v>185</v>
      </c>
      <c r="D53" s="35" t="s">
        <v>118</v>
      </c>
      <c r="E53" s="35" t="s">
        <v>110</v>
      </c>
      <c r="F53" s="35" t="s">
        <v>111</v>
      </c>
      <c r="G53" s="35" t="s">
        <v>111</v>
      </c>
      <c r="H53" s="35" t="s">
        <v>123</v>
      </c>
      <c r="I53" s="35" t="s">
        <v>105</v>
      </c>
      <c r="J53" s="35"/>
    </row>
    <row r="54" spans="1:10" ht="24.75" customHeight="1" x14ac:dyDescent="0.25">
      <c r="A54" s="30" t="s">
        <v>88</v>
      </c>
      <c r="B54" s="30" t="s">
        <v>181</v>
      </c>
      <c r="C54" s="30" t="s">
        <v>186</v>
      </c>
      <c r="D54" s="35" t="s">
        <v>105</v>
      </c>
      <c r="E54" s="35" t="s">
        <v>120</v>
      </c>
      <c r="F54" s="35" t="s">
        <v>125</v>
      </c>
      <c r="G54" s="35" t="s">
        <v>122</v>
      </c>
      <c r="H54" s="35" t="s">
        <v>102</v>
      </c>
      <c r="I54" s="35" t="s">
        <v>102</v>
      </c>
      <c r="J54" s="35"/>
    </row>
    <row r="55" spans="1:10" ht="15" customHeight="1" x14ac:dyDescent="0.25">
      <c r="A55" s="30" t="s">
        <v>88</v>
      </c>
      <c r="B55" s="30" t="s">
        <v>187</v>
      </c>
      <c r="C55" s="30" t="s">
        <v>182</v>
      </c>
      <c r="D55" s="35"/>
      <c r="E55" s="35"/>
      <c r="F55" s="35"/>
      <c r="G55" s="35"/>
      <c r="H55" s="35"/>
      <c r="I55" s="35"/>
      <c r="J55" s="35"/>
    </row>
    <row r="56" spans="1:10" ht="24.75" customHeight="1" x14ac:dyDescent="0.25">
      <c r="A56" s="30" t="s">
        <v>88</v>
      </c>
      <c r="B56" s="30" t="s">
        <v>187</v>
      </c>
      <c r="C56" s="30" t="s">
        <v>183</v>
      </c>
      <c r="D56" s="35"/>
      <c r="E56" s="35"/>
      <c r="F56" s="35"/>
      <c r="G56" s="35"/>
      <c r="H56" s="35"/>
      <c r="I56" s="35"/>
      <c r="J56" s="35"/>
    </row>
    <row r="57" spans="1:10" ht="15" customHeight="1" x14ac:dyDescent="0.25">
      <c r="A57" s="30" t="s">
        <v>88</v>
      </c>
      <c r="B57" s="30" t="s">
        <v>187</v>
      </c>
      <c r="C57" s="30" t="s">
        <v>184</v>
      </c>
      <c r="D57" s="35"/>
      <c r="E57" s="35"/>
      <c r="F57" s="35"/>
      <c r="G57" s="35"/>
      <c r="H57" s="35"/>
      <c r="I57" s="35"/>
      <c r="J57" s="35"/>
    </row>
    <row r="58" spans="1:10" ht="24.75" customHeight="1" x14ac:dyDescent="0.25">
      <c r="A58" s="36" t="s">
        <v>89</v>
      </c>
      <c r="B58" s="36" t="s">
        <v>181</v>
      </c>
      <c r="C58" s="36" t="s">
        <v>182</v>
      </c>
      <c r="D58" s="37" t="s">
        <v>122</v>
      </c>
      <c r="E58" s="37" t="s">
        <v>97</v>
      </c>
      <c r="F58" s="37" t="s">
        <v>118</v>
      </c>
      <c r="G58" s="37" t="s">
        <v>118</v>
      </c>
      <c r="H58" s="37" t="s">
        <v>114</v>
      </c>
      <c r="I58" s="37" t="s">
        <v>92</v>
      </c>
      <c r="J58" s="37"/>
    </row>
    <row r="59" spans="1:10" ht="24.75" customHeight="1" x14ac:dyDescent="0.25">
      <c r="A59" s="36" t="s">
        <v>89</v>
      </c>
      <c r="B59" s="36" t="s">
        <v>181</v>
      </c>
      <c r="C59" s="36" t="s">
        <v>183</v>
      </c>
      <c r="D59" s="37" t="s">
        <v>97</v>
      </c>
      <c r="E59" s="37" t="s">
        <v>97</v>
      </c>
      <c r="F59" s="37" t="s">
        <v>102</v>
      </c>
      <c r="G59" s="37" t="s">
        <v>92</v>
      </c>
      <c r="H59" s="37" t="s">
        <v>117</v>
      </c>
      <c r="I59" s="37" t="s">
        <v>122</v>
      </c>
      <c r="J59" s="37"/>
    </row>
    <row r="60" spans="1:10" ht="15" customHeight="1" x14ac:dyDescent="0.25">
      <c r="A60" s="36" t="s">
        <v>89</v>
      </c>
      <c r="B60" s="36" t="s">
        <v>181</v>
      </c>
      <c r="C60" s="36" t="s">
        <v>184</v>
      </c>
      <c r="D60" s="37" t="s">
        <v>92</v>
      </c>
      <c r="E60" s="37" t="s">
        <v>125</v>
      </c>
      <c r="F60" s="37" t="s">
        <v>116</v>
      </c>
      <c r="G60" s="37" t="s">
        <v>102</v>
      </c>
      <c r="H60" s="37" t="s">
        <v>110</v>
      </c>
      <c r="I60" s="37" t="s">
        <v>107</v>
      </c>
      <c r="J60" s="37"/>
    </row>
    <row r="61" spans="1:10" ht="15" customHeight="1" x14ac:dyDescent="0.25">
      <c r="A61" s="36" t="s">
        <v>89</v>
      </c>
      <c r="B61" s="36" t="s">
        <v>181</v>
      </c>
      <c r="C61" s="36" t="s">
        <v>185</v>
      </c>
      <c r="D61" s="37" t="s">
        <v>111</v>
      </c>
      <c r="E61" s="37" t="s">
        <v>122</v>
      </c>
      <c r="F61" s="37" t="s">
        <v>115</v>
      </c>
      <c r="G61" s="37" t="s">
        <v>123</v>
      </c>
      <c r="H61" s="37" t="s">
        <v>105</v>
      </c>
      <c r="I61" s="37" t="s">
        <v>97</v>
      </c>
      <c r="J61" s="37"/>
    </row>
    <row r="62" spans="1:10" ht="24.75" customHeight="1" x14ac:dyDescent="0.25">
      <c r="A62" s="36" t="s">
        <v>89</v>
      </c>
      <c r="B62" s="36" t="s">
        <v>181</v>
      </c>
      <c r="C62" s="36" t="s">
        <v>186</v>
      </c>
      <c r="D62" s="37" t="s">
        <v>105</v>
      </c>
      <c r="E62" s="37" t="s">
        <v>92</v>
      </c>
      <c r="F62" s="37" t="s">
        <v>120</v>
      </c>
      <c r="G62" s="37" t="s">
        <v>111</v>
      </c>
      <c r="H62" s="37" t="s">
        <v>102</v>
      </c>
      <c r="I62" s="37"/>
      <c r="J62" s="37"/>
    </row>
    <row r="63" spans="1:10" ht="24.75" customHeight="1" x14ac:dyDescent="0.25">
      <c r="A63" s="36" t="s">
        <v>89</v>
      </c>
      <c r="B63" s="36" t="s">
        <v>187</v>
      </c>
      <c r="C63" s="36" t="s">
        <v>182</v>
      </c>
      <c r="D63" s="37"/>
      <c r="E63" s="37"/>
      <c r="F63" s="37"/>
      <c r="G63" s="37"/>
      <c r="H63" s="37"/>
      <c r="I63" s="37"/>
      <c r="J63" s="37"/>
    </row>
    <row r="64" spans="1:10" ht="24.75" customHeight="1" x14ac:dyDescent="0.25">
      <c r="A64" s="36" t="s">
        <v>89</v>
      </c>
      <c r="B64" s="36" t="s">
        <v>187</v>
      </c>
      <c r="C64" s="36" t="s">
        <v>183</v>
      </c>
      <c r="D64" s="37"/>
      <c r="E64" s="37"/>
      <c r="F64" s="37"/>
      <c r="G64" s="37"/>
      <c r="H64" s="37"/>
      <c r="I64" s="37"/>
      <c r="J64" s="37"/>
    </row>
    <row r="65" spans="1:10" ht="15" customHeight="1" x14ac:dyDescent="0.25">
      <c r="A65" s="36" t="s">
        <v>89</v>
      </c>
      <c r="B65" s="36" t="s">
        <v>187</v>
      </c>
      <c r="C65" s="36" t="s">
        <v>184</v>
      </c>
      <c r="D65" s="37"/>
      <c r="E65" s="37"/>
      <c r="F65" s="37"/>
      <c r="G65" s="37"/>
      <c r="H65" s="37"/>
      <c r="I65" s="37"/>
      <c r="J65" s="37"/>
    </row>
    <row r="66" spans="1:10" ht="24.75" customHeight="1" x14ac:dyDescent="0.25">
      <c r="A66" s="30" t="s">
        <v>90</v>
      </c>
      <c r="B66" s="30" t="s">
        <v>181</v>
      </c>
      <c r="C66" s="30" t="s">
        <v>182</v>
      </c>
      <c r="D66" s="35" t="s">
        <v>122</v>
      </c>
      <c r="E66" s="35" t="s">
        <v>92</v>
      </c>
      <c r="F66" s="35" t="s">
        <v>102</v>
      </c>
      <c r="G66" s="35" t="s">
        <v>102</v>
      </c>
      <c r="H66" s="35" t="s">
        <v>125</v>
      </c>
      <c r="I66" s="35" t="s">
        <v>120</v>
      </c>
      <c r="J66" s="35"/>
    </row>
    <row r="67" spans="1:10" ht="24.75" customHeight="1" x14ac:dyDescent="0.25">
      <c r="A67" s="30" t="s">
        <v>90</v>
      </c>
      <c r="B67" s="30" t="s">
        <v>181</v>
      </c>
      <c r="C67" s="30" t="s">
        <v>183</v>
      </c>
      <c r="D67" s="35" t="s">
        <v>92</v>
      </c>
      <c r="E67" s="35" t="s">
        <v>118</v>
      </c>
      <c r="F67" s="35" t="s">
        <v>111</v>
      </c>
      <c r="G67" s="35" t="s">
        <v>118</v>
      </c>
      <c r="H67" s="35" t="s">
        <v>123</v>
      </c>
      <c r="I67" s="35" t="s">
        <v>114</v>
      </c>
      <c r="J67" s="35"/>
    </row>
    <row r="68" spans="1:10" ht="15" customHeight="1" x14ac:dyDescent="0.25">
      <c r="A68" s="30" t="s">
        <v>90</v>
      </c>
      <c r="B68" s="30" t="s">
        <v>181</v>
      </c>
      <c r="C68" s="30" t="s">
        <v>184</v>
      </c>
      <c r="D68" s="35" t="s">
        <v>97</v>
      </c>
      <c r="E68" s="35" t="s">
        <v>97</v>
      </c>
      <c r="F68" s="35" t="s">
        <v>110</v>
      </c>
      <c r="G68" s="35" t="s">
        <v>111</v>
      </c>
      <c r="H68" s="35" t="s">
        <v>105</v>
      </c>
      <c r="I68" s="35" t="s">
        <v>97</v>
      </c>
      <c r="J68" s="35"/>
    </row>
    <row r="69" spans="1:10" ht="15" customHeight="1" x14ac:dyDescent="0.25">
      <c r="A69" s="30" t="s">
        <v>90</v>
      </c>
      <c r="B69" s="30" t="s">
        <v>181</v>
      </c>
      <c r="C69" s="30" t="s">
        <v>185</v>
      </c>
      <c r="D69" s="35" t="s">
        <v>97</v>
      </c>
      <c r="E69" s="35" t="s">
        <v>117</v>
      </c>
      <c r="F69" s="35" t="s">
        <v>105</v>
      </c>
      <c r="G69" s="35" t="s">
        <v>122</v>
      </c>
      <c r="H69" s="35" t="s">
        <v>92</v>
      </c>
      <c r="I69" s="35" t="s">
        <v>122</v>
      </c>
      <c r="J69" s="35"/>
    </row>
    <row r="70" spans="1:10" ht="24.75" customHeight="1" x14ac:dyDescent="0.25">
      <c r="A70" s="30" t="s">
        <v>90</v>
      </c>
      <c r="B70" s="30" t="s">
        <v>181</v>
      </c>
      <c r="C70" s="30" t="s">
        <v>186</v>
      </c>
      <c r="D70" s="35" t="s">
        <v>102</v>
      </c>
      <c r="E70" s="35" t="s">
        <v>116</v>
      </c>
      <c r="F70" s="35" t="s">
        <v>107</v>
      </c>
      <c r="G70" s="35" t="s">
        <v>92</v>
      </c>
      <c r="H70" s="35" t="s">
        <v>115</v>
      </c>
      <c r="I70" s="35"/>
      <c r="J70" s="35"/>
    </row>
    <row r="71" spans="1:10" ht="24.75" customHeight="1" x14ac:dyDescent="0.25">
      <c r="A71" s="30" t="s">
        <v>90</v>
      </c>
      <c r="B71" s="30" t="s">
        <v>187</v>
      </c>
      <c r="C71" s="30" t="s">
        <v>182</v>
      </c>
      <c r="D71" s="35"/>
      <c r="E71" s="35"/>
      <c r="F71" s="35"/>
      <c r="G71" s="35"/>
      <c r="H71" s="35"/>
      <c r="I71" s="35"/>
      <c r="J71" s="35"/>
    </row>
    <row r="72" spans="1:10" ht="15" customHeight="1" x14ac:dyDescent="0.25">
      <c r="A72" s="30" t="s">
        <v>90</v>
      </c>
      <c r="B72" s="30" t="s">
        <v>187</v>
      </c>
      <c r="C72" s="30" t="s">
        <v>183</v>
      </c>
      <c r="D72" s="35"/>
      <c r="E72" s="35"/>
      <c r="F72" s="35"/>
      <c r="G72" s="35"/>
      <c r="H72" s="35"/>
      <c r="I72" s="35"/>
      <c r="J72" s="35"/>
    </row>
    <row r="73" spans="1:10" ht="24.75" customHeight="1" x14ac:dyDescent="0.25">
      <c r="A73" s="30" t="s">
        <v>90</v>
      </c>
      <c r="B73" s="30" t="s">
        <v>187</v>
      </c>
      <c r="C73" s="30" t="s">
        <v>184</v>
      </c>
      <c r="D73" s="35"/>
      <c r="E73" s="35"/>
      <c r="F73" s="35"/>
      <c r="G73" s="35"/>
      <c r="H73" s="35"/>
      <c r="I73" s="35"/>
      <c r="J73" s="35"/>
    </row>
    <row r="74" spans="1:10" ht="15" customHeight="1" x14ac:dyDescent="0.25"/>
    <row r="75" spans="1:10" ht="15" customHeight="1" x14ac:dyDescent="0.25"/>
    <row r="76" spans="1:10" ht="15" customHeight="1" x14ac:dyDescent="0.25"/>
    <row r="77" spans="1:10" ht="15" customHeight="1" x14ac:dyDescent="0.25"/>
    <row r="78" spans="1:10" ht="15" customHeight="1" x14ac:dyDescent="0.25"/>
    <row r="79" spans="1:10" ht="15" customHeight="1" x14ac:dyDescent="0.25"/>
    <row r="80" spans="1:1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</sheetData>
  <dataValidations count="1">
    <dataValidation type="list" allowBlank="1" sqref="D2:J73" xr:uid="{00000000-0002-0000-0600-000000000000}">
      <formula1>DS_Mon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90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/>
    </sheetView>
  </sheetViews>
  <sheetFormatPr defaultColWidth="8.7109375" defaultRowHeight="15" x14ac:dyDescent="0.25"/>
  <cols>
    <col min="1" max="1" width="9" customWidth="1"/>
    <col min="2" max="3" width="6" customWidth="1"/>
    <col min="4" max="10" width="22" customWidth="1"/>
  </cols>
  <sheetData>
    <row r="1" spans="1:10" ht="24.75" customHeight="1" x14ac:dyDescent="0.25">
      <c r="A1" s="34" t="s">
        <v>171</v>
      </c>
      <c r="B1" s="34" t="s">
        <v>172</v>
      </c>
      <c r="C1" s="34" t="s">
        <v>173</v>
      </c>
      <c r="D1" s="34" t="s">
        <v>174</v>
      </c>
      <c r="E1" s="34" t="s">
        <v>175</v>
      </c>
      <c r="F1" s="34" t="s">
        <v>176</v>
      </c>
      <c r="G1" s="34" t="s">
        <v>177</v>
      </c>
      <c r="H1" s="34" t="s">
        <v>178</v>
      </c>
      <c r="I1" s="34" t="s">
        <v>179</v>
      </c>
      <c r="J1" s="34" t="s">
        <v>180</v>
      </c>
    </row>
    <row r="2" spans="1:10" ht="27.75" customHeight="1" x14ac:dyDescent="0.25">
      <c r="A2" s="30" t="str">
        <f>TKB_Nhap!A2</f>
        <v>6A</v>
      </c>
      <c r="B2" s="30" t="str">
        <f>TKB_Nhap!B2</f>
        <v>S</v>
      </c>
      <c r="C2" s="30" t="str">
        <f>TKB_Nhap!C2</f>
        <v>1</v>
      </c>
      <c r="D2" s="26" t="str">
        <f>IF(TKB_Nhap!D2="","",TKB_Nhap!D2&amp;CHAR(10)&amp;IF(T(INDEX(PhanCong!$B$3:$J$18,MATCH(TKB_Nhap!D2,PhanCong!$A$3:$A$18,0),MATCH($A2,PhanCong!$B$2:$J$2,0)))="","(chưa PC GV)","GV: "&amp;INDEX(PhanCong!$B$3:$J$18,MATCH(TKB_Nhap!D2,PhanCong!$A$3:$A$18,0),MATCH($A2,PhanCong!$B$2:$J$2,0))))</f>
        <v>Hoạt động trải nghiệm, hướng nghiệp
GV: Lệ</v>
      </c>
      <c r="E2" s="26" t="str">
        <f>IF(TKB_Nhap!E2="","",TKB_Nhap!E2&amp;CHAR(10)&amp;IF(T(INDEX(PhanCong!$B$3:$J$18,MATCH(TKB_Nhap!E2,PhanCong!$A$3:$A$18,0),MATCH($A2,PhanCong!$B$2:$J$2,0)))="","(chưa PC GV)","GV: "&amp;INDEX(PhanCong!$B$3:$J$18,MATCH(TKB_Nhap!E2,PhanCong!$A$3:$A$18,0),MATCH($A2,PhanCong!$B$2:$J$2,0))))</f>
        <v>Toán học
GV: Lệ</v>
      </c>
      <c r="F2" s="26" t="str">
        <f>IF(TKB_Nhap!F2="","",TKB_Nhap!F2&amp;CHAR(10)&amp;IF(T(INDEX(PhanCong!$B$3:$J$18,MATCH(TKB_Nhap!F2,PhanCong!$A$3:$A$18,0),MATCH($A2,PhanCong!$B$2:$J$2,0)))="","(chưa PC GV)","GV: "&amp;INDEX(PhanCong!$B$3:$J$18,MATCH(TKB_Nhap!F2,PhanCong!$A$3:$A$18,0),MATCH($A2,PhanCong!$B$2:$J$2,0))))</f>
        <v>Khoa học tự nhiên (Sinh học)
GV: Sơn</v>
      </c>
      <c r="G2" s="26" t="str">
        <f>IF(TKB_Nhap!G2="","",TKB_Nhap!G2&amp;CHAR(10)&amp;IF(T(INDEX(PhanCong!$B$3:$J$18,MATCH(TKB_Nhap!G2,PhanCong!$A$3:$A$18,0),MATCH($A2,PhanCong!$B$2:$J$2,0)))="","(chưa PC GV)","GV: "&amp;INDEX(PhanCong!$B$3:$J$18,MATCH(TKB_Nhap!G2,PhanCong!$A$3:$A$18,0),MATCH($A2,PhanCong!$B$2:$J$2,0))))</f>
        <v>Nội dung giáo dục của địa phương
GV: Lan</v>
      </c>
      <c r="H2" s="26" t="str">
        <f>IF(TKB_Nhap!H2="","",TKB_Nhap!H2&amp;CHAR(10)&amp;IF(T(INDEX(PhanCong!$B$3:$J$18,MATCH(TKB_Nhap!H2,PhanCong!$A$3:$A$18,0),MATCH($A2,PhanCong!$B$2:$J$2,0)))="","(chưa PC GV)","GV: "&amp;INDEX(PhanCong!$B$3:$J$18,MATCH(TKB_Nhap!H2,PhanCong!$A$3:$A$18,0),MATCH($A2,PhanCong!$B$2:$J$2,0))))</f>
        <v>Giáo dục công dân
GV: GVHĐ 1</v>
      </c>
      <c r="I2" s="26" t="str">
        <f>IF(TKB_Nhap!I2="","",TKB_Nhap!I2&amp;CHAR(10)&amp;IF(T(INDEX(PhanCong!$B$3:$J$18,MATCH(TKB_Nhap!I2,PhanCong!$A$3:$A$18,0),MATCH($A2,PhanCong!$B$2:$J$2,0)))="","(chưa PC GV)","GV: "&amp;INDEX(PhanCong!$B$3:$J$18,MATCH(TKB_Nhap!I2,PhanCong!$A$3:$A$18,0),MATCH($A2,PhanCong!$B$2:$J$2,0))))</f>
        <v>Ngoại ngữ
GV: Trung</v>
      </c>
      <c r="J2" s="26" t="str">
        <f>IF(TKB_Nhap!J2="","",TKB_Nhap!J2&amp;CHAR(10)&amp;IF(T(INDEX(PhanCong!$B$3:$J$18,MATCH(TKB_Nhap!J2,PhanCong!$A$3:$A$18,0),MATCH($A2,PhanCong!$B$2:$J$2,0)))="","(chưa PC GV)","GV: "&amp;INDEX(PhanCong!$B$3:$J$18,MATCH(TKB_Nhap!J2,PhanCong!$A$3:$A$18,0),MATCH($A2,PhanCong!$B$2:$J$2,0))))</f>
        <v/>
      </c>
    </row>
    <row r="3" spans="1:10" ht="27.75" customHeight="1" x14ac:dyDescent="0.25">
      <c r="A3" s="30" t="str">
        <f>TKB_Nhap!A3</f>
        <v>6A</v>
      </c>
      <c r="B3" s="30" t="str">
        <f>TKB_Nhap!B3</f>
        <v>S</v>
      </c>
      <c r="C3" s="30" t="str">
        <f>TKB_Nhap!C3</f>
        <v>2</v>
      </c>
      <c r="D3" s="26" t="str">
        <f>IF(TKB_Nhap!D3="","",TKB_Nhap!D3&amp;CHAR(10)&amp;IF(T(INDEX(PhanCong!$B$3:$J$18,MATCH(TKB_Nhap!D3,PhanCong!$A$3:$A$18,0),MATCH($A3,PhanCong!$B$2:$J$2,0)))="","(chưa PC GV)","GV: "&amp;INDEX(PhanCong!$B$3:$J$18,MATCH(TKB_Nhap!D3,PhanCong!$A$3:$A$18,0),MATCH($A3,PhanCong!$B$2:$J$2,0))))</f>
        <v>Ngoại ngữ
GV: Trung</v>
      </c>
      <c r="E3" s="26" t="str">
        <f>IF(TKB_Nhap!E3="","",TKB_Nhap!E3&amp;CHAR(10)&amp;IF(T(INDEX(PhanCong!$B$3:$J$18,MATCH(TKB_Nhap!E3,PhanCong!$A$3:$A$18,0),MATCH($A3,PhanCong!$B$2:$J$2,0)))="","(chưa PC GV)","GV: "&amp;INDEX(PhanCong!$B$3:$J$18,MATCH(TKB_Nhap!E3,PhanCong!$A$3:$A$18,0),MATCH($A3,PhanCong!$B$2:$J$2,0))))</f>
        <v>Hoạt động trải nghiệm, hướng nghiệp
GV: Lệ</v>
      </c>
      <c r="F3" s="26" t="str">
        <f>IF(TKB_Nhap!F3="","",TKB_Nhap!F3&amp;CHAR(10)&amp;IF(T(INDEX(PhanCong!$B$3:$J$18,MATCH(TKB_Nhap!F3,PhanCong!$A$3:$A$18,0),MATCH($A3,PhanCong!$B$2:$J$2,0)))="","(chưa PC GV)","GV: "&amp;INDEX(PhanCong!$B$3:$J$18,MATCH(TKB_Nhap!F3,PhanCong!$A$3:$A$18,0),MATCH($A3,PhanCong!$B$2:$J$2,0))))</f>
        <v>Toán học
GV: Lệ</v>
      </c>
      <c r="G3" s="26" t="str">
        <f>IF(TKB_Nhap!G3="","",TKB_Nhap!G3&amp;CHAR(10)&amp;IF(T(INDEX(PhanCong!$B$3:$J$18,MATCH(TKB_Nhap!G3,PhanCong!$A$3:$A$18,0),MATCH($A3,PhanCong!$B$2:$J$2,0)))="","(chưa PC GV)","GV: "&amp;INDEX(PhanCong!$B$3:$J$18,MATCH(TKB_Nhap!G3,PhanCong!$A$3:$A$18,0),MATCH($A3,PhanCong!$B$2:$J$2,0))))</f>
        <v>Nghệ thuật (Nhạc)
GV: Lan</v>
      </c>
      <c r="H3" s="26" t="str">
        <f>IF(TKB_Nhap!H3="","",TKB_Nhap!H3&amp;CHAR(10)&amp;IF(T(INDEX(PhanCong!$B$3:$J$18,MATCH(TKB_Nhap!H3,PhanCong!$A$3:$A$18,0),MATCH($A3,PhanCong!$B$2:$J$2,0)))="","(chưa PC GV)","GV: "&amp;INDEX(PhanCong!$B$3:$J$18,MATCH(TKB_Nhap!H3,PhanCong!$A$3:$A$18,0),MATCH($A3,PhanCong!$B$2:$J$2,0))))</f>
        <v>Nghệ thuật (Mỹ thuật)
GV: Lan Ly</v>
      </c>
      <c r="I3" s="26" t="str">
        <f>IF(TKB_Nhap!I3="","",TKB_Nhap!I3&amp;CHAR(10)&amp;IF(T(INDEX(PhanCong!$B$3:$J$18,MATCH(TKB_Nhap!I3,PhanCong!$A$3:$A$18,0),MATCH($A3,PhanCong!$B$2:$J$2,0)))="","(chưa PC GV)","GV: "&amp;INDEX(PhanCong!$B$3:$J$18,MATCH(TKB_Nhap!I3,PhanCong!$A$3:$A$18,0),MATCH($A3,PhanCong!$B$2:$J$2,0))))</f>
        <v>Lịch sử và địa lý (Lịch sử)
GV: Nhung</v>
      </c>
      <c r="J3" s="26" t="str">
        <f>IF(TKB_Nhap!J3="","",TKB_Nhap!J3&amp;CHAR(10)&amp;IF(T(INDEX(PhanCong!$B$3:$J$18,MATCH(TKB_Nhap!J3,PhanCong!$A$3:$A$18,0),MATCH($A3,PhanCong!$B$2:$J$2,0)))="","(chưa PC GV)","GV: "&amp;INDEX(PhanCong!$B$3:$J$18,MATCH(TKB_Nhap!J3,PhanCong!$A$3:$A$18,0),MATCH($A3,PhanCong!$B$2:$J$2,0))))</f>
        <v/>
      </c>
    </row>
    <row r="4" spans="1:10" ht="27.75" customHeight="1" x14ac:dyDescent="0.25">
      <c r="A4" s="30" t="str">
        <f>TKB_Nhap!A4</f>
        <v>6A</v>
      </c>
      <c r="B4" s="30" t="str">
        <f>TKB_Nhap!B4</f>
        <v>S</v>
      </c>
      <c r="C4" s="30" t="str">
        <f>TKB_Nhap!C4</f>
        <v>3</v>
      </c>
      <c r="D4" s="26" t="str">
        <f>IF(TKB_Nhap!D4="","",TKB_Nhap!D4&amp;CHAR(10)&amp;IF(T(INDEX(PhanCong!$B$3:$J$18,MATCH(TKB_Nhap!D4,PhanCong!$A$3:$A$18,0),MATCH($A4,PhanCong!$B$2:$J$2,0)))="","(chưa PC GV)","GV: "&amp;INDEX(PhanCong!$B$3:$J$18,MATCH(TKB_Nhap!D4,PhanCong!$A$3:$A$18,0),MATCH($A4,PhanCong!$B$2:$J$2,0))))</f>
        <v>Giáo dục thể chất
GV: Hồng</v>
      </c>
      <c r="E4" s="26" t="str">
        <f>IF(TKB_Nhap!E4="","",TKB_Nhap!E4&amp;CHAR(10)&amp;IF(T(INDEX(PhanCong!$B$3:$J$18,MATCH(TKB_Nhap!E4,PhanCong!$A$3:$A$18,0),MATCH($A4,PhanCong!$B$2:$J$2,0)))="","(chưa PC GV)","GV: "&amp;INDEX(PhanCong!$B$3:$J$18,MATCH(TKB_Nhap!E4,PhanCong!$A$3:$A$18,0),MATCH($A4,PhanCong!$B$2:$J$2,0))))</f>
        <v>Ngữ văn
GV: GVHĐ 1</v>
      </c>
      <c r="F4" s="26" t="str">
        <f>IF(TKB_Nhap!F4="","",TKB_Nhap!F4&amp;CHAR(10)&amp;IF(T(INDEX(PhanCong!$B$3:$J$18,MATCH(TKB_Nhap!F4,PhanCong!$A$3:$A$18,0),MATCH($A4,PhanCong!$B$2:$J$2,0)))="","(chưa PC GV)","GV: "&amp;INDEX(PhanCong!$B$3:$J$18,MATCH(TKB_Nhap!F4,PhanCong!$A$3:$A$18,0),MATCH($A4,PhanCong!$B$2:$J$2,0))))</f>
        <v>Ngữ văn
GV: GVHĐ 1</v>
      </c>
      <c r="G4" s="26" t="str">
        <f>IF(TKB_Nhap!G4="","",TKB_Nhap!G4&amp;CHAR(10)&amp;IF(T(INDEX(PhanCong!$B$3:$J$18,MATCH(TKB_Nhap!G4,PhanCong!$A$3:$A$18,0),MATCH($A4,PhanCong!$B$2:$J$2,0)))="","(chưa PC GV)","GV: "&amp;INDEX(PhanCong!$B$3:$J$18,MATCH(TKB_Nhap!G4,PhanCong!$A$3:$A$18,0),MATCH($A4,PhanCong!$B$2:$J$2,0))))</f>
        <v>Công nghệ
GV: Sơn</v>
      </c>
      <c r="H4" s="26" t="str">
        <f>IF(TKB_Nhap!H4="","",TKB_Nhap!H4&amp;CHAR(10)&amp;IF(T(INDEX(PhanCong!$B$3:$J$18,MATCH(TKB_Nhap!H4,PhanCong!$A$3:$A$18,0),MATCH($A4,PhanCong!$B$2:$J$2,0)))="","(chưa PC GV)","GV: "&amp;INDEX(PhanCong!$B$3:$J$18,MATCH(TKB_Nhap!H4,PhanCong!$A$3:$A$18,0),MATCH($A4,PhanCong!$B$2:$J$2,0))))</f>
        <v>Giáo dục thể chất
GV: Hồng</v>
      </c>
      <c r="I4" s="26" t="str">
        <f>IF(TKB_Nhap!I4="","",TKB_Nhap!I4&amp;CHAR(10)&amp;IF(T(INDEX(PhanCong!$B$3:$J$18,MATCH(TKB_Nhap!I4,PhanCong!$A$3:$A$18,0),MATCH($A4,PhanCong!$B$2:$J$2,0)))="","(chưa PC GV)","GV: "&amp;INDEX(PhanCong!$B$3:$J$18,MATCH(TKB_Nhap!I4,PhanCong!$A$3:$A$18,0),MATCH($A4,PhanCong!$B$2:$J$2,0))))</f>
        <v>Hoạt động trải nghiệm, hướng nghiệp
GV: Lệ</v>
      </c>
      <c r="J4" s="26" t="str">
        <f>IF(TKB_Nhap!J4="","",TKB_Nhap!J4&amp;CHAR(10)&amp;IF(T(INDEX(PhanCong!$B$3:$J$18,MATCH(TKB_Nhap!J4,PhanCong!$A$3:$A$18,0),MATCH($A4,PhanCong!$B$2:$J$2,0)))="","(chưa PC GV)","GV: "&amp;INDEX(PhanCong!$B$3:$J$18,MATCH(TKB_Nhap!J4,PhanCong!$A$3:$A$18,0),MATCH($A4,PhanCong!$B$2:$J$2,0))))</f>
        <v/>
      </c>
    </row>
    <row r="5" spans="1:10" ht="27.75" customHeight="1" x14ac:dyDescent="0.25">
      <c r="A5" s="30" t="str">
        <f>TKB_Nhap!A5</f>
        <v>6A</v>
      </c>
      <c r="B5" s="30" t="str">
        <f>TKB_Nhap!B5</f>
        <v>S</v>
      </c>
      <c r="C5" s="30" t="str">
        <f>TKB_Nhap!C5</f>
        <v>4</v>
      </c>
      <c r="D5" s="26" t="str">
        <f>IF(TKB_Nhap!D5="","",TKB_Nhap!D5&amp;CHAR(10)&amp;IF(T(INDEX(PhanCong!$B$3:$J$18,MATCH(TKB_Nhap!D5,PhanCong!$A$3:$A$18,0),MATCH($A5,PhanCong!$B$2:$J$2,0)))="","(chưa PC GV)","GV: "&amp;INDEX(PhanCong!$B$3:$J$18,MATCH(TKB_Nhap!D5,PhanCong!$A$3:$A$18,0),MATCH($A5,PhanCong!$B$2:$J$2,0))))</f>
        <v>Toán học
GV: Lệ</v>
      </c>
      <c r="E5" s="26" t="str">
        <f>IF(TKB_Nhap!E5="","",TKB_Nhap!E5&amp;CHAR(10)&amp;IF(T(INDEX(PhanCong!$B$3:$J$18,MATCH(TKB_Nhap!E5,PhanCong!$A$3:$A$18,0),MATCH($A5,PhanCong!$B$2:$J$2,0)))="","(chưa PC GV)","GV: "&amp;INDEX(PhanCong!$B$3:$J$18,MATCH(TKB_Nhap!E5,PhanCong!$A$3:$A$18,0),MATCH($A5,PhanCong!$B$2:$J$2,0))))</f>
        <v>Lịch sử và địa lý (Lịch sử)
GV: Nhung</v>
      </c>
      <c r="F5" s="26" t="str">
        <f>IF(TKB_Nhap!F5="","",TKB_Nhap!F5&amp;CHAR(10)&amp;IF(T(INDEX(PhanCong!$B$3:$J$18,MATCH(TKB_Nhap!F5,PhanCong!$A$3:$A$18,0),MATCH($A5,PhanCong!$B$2:$J$2,0)))="","(chưa PC GV)","GV: "&amp;INDEX(PhanCong!$B$3:$J$18,MATCH(TKB_Nhap!F5,PhanCong!$A$3:$A$18,0),MATCH($A5,PhanCong!$B$2:$J$2,0))))</f>
        <v>Ngữ văn
GV: GVHĐ 1</v>
      </c>
      <c r="G5" s="26" t="str">
        <f>IF(TKB_Nhap!G5="","",TKB_Nhap!G5&amp;CHAR(10)&amp;IF(T(INDEX(PhanCong!$B$3:$J$18,MATCH(TKB_Nhap!G5,PhanCong!$A$3:$A$18,0),MATCH($A5,PhanCong!$B$2:$J$2,0)))="","(chưa PC GV)","GV: "&amp;INDEX(PhanCong!$B$3:$J$18,MATCH(TKB_Nhap!G5,PhanCong!$A$3:$A$18,0),MATCH($A5,PhanCong!$B$2:$J$2,0))))</f>
        <v>Khoa học tự nhiên (Vật lý)
GV: Sơn</v>
      </c>
      <c r="H5" s="26" t="str">
        <f>IF(TKB_Nhap!H5="","",TKB_Nhap!H5&amp;CHAR(10)&amp;IF(T(INDEX(PhanCong!$B$3:$J$18,MATCH(TKB_Nhap!H5,PhanCong!$A$3:$A$18,0),MATCH($A5,PhanCong!$B$2:$J$2,0)))="","(chưa PC GV)","GV: "&amp;INDEX(PhanCong!$B$3:$J$18,MATCH(TKB_Nhap!H5,PhanCong!$A$3:$A$18,0),MATCH($A5,PhanCong!$B$2:$J$2,0))))</f>
        <v>Khoa học tự nhiên (Sinh học)
GV: Sơn</v>
      </c>
      <c r="I5" s="26" t="str">
        <f>IF(TKB_Nhap!I5="","",TKB_Nhap!I5&amp;CHAR(10)&amp;IF(T(INDEX(PhanCong!$B$3:$J$18,MATCH(TKB_Nhap!I5,PhanCong!$A$3:$A$18,0),MATCH($A5,PhanCong!$B$2:$J$2,0)))="","(chưa PC GV)","GV: "&amp;INDEX(PhanCong!$B$3:$J$18,MATCH(TKB_Nhap!I5,PhanCong!$A$3:$A$18,0),MATCH($A5,PhanCong!$B$2:$J$2,0))))</f>
        <v>Tin
GV: GVHĐ 1</v>
      </c>
      <c r="J5" s="26" t="str">
        <f>IF(TKB_Nhap!J5="","",TKB_Nhap!J5&amp;CHAR(10)&amp;IF(T(INDEX(PhanCong!$B$3:$J$18,MATCH(TKB_Nhap!J5,PhanCong!$A$3:$A$18,0),MATCH($A5,PhanCong!$B$2:$J$2,0)))="","(chưa PC GV)","GV: "&amp;INDEX(PhanCong!$B$3:$J$18,MATCH(TKB_Nhap!J5,PhanCong!$A$3:$A$18,0),MATCH($A5,PhanCong!$B$2:$J$2,0))))</f>
        <v/>
      </c>
    </row>
    <row r="6" spans="1:10" ht="27.75" customHeight="1" x14ac:dyDescent="0.25">
      <c r="A6" s="30" t="str">
        <f>TKB_Nhap!A6</f>
        <v>6A</v>
      </c>
      <c r="B6" s="30" t="str">
        <f>TKB_Nhap!B6</f>
        <v>S</v>
      </c>
      <c r="C6" s="30" t="str">
        <f>TKB_Nhap!C6</f>
        <v>5</v>
      </c>
      <c r="D6" s="26" t="str">
        <f>IF(TKB_Nhap!D6="","",TKB_Nhap!D6&amp;CHAR(10)&amp;IF(T(INDEX(PhanCong!$B$3:$J$18,MATCH(TKB_Nhap!D6,PhanCong!$A$3:$A$18,0),MATCH($A6,PhanCong!$B$2:$J$2,0)))="","(chưa PC GV)","GV: "&amp;INDEX(PhanCong!$B$3:$J$18,MATCH(TKB_Nhap!D6,PhanCong!$A$3:$A$18,0),MATCH($A6,PhanCong!$B$2:$J$2,0))))</f>
        <v>Khoa học tự nhiên (Hoá học)
GV: Hoà</v>
      </c>
      <c r="E6" s="26" t="str">
        <f>IF(TKB_Nhap!E6="","",TKB_Nhap!E6&amp;CHAR(10)&amp;IF(T(INDEX(PhanCong!$B$3:$J$18,MATCH(TKB_Nhap!E6,PhanCong!$A$3:$A$18,0),MATCH($A6,PhanCong!$B$2:$J$2,0)))="","(chưa PC GV)","GV: "&amp;INDEX(PhanCong!$B$3:$J$18,MATCH(TKB_Nhap!E6,PhanCong!$A$3:$A$18,0),MATCH($A6,PhanCong!$B$2:$J$2,0))))</f>
        <v/>
      </c>
      <c r="F6" s="26" t="str">
        <f>IF(TKB_Nhap!F6="","",TKB_Nhap!F6&amp;CHAR(10)&amp;IF(T(INDEX(PhanCong!$B$3:$J$18,MATCH(TKB_Nhap!F6,PhanCong!$A$3:$A$18,0),MATCH($A6,PhanCong!$B$2:$J$2,0)))="","(chưa PC GV)","GV: "&amp;INDEX(PhanCong!$B$3:$J$18,MATCH(TKB_Nhap!F6,PhanCong!$A$3:$A$18,0),MATCH($A6,PhanCong!$B$2:$J$2,0))))</f>
        <v>Lịch sử và địa lý (Địa lý)
GV: Nhung</v>
      </c>
      <c r="G6" s="26" t="str">
        <f>IF(TKB_Nhap!G6="","",TKB_Nhap!G6&amp;CHAR(10)&amp;IF(T(INDEX(PhanCong!$B$3:$J$18,MATCH(TKB_Nhap!G6,PhanCong!$A$3:$A$18,0),MATCH($A6,PhanCong!$B$2:$J$2,0)))="","(chưa PC GV)","GV: "&amp;INDEX(PhanCong!$B$3:$J$18,MATCH(TKB_Nhap!G6,PhanCong!$A$3:$A$18,0),MATCH($A6,PhanCong!$B$2:$J$2,0))))</f>
        <v>Ngoại ngữ
GV: Trung</v>
      </c>
      <c r="H6" s="26" t="str">
        <f>IF(TKB_Nhap!H6="","",TKB_Nhap!H6&amp;CHAR(10)&amp;IF(T(INDEX(PhanCong!$B$3:$J$18,MATCH(TKB_Nhap!H6,PhanCong!$A$3:$A$18,0),MATCH($A6,PhanCong!$B$2:$J$2,0)))="","(chưa PC GV)","GV: "&amp;INDEX(PhanCong!$B$3:$J$18,MATCH(TKB_Nhap!H6,PhanCong!$A$3:$A$18,0),MATCH($A6,PhanCong!$B$2:$J$2,0))))</f>
        <v>Ngữ văn
GV: GVHĐ 1</v>
      </c>
      <c r="I6" s="26" t="str">
        <f>IF(TKB_Nhap!I6="","",TKB_Nhap!I6&amp;CHAR(10)&amp;IF(T(INDEX(PhanCong!$B$3:$J$18,MATCH(TKB_Nhap!I6,PhanCong!$A$3:$A$18,0),MATCH($A6,PhanCong!$B$2:$J$2,0)))="","(chưa PC GV)","GV: "&amp;INDEX(PhanCong!$B$3:$J$18,MATCH(TKB_Nhap!I6,PhanCong!$A$3:$A$18,0),MATCH($A6,PhanCong!$B$2:$J$2,0))))</f>
        <v>Toán học
GV: Lệ</v>
      </c>
      <c r="J6" s="26" t="str">
        <f>IF(TKB_Nhap!J6="","",TKB_Nhap!J6&amp;CHAR(10)&amp;IF(T(INDEX(PhanCong!$B$3:$J$18,MATCH(TKB_Nhap!J6,PhanCong!$A$3:$A$18,0),MATCH($A6,PhanCong!$B$2:$J$2,0)))="","(chưa PC GV)","GV: "&amp;INDEX(PhanCong!$B$3:$J$18,MATCH(TKB_Nhap!J6,PhanCong!$A$3:$A$18,0),MATCH($A6,PhanCong!$B$2:$J$2,0))))</f>
        <v/>
      </c>
    </row>
    <row r="7" spans="1:10" ht="27.75" customHeight="1" x14ac:dyDescent="0.25">
      <c r="A7" s="30" t="str">
        <f>TKB_Nhap!A7</f>
        <v>6A</v>
      </c>
      <c r="B7" s="30" t="str">
        <f>TKB_Nhap!B7</f>
        <v>C</v>
      </c>
      <c r="C7" s="30" t="str">
        <f>TKB_Nhap!C7</f>
        <v>1</v>
      </c>
      <c r="D7" s="26" t="str">
        <f>IF(TKB_Nhap!D7="","",TKB_Nhap!D7&amp;CHAR(10)&amp;IF(T(INDEX(PhanCong!$B$3:$J$18,MATCH(TKB_Nhap!D7,PhanCong!$A$3:$A$18,0),MATCH($A7,PhanCong!$B$2:$J$2,0)))="","(chưa PC GV)","GV: "&amp;INDEX(PhanCong!$B$3:$J$18,MATCH(TKB_Nhap!D7,PhanCong!$A$3:$A$18,0),MATCH($A7,PhanCong!$B$2:$J$2,0))))</f>
        <v/>
      </c>
      <c r="E7" s="26" t="str">
        <f>IF(TKB_Nhap!E7="","",TKB_Nhap!E7&amp;CHAR(10)&amp;IF(T(INDEX(PhanCong!$B$3:$J$18,MATCH(TKB_Nhap!E7,PhanCong!$A$3:$A$18,0),MATCH($A7,PhanCong!$B$2:$J$2,0)))="","(chưa PC GV)","GV: "&amp;INDEX(PhanCong!$B$3:$J$18,MATCH(TKB_Nhap!E7,PhanCong!$A$3:$A$18,0),MATCH($A7,PhanCong!$B$2:$J$2,0))))</f>
        <v/>
      </c>
      <c r="F7" s="26" t="str">
        <f>IF(TKB_Nhap!F7="","",TKB_Nhap!F7&amp;CHAR(10)&amp;IF(T(INDEX(PhanCong!$B$3:$J$18,MATCH(TKB_Nhap!F7,PhanCong!$A$3:$A$18,0),MATCH($A7,PhanCong!$B$2:$J$2,0)))="","(chưa PC GV)","GV: "&amp;INDEX(PhanCong!$B$3:$J$18,MATCH(TKB_Nhap!F7,PhanCong!$A$3:$A$18,0),MATCH($A7,PhanCong!$B$2:$J$2,0))))</f>
        <v/>
      </c>
      <c r="G7" s="26" t="str">
        <f>IF(TKB_Nhap!G7="","",TKB_Nhap!G7&amp;CHAR(10)&amp;IF(T(INDEX(PhanCong!$B$3:$J$18,MATCH(TKB_Nhap!G7,PhanCong!$A$3:$A$18,0),MATCH($A7,PhanCong!$B$2:$J$2,0)))="","(chưa PC GV)","GV: "&amp;INDEX(PhanCong!$B$3:$J$18,MATCH(TKB_Nhap!G7,PhanCong!$A$3:$A$18,0),MATCH($A7,PhanCong!$B$2:$J$2,0))))</f>
        <v/>
      </c>
      <c r="H7" s="26" t="str">
        <f>IF(TKB_Nhap!H7="","",TKB_Nhap!H7&amp;CHAR(10)&amp;IF(T(INDEX(PhanCong!$B$3:$J$18,MATCH(TKB_Nhap!H7,PhanCong!$A$3:$A$18,0),MATCH($A7,PhanCong!$B$2:$J$2,0)))="","(chưa PC GV)","GV: "&amp;INDEX(PhanCong!$B$3:$J$18,MATCH(TKB_Nhap!H7,PhanCong!$A$3:$A$18,0),MATCH($A7,PhanCong!$B$2:$J$2,0))))</f>
        <v/>
      </c>
      <c r="I7" s="26" t="str">
        <f>IF(TKB_Nhap!I7="","",TKB_Nhap!I7&amp;CHAR(10)&amp;IF(T(INDEX(PhanCong!$B$3:$J$18,MATCH(TKB_Nhap!I7,PhanCong!$A$3:$A$18,0),MATCH($A7,PhanCong!$B$2:$J$2,0)))="","(chưa PC GV)","GV: "&amp;INDEX(PhanCong!$B$3:$J$18,MATCH(TKB_Nhap!I7,PhanCong!$A$3:$A$18,0),MATCH($A7,PhanCong!$B$2:$J$2,0))))</f>
        <v/>
      </c>
      <c r="J7" s="26" t="str">
        <f>IF(TKB_Nhap!J7="","",TKB_Nhap!J7&amp;CHAR(10)&amp;IF(T(INDEX(PhanCong!$B$3:$J$18,MATCH(TKB_Nhap!J7,PhanCong!$A$3:$A$18,0),MATCH($A7,PhanCong!$B$2:$J$2,0)))="","(chưa PC GV)","GV: "&amp;INDEX(PhanCong!$B$3:$J$18,MATCH(TKB_Nhap!J7,PhanCong!$A$3:$A$18,0),MATCH($A7,PhanCong!$B$2:$J$2,0))))</f>
        <v/>
      </c>
    </row>
    <row r="8" spans="1:10" ht="27.75" customHeight="1" x14ac:dyDescent="0.25">
      <c r="A8" s="30" t="str">
        <f>TKB_Nhap!A8</f>
        <v>6A</v>
      </c>
      <c r="B8" s="30" t="str">
        <f>TKB_Nhap!B8</f>
        <v>C</v>
      </c>
      <c r="C8" s="30" t="str">
        <f>TKB_Nhap!C8</f>
        <v>2</v>
      </c>
      <c r="D8" s="26" t="str">
        <f>IF(TKB_Nhap!D8="","",TKB_Nhap!D8&amp;CHAR(10)&amp;IF(T(INDEX(PhanCong!$B$3:$J$18,MATCH(TKB_Nhap!D8,PhanCong!$A$3:$A$18,0),MATCH($A8,PhanCong!$B$2:$J$2,0)))="","(chưa PC GV)","GV: "&amp;INDEX(PhanCong!$B$3:$J$18,MATCH(TKB_Nhap!D8,PhanCong!$A$3:$A$18,0),MATCH($A8,PhanCong!$B$2:$J$2,0))))</f>
        <v/>
      </c>
      <c r="E8" s="26" t="str">
        <f>IF(TKB_Nhap!E8="","",TKB_Nhap!E8&amp;CHAR(10)&amp;IF(T(INDEX(PhanCong!$B$3:$J$18,MATCH(TKB_Nhap!E8,PhanCong!$A$3:$A$18,0),MATCH($A8,PhanCong!$B$2:$J$2,0)))="","(chưa PC GV)","GV: "&amp;INDEX(PhanCong!$B$3:$J$18,MATCH(TKB_Nhap!E8,PhanCong!$A$3:$A$18,0),MATCH($A8,PhanCong!$B$2:$J$2,0))))</f>
        <v/>
      </c>
      <c r="F8" s="26" t="str">
        <f>IF(TKB_Nhap!F8="","",TKB_Nhap!F8&amp;CHAR(10)&amp;IF(T(INDEX(PhanCong!$B$3:$J$18,MATCH(TKB_Nhap!F8,PhanCong!$A$3:$A$18,0),MATCH($A8,PhanCong!$B$2:$J$2,0)))="","(chưa PC GV)","GV: "&amp;INDEX(PhanCong!$B$3:$J$18,MATCH(TKB_Nhap!F8,PhanCong!$A$3:$A$18,0),MATCH($A8,PhanCong!$B$2:$J$2,0))))</f>
        <v/>
      </c>
      <c r="G8" s="26" t="str">
        <f>IF(TKB_Nhap!G8="","",TKB_Nhap!G8&amp;CHAR(10)&amp;IF(T(INDEX(PhanCong!$B$3:$J$18,MATCH(TKB_Nhap!G8,PhanCong!$A$3:$A$18,0),MATCH($A8,PhanCong!$B$2:$J$2,0)))="","(chưa PC GV)","GV: "&amp;INDEX(PhanCong!$B$3:$J$18,MATCH(TKB_Nhap!G8,PhanCong!$A$3:$A$18,0),MATCH($A8,PhanCong!$B$2:$J$2,0))))</f>
        <v/>
      </c>
      <c r="H8" s="26" t="str">
        <f>IF(TKB_Nhap!H8="","",TKB_Nhap!H8&amp;CHAR(10)&amp;IF(T(INDEX(PhanCong!$B$3:$J$18,MATCH(TKB_Nhap!H8,PhanCong!$A$3:$A$18,0),MATCH($A8,PhanCong!$B$2:$J$2,0)))="","(chưa PC GV)","GV: "&amp;INDEX(PhanCong!$B$3:$J$18,MATCH(TKB_Nhap!H8,PhanCong!$A$3:$A$18,0),MATCH($A8,PhanCong!$B$2:$J$2,0))))</f>
        <v/>
      </c>
      <c r="I8" s="26" t="str">
        <f>IF(TKB_Nhap!I8="","",TKB_Nhap!I8&amp;CHAR(10)&amp;IF(T(INDEX(PhanCong!$B$3:$J$18,MATCH(TKB_Nhap!I8,PhanCong!$A$3:$A$18,0),MATCH($A8,PhanCong!$B$2:$J$2,0)))="","(chưa PC GV)","GV: "&amp;INDEX(PhanCong!$B$3:$J$18,MATCH(TKB_Nhap!I8,PhanCong!$A$3:$A$18,0),MATCH($A8,PhanCong!$B$2:$J$2,0))))</f>
        <v/>
      </c>
      <c r="J8" s="26" t="str">
        <f>IF(TKB_Nhap!J8="","",TKB_Nhap!J8&amp;CHAR(10)&amp;IF(T(INDEX(PhanCong!$B$3:$J$18,MATCH(TKB_Nhap!J8,PhanCong!$A$3:$A$18,0),MATCH($A8,PhanCong!$B$2:$J$2,0)))="","(chưa PC GV)","GV: "&amp;INDEX(PhanCong!$B$3:$J$18,MATCH(TKB_Nhap!J8,PhanCong!$A$3:$A$18,0),MATCH($A8,PhanCong!$B$2:$J$2,0))))</f>
        <v/>
      </c>
    </row>
    <row r="9" spans="1:10" ht="27.75" customHeight="1" x14ac:dyDescent="0.25">
      <c r="A9" s="30" t="str">
        <f>TKB_Nhap!A9</f>
        <v>6A</v>
      </c>
      <c r="B9" s="30" t="str">
        <f>TKB_Nhap!B9</f>
        <v>C</v>
      </c>
      <c r="C9" s="30" t="str">
        <f>TKB_Nhap!C9</f>
        <v>3</v>
      </c>
      <c r="D9" s="26" t="str">
        <f>IF(TKB_Nhap!D9="","",TKB_Nhap!D9&amp;CHAR(10)&amp;IF(T(INDEX(PhanCong!$B$3:$J$18,MATCH(TKB_Nhap!D9,PhanCong!$A$3:$A$18,0),MATCH($A9,PhanCong!$B$2:$J$2,0)))="","(chưa PC GV)","GV: "&amp;INDEX(PhanCong!$B$3:$J$18,MATCH(TKB_Nhap!D9,PhanCong!$A$3:$A$18,0),MATCH($A9,PhanCong!$B$2:$J$2,0))))</f>
        <v/>
      </c>
      <c r="E9" s="26" t="str">
        <f>IF(TKB_Nhap!E9="","",TKB_Nhap!E9&amp;CHAR(10)&amp;IF(T(INDEX(PhanCong!$B$3:$J$18,MATCH(TKB_Nhap!E9,PhanCong!$A$3:$A$18,0),MATCH($A9,PhanCong!$B$2:$J$2,0)))="","(chưa PC GV)","GV: "&amp;INDEX(PhanCong!$B$3:$J$18,MATCH(TKB_Nhap!E9,PhanCong!$A$3:$A$18,0),MATCH($A9,PhanCong!$B$2:$J$2,0))))</f>
        <v/>
      </c>
      <c r="F9" s="26" t="str">
        <f>IF(TKB_Nhap!F9="","",TKB_Nhap!F9&amp;CHAR(10)&amp;IF(T(INDEX(PhanCong!$B$3:$J$18,MATCH(TKB_Nhap!F9,PhanCong!$A$3:$A$18,0),MATCH($A9,PhanCong!$B$2:$J$2,0)))="","(chưa PC GV)","GV: "&amp;INDEX(PhanCong!$B$3:$J$18,MATCH(TKB_Nhap!F9,PhanCong!$A$3:$A$18,0),MATCH($A9,PhanCong!$B$2:$J$2,0))))</f>
        <v/>
      </c>
      <c r="G9" s="26" t="str">
        <f>IF(TKB_Nhap!G9="","",TKB_Nhap!G9&amp;CHAR(10)&amp;IF(T(INDEX(PhanCong!$B$3:$J$18,MATCH(TKB_Nhap!G9,PhanCong!$A$3:$A$18,0),MATCH($A9,PhanCong!$B$2:$J$2,0)))="","(chưa PC GV)","GV: "&amp;INDEX(PhanCong!$B$3:$J$18,MATCH(TKB_Nhap!G9,PhanCong!$A$3:$A$18,0),MATCH($A9,PhanCong!$B$2:$J$2,0))))</f>
        <v/>
      </c>
      <c r="H9" s="26" t="str">
        <f>IF(TKB_Nhap!H9="","",TKB_Nhap!H9&amp;CHAR(10)&amp;IF(T(INDEX(PhanCong!$B$3:$J$18,MATCH(TKB_Nhap!H9,PhanCong!$A$3:$A$18,0),MATCH($A9,PhanCong!$B$2:$J$2,0)))="","(chưa PC GV)","GV: "&amp;INDEX(PhanCong!$B$3:$J$18,MATCH(TKB_Nhap!H9,PhanCong!$A$3:$A$18,0),MATCH($A9,PhanCong!$B$2:$J$2,0))))</f>
        <v/>
      </c>
      <c r="I9" s="26" t="str">
        <f>IF(TKB_Nhap!I9="","",TKB_Nhap!I9&amp;CHAR(10)&amp;IF(T(INDEX(PhanCong!$B$3:$J$18,MATCH(TKB_Nhap!I9,PhanCong!$A$3:$A$18,0),MATCH($A9,PhanCong!$B$2:$J$2,0)))="","(chưa PC GV)","GV: "&amp;INDEX(PhanCong!$B$3:$J$18,MATCH(TKB_Nhap!I9,PhanCong!$A$3:$A$18,0),MATCH($A9,PhanCong!$B$2:$J$2,0))))</f>
        <v/>
      </c>
      <c r="J9" s="26" t="str">
        <f>IF(TKB_Nhap!J9="","",TKB_Nhap!J9&amp;CHAR(10)&amp;IF(T(INDEX(PhanCong!$B$3:$J$18,MATCH(TKB_Nhap!J9,PhanCong!$A$3:$A$18,0),MATCH($A9,PhanCong!$B$2:$J$2,0)))="","(chưa PC GV)","GV: "&amp;INDEX(PhanCong!$B$3:$J$18,MATCH(TKB_Nhap!J9,PhanCong!$A$3:$A$18,0),MATCH($A9,PhanCong!$B$2:$J$2,0))))</f>
        <v/>
      </c>
    </row>
    <row r="10" spans="1:10" ht="27.75" customHeight="1" x14ac:dyDescent="0.25">
      <c r="A10" s="36" t="str">
        <f>TKB_Nhap!A10</f>
        <v>6B</v>
      </c>
      <c r="B10" s="36" t="str">
        <f>TKB_Nhap!B10</f>
        <v>S</v>
      </c>
      <c r="C10" s="36" t="str">
        <f>TKB_Nhap!C10</f>
        <v>1</v>
      </c>
      <c r="D10" s="38" t="str">
        <f>IF(TKB_Nhap!D10="","",TKB_Nhap!D10&amp;CHAR(10)&amp;IF(T(INDEX(PhanCong!$B$3:$J$18,MATCH(TKB_Nhap!D10,PhanCong!$A$3:$A$18,0),MATCH($A10,PhanCong!$B$2:$J$2,0)))="","(chưa PC GV)","GV: "&amp;INDEX(PhanCong!$B$3:$J$18,MATCH(TKB_Nhap!D10,PhanCong!$A$3:$A$18,0),MATCH($A10,PhanCong!$B$2:$J$2,0))))</f>
        <v>Hoạt động trải nghiệm, hướng nghiệp
GV: Nhung</v>
      </c>
      <c r="E10" s="38" t="str">
        <f>IF(TKB_Nhap!E10="","",TKB_Nhap!E10&amp;CHAR(10)&amp;IF(T(INDEX(PhanCong!$B$3:$J$18,MATCH(TKB_Nhap!E10,PhanCong!$A$3:$A$18,0),MATCH($A10,PhanCong!$B$2:$J$2,0)))="","(chưa PC GV)","GV: "&amp;INDEX(PhanCong!$B$3:$J$18,MATCH(TKB_Nhap!E10,PhanCong!$A$3:$A$18,0),MATCH($A10,PhanCong!$B$2:$J$2,0))))</f>
        <v>Ngữ văn
GV: GVHĐ 1</v>
      </c>
      <c r="F10" s="38" t="str">
        <f>IF(TKB_Nhap!F10="","",TKB_Nhap!F10&amp;CHAR(10)&amp;IF(T(INDEX(PhanCong!$B$3:$J$18,MATCH(TKB_Nhap!F10,PhanCong!$A$3:$A$18,0),MATCH($A10,PhanCong!$B$2:$J$2,0)))="","(chưa PC GV)","GV: "&amp;INDEX(PhanCong!$B$3:$J$18,MATCH(TKB_Nhap!F10,PhanCong!$A$3:$A$18,0),MATCH($A10,PhanCong!$B$2:$J$2,0))))</f>
        <v>Toán học
GV: Lệ</v>
      </c>
      <c r="G10" s="38" t="str">
        <f>IF(TKB_Nhap!G10="","",TKB_Nhap!G10&amp;CHAR(10)&amp;IF(T(INDEX(PhanCong!$B$3:$J$18,MATCH(TKB_Nhap!G10,PhanCong!$A$3:$A$18,0),MATCH($A10,PhanCong!$B$2:$J$2,0)))="","(chưa PC GV)","GV: "&amp;INDEX(PhanCong!$B$3:$J$18,MATCH(TKB_Nhap!G10,PhanCong!$A$3:$A$18,0),MATCH($A10,PhanCong!$B$2:$J$2,0))))</f>
        <v>Giáo dục công dân
GV: GVHĐ 1</v>
      </c>
      <c r="H10" s="38" t="str">
        <f>IF(TKB_Nhap!H10="","",TKB_Nhap!H10&amp;CHAR(10)&amp;IF(T(INDEX(PhanCong!$B$3:$J$18,MATCH(TKB_Nhap!H10,PhanCong!$A$3:$A$18,0),MATCH($A10,PhanCong!$B$2:$J$2,0)))="","(chưa PC GV)","GV: "&amp;INDEX(PhanCong!$B$3:$J$18,MATCH(TKB_Nhap!H10,PhanCong!$A$3:$A$18,0),MATCH($A10,PhanCong!$B$2:$J$2,0))))</f>
        <v>Hoạt động trải nghiệm, hướng nghiệp
GV: Nhung</v>
      </c>
      <c r="I10" s="38" t="str">
        <f>IF(TKB_Nhap!I10="","",TKB_Nhap!I10&amp;CHAR(10)&amp;IF(T(INDEX(PhanCong!$B$3:$J$18,MATCH(TKB_Nhap!I10,PhanCong!$A$3:$A$18,0),MATCH($A10,PhanCong!$B$2:$J$2,0)))="","(chưa PC GV)","GV: "&amp;INDEX(PhanCong!$B$3:$J$18,MATCH(TKB_Nhap!I10,PhanCong!$A$3:$A$18,0),MATCH($A10,PhanCong!$B$2:$J$2,0))))</f>
        <v>Tin
GV: GVHĐ 1</v>
      </c>
      <c r="J10" s="38" t="str">
        <f>IF(TKB_Nhap!J10="","",TKB_Nhap!J10&amp;CHAR(10)&amp;IF(T(INDEX(PhanCong!$B$3:$J$18,MATCH(TKB_Nhap!J10,PhanCong!$A$3:$A$18,0),MATCH($A10,PhanCong!$B$2:$J$2,0)))="","(chưa PC GV)","GV: "&amp;INDEX(PhanCong!$B$3:$J$18,MATCH(TKB_Nhap!J10,PhanCong!$A$3:$A$18,0),MATCH($A10,PhanCong!$B$2:$J$2,0))))</f>
        <v/>
      </c>
    </row>
    <row r="11" spans="1:10" ht="27.75" customHeight="1" x14ac:dyDescent="0.25">
      <c r="A11" s="36" t="str">
        <f>TKB_Nhap!A11</f>
        <v>6B</v>
      </c>
      <c r="B11" s="36" t="str">
        <f>TKB_Nhap!B11</f>
        <v>S</v>
      </c>
      <c r="C11" s="36" t="str">
        <f>TKB_Nhap!C11</f>
        <v>2</v>
      </c>
      <c r="D11" s="38" t="str">
        <f>IF(TKB_Nhap!D11="","",TKB_Nhap!D11&amp;CHAR(10)&amp;IF(T(INDEX(PhanCong!$B$3:$J$18,MATCH(TKB_Nhap!D11,PhanCong!$A$3:$A$18,0),MATCH($A11,PhanCong!$B$2:$J$2,0)))="","(chưa PC GV)","GV: "&amp;INDEX(PhanCong!$B$3:$J$18,MATCH(TKB_Nhap!D11,PhanCong!$A$3:$A$18,0),MATCH($A11,PhanCong!$B$2:$J$2,0))))</f>
        <v>Lịch sử và địa lý (Lịch sử)
GV: Nhung</v>
      </c>
      <c r="E11" s="38" t="str">
        <f>IF(TKB_Nhap!E11="","",TKB_Nhap!E11&amp;CHAR(10)&amp;IF(T(INDEX(PhanCong!$B$3:$J$18,MATCH(TKB_Nhap!E11,PhanCong!$A$3:$A$18,0),MATCH($A11,PhanCong!$B$2:$J$2,0)))="","(chưa PC GV)","GV: "&amp;INDEX(PhanCong!$B$3:$J$18,MATCH(TKB_Nhap!E11,PhanCong!$A$3:$A$18,0),MATCH($A11,PhanCong!$B$2:$J$2,0))))</f>
        <v>Ngữ văn
GV: GVHĐ 1</v>
      </c>
      <c r="F11" s="38" t="str">
        <f>IF(TKB_Nhap!F11="","",TKB_Nhap!F11&amp;CHAR(10)&amp;IF(T(INDEX(PhanCong!$B$3:$J$18,MATCH(TKB_Nhap!F11,PhanCong!$A$3:$A$18,0),MATCH($A11,PhanCong!$B$2:$J$2,0)))="","(chưa PC GV)","GV: "&amp;INDEX(PhanCong!$B$3:$J$18,MATCH(TKB_Nhap!F11,PhanCong!$A$3:$A$18,0),MATCH($A11,PhanCong!$B$2:$J$2,0))))</f>
        <v>Ngữ văn
GV: GVHĐ 1</v>
      </c>
      <c r="G11" s="38" t="str">
        <f>IF(TKB_Nhap!G11="","",TKB_Nhap!G11&amp;CHAR(10)&amp;IF(T(INDEX(PhanCong!$B$3:$J$18,MATCH(TKB_Nhap!G11,PhanCong!$A$3:$A$18,0),MATCH($A11,PhanCong!$B$2:$J$2,0)))="","(chưa PC GV)","GV: "&amp;INDEX(PhanCong!$B$3:$J$18,MATCH(TKB_Nhap!G11,PhanCong!$A$3:$A$18,0),MATCH($A11,PhanCong!$B$2:$J$2,0))))</f>
        <v>Khoa học tự nhiên (Sinh học)
GV: Sơn</v>
      </c>
      <c r="H11" s="38" t="str">
        <f>IF(TKB_Nhap!H11="","",TKB_Nhap!H11&amp;CHAR(10)&amp;IF(T(INDEX(PhanCong!$B$3:$J$18,MATCH(TKB_Nhap!H11,PhanCong!$A$3:$A$18,0),MATCH($A11,PhanCong!$B$2:$J$2,0)))="","(chưa PC GV)","GV: "&amp;INDEX(PhanCong!$B$3:$J$18,MATCH(TKB_Nhap!H11,PhanCong!$A$3:$A$18,0),MATCH($A11,PhanCong!$B$2:$J$2,0))))</f>
        <v>Lịch sử và địa lý (Địa lý)
GV: Nhung</v>
      </c>
      <c r="I11" s="38" t="str">
        <f>IF(TKB_Nhap!I11="","",TKB_Nhap!I11&amp;CHAR(10)&amp;IF(T(INDEX(PhanCong!$B$3:$J$18,MATCH(TKB_Nhap!I11,PhanCong!$A$3:$A$18,0),MATCH($A11,PhanCong!$B$2:$J$2,0)))="","(chưa PC GV)","GV: "&amp;INDEX(PhanCong!$B$3:$J$18,MATCH(TKB_Nhap!I11,PhanCong!$A$3:$A$18,0),MATCH($A11,PhanCong!$B$2:$J$2,0))))</f>
        <v>Công nghệ
GV: Sơn</v>
      </c>
      <c r="J11" s="38" t="str">
        <f>IF(TKB_Nhap!J11="","",TKB_Nhap!J11&amp;CHAR(10)&amp;IF(T(INDEX(PhanCong!$B$3:$J$18,MATCH(TKB_Nhap!J11,PhanCong!$A$3:$A$18,0),MATCH($A11,PhanCong!$B$2:$J$2,0)))="","(chưa PC GV)","GV: "&amp;INDEX(PhanCong!$B$3:$J$18,MATCH(TKB_Nhap!J11,PhanCong!$A$3:$A$18,0),MATCH($A11,PhanCong!$B$2:$J$2,0))))</f>
        <v/>
      </c>
    </row>
    <row r="12" spans="1:10" ht="27.75" customHeight="1" x14ac:dyDescent="0.25">
      <c r="A12" s="36" t="str">
        <f>TKB_Nhap!A12</f>
        <v>6B</v>
      </c>
      <c r="B12" s="36" t="str">
        <f>TKB_Nhap!B12</f>
        <v>S</v>
      </c>
      <c r="C12" s="36" t="str">
        <f>TKB_Nhap!C12</f>
        <v>3</v>
      </c>
      <c r="D12" s="38" t="str">
        <f>IF(TKB_Nhap!D12="","",TKB_Nhap!D12&amp;CHAR(10)&amp;IF(T(INDEX(PhanCong!$B$3:$J$18,MATCH(TKB_Nhap!D12,PhanCong!$A$3:$A$18,0),MATCH($A12,PhanCong!$B$2:$J$2,0)))="","(chưa PC GV)","GV: "&amp;INDEX(PhanCong!$B$3:$J$18,MATCH(TKB_Nhap!D12,PhanCong!$A$3:$A$18,0),MATCH($A12,PhanCong!$B$2:$J$2,0))))</f>
        <v>Toán học
GV: Lệ</v>
      </c>
      <c r="E12" s="38" t="str">
        <f>IF(TKB_Nhap!E12="","",TKB_Nhap!E12&amp;CHAR(10)&amp;IF(T(INDEX(PhanCong!$B$3:$J$18,MATCH(TKB_Nhap!E12,PhanCong!$A$3:$A$18,0),MATCH($A12,PhanCong!$B$2:$J$2,0)))="","(chưa PC GV)","GV: "&amp;INDEX(PhanCong!$B$3:$J$18,MATCH(TKB_Nhap!E12,PhanCong!$A$3:$A$18,0),MATCH($A12,PhanCong!$B$2:$J$2,0))))</f>
        <v>Toán học
GV: Lệ</v>
      </c>
      <c r="F12" s="38" t="str">
        <f>IF(TKB_Nhap!F12="","",TKB_Nhap!F12&amp;CHAR(10)&amp;IF(T(INDEX(PhanCong!$B$3:$J$18,MATCH(TKB_Nhap!F12,PhanCong!$A$3:$A$18,0),MATCH($A12,PhanCong!$B$2:$J$2,0)))="","(chưa PC GV)","GV: "&amp;INDEX(PhanCong!$B$3:$J$18,MATCH(TKB_Nhap!F12,PhanCong!$A$3:$A$18,0),MATCH($A12,PhanCong!$B$2:$J$2,0))))</f>
        <v>Giáo dục thể chất
GV: Hồng</v>
      </c>
      <c r="G12" s="38" t="str">
        <f>IF(TKB_Nhap!G12="","",TKB_Nhap!G12&amp;CHAR(10)&amp;IF(T(INDEX(PhanCong!$B$3:$J$18,MATCH(TKB_Nhap!G12,PhanCong!$A$3:$A$18,0),MATCH($A12,PhanCong!$B$2:$J$2,0)))="","(chưa PC GV)","GV: "&amp;INDEX(PhanCong!$B$3:$J$18,MATCH(TKB_Nhap!G12,PhanCong!$A$3:$A$18,0),MATCH($A12,PhanCong!$B$2:$J$2,0))))</f>
        <v>Ngoại ngữ
GV: Trung</v>
      </c>
      <c r="H12" s="38" t="str">
        <f>IF(TKB_Nhap!H12="","",TKB_Nhap!H12&amp;CHAR(10)&amp;IF(T(INDEX(PhanCong!$B$3:$J$18,MATCH(TKB_Nhap!H12,PhanCong!$A$3:$A$18,0),MATCH($A12,PhanCong!$B$2:$J$2,0)))="","(chưa PC GV)","GV: "&amp;INDEX(PhanCong!$B$3:$J$18,MATCH(TKB_Nhap!H12,PhanCong!$A$3:$A$18,0),MATCH($A12,PhanCong!$B$2:$J$2,0))))</f>
        <v>Ngữ văn
GV: GVHĐ 1</v>
      </c>
      <c r="I12" s="38" t="str">
        <f>IF(TKB_Nhap!I12="","",TKB_Nhap!I12&amp;CHAR(10)&amp;IF(T(INDEX(PhanCong!$B$3:$J$18,MATCH(TKB_Nhap!I12,PhanCong!$A$3:$A$18,0),MATCH($A12,PhanCong!$B$2:$J$2,0)))="","(chưa PC GV)","GV: "&amp;INDEX(PhanCong!$B$3:$J$18,MATCH(TKB_Nhap!I12,PhanCong!$A$3:$A$18,0),MATCH($A12,PhanCong!$B$2:$J$2,0))))</f>
        <v>Ngoại ngữ
GV: Trung</v>
      </c>
      <c r="J12" s="38" t="str">
        <f>IF(TKB_Nhap!J12="","",TKB_Nhap!J12&amp;CHAR(10)&amp;IF(T(INDEX(PhanCong!$B$3:$J$18,MATCH(TKB_Nhap!J12,PhanCong!$A$3:$A$18,0),MATCH($A12,PhanCong!$B$2:$J$2,0)))="","(chưa PC GV)","GV: "&amp;INDEX(PhanCong!$B$3:$J$18,MATCH(TKB_Nhap!J12,PhanCong!$A$3:$A$18,0),MATCH($A12,PhanCong!$B$2:$J$2,0))))</f>
        <v/>
      </c>
    </row>
    <row r="13" spans="1:10" ht="27.75" customHeight="1" x14ac:dyDescent="0.25">
      <c r="A13" s="36" t="str">
        <f>TKB_Nhap!A13</f>
        <v>6B</v>
      </c>
      <c r="B13" s="36" t="str">
        <f>TKB_Nhap!B13</f>
        <v>S</v>
      </c>
      <c r="C13" s="36" t="str">
        <f>TKB_Nhap!C13</f>
        <v>4</v>
      </c>
      <c r="D13" s="38" t="str">
        <f>IF(TKB_Nhap!D13="","",TKB_Nhap!D13&amp;CHAR(10)&amp;IF(T(INDEX(PhanCong!$B$3:$J$18,MATCH(TKB_Nhap!D13,PhanCong!$A$3:$A$18,0),MATCH($A13,PhanCong!$B$2:$J$2,0)))="","(chưa PC GV)","GV: "&amp;INDEX(PhanCong!$B$3:$J$18,MATCH(TKB_Nhap!D13,PhanCong!$A$3:$A$18,0),MATCH($A13,PhanCong!$B$2:$J$2,0))))</f>
        <v>Ngoại ngữ
GV: Trung</v>
      </c>
      <c r="E13" s="38" t="str">
        <f>IF(TKB_Nhap!E13="","",TKB_Nhap!E13&amp;CHAR(10)&amp;IF(T(INDEX(PhanCong!$B$3:$J$18,MATCH(TKB_Nhap!E13,PhanCong!$A$3:$A$18,0),MATCH($A13,PhanCong!$B$2:$J$2,0)))="","(chưa PC GV)","GV: "&amp;INDEX(PhanCong!$B$3:$J$18,MATCH(TKB_Nhap!E13,PhanCong!$A$3:$A$18,0),MATCH($A13,PhanCong!$B$2:$J$2,0))))</f>
        <v>Nghệ thuật (Mỹ thuật)
GV: Lan Ly</v>
      </c>
      <c r="F13" s="38" t="str">
        <f>IF(TKB_Nhap!F13="","",TKB_Nhap!F13&amp;CHAR(10)&amp;IF(T(INDEX(PhanCong!$B$3:$J$18,MATCH(TKB_Nhap!F13,PhanCong!$A$3:$A$18,0),MATCH($A13,PhanCong!$B$2:$J$2,0)))="","(chưa PC GV)","GV: "&amp;INDEX(PhanCong!$B$3:$J$18,MATCH(TKB_Nhap!F13,PhanCong!$A$3:$A$18,0),MATCH($A13,PhanCong!$B$2:$J$2,0))))</f>
        <v>Khoa học tự nhiên (Vật lý)
GV: Sơn</v>
      </c>
      <c r="G13" s="38" t="str">
        <f>IF(TKB_Nhap!G13="","",TKB_Nhap!G13&amp;CHAR(10)&amp;IF(T(INDEX(PhanCong!$B$3:$J$18,MATCH(TKB_Nhap!G13,PhanCong!$A$3:$A$18,0),MATCH($A13,PhanCong!$B$2:$J$2,0)))="","(chưa PC GV)","GV: "&amp;INDEX(PhanCong!$B$3:$J$18,MATCH(TKB_Nhap!G13,PhanCong!$A$3:$A$18,0),MATCH($A13,PhanCong!$B$2:$J$2,0))))</f>
        <v>Giáo dục thể chất
GV: Hồng</v>
      </c>
      <c r="H13" s="38" t="str">
        <f>IF(TKB_Nhap!H13="","",TKB_Nhap!H13&amp;CHAR(10)&amp;IF(T(INDEX(PhanCong!$B$3:$J$18,MATCH(TKB_Nhap!H13,PhanCong!$A$3:$A$18,0),MATCH($A13,PhanCong!$B$2:$J$2,0)))="","(chưa PC GV)","GV: "&amp;INDEX(PhanCong!$B$3:$J$18,MATCH(TKB_Nhap!H13,PhanCong!$A$3:$A$18,0),MATCH($A13,PhanCong!$B$2:$J$2,0))))</f>
        <v>Toán học
GV: Lệ</v>
      </c>
      <c r="I13" s="38" t="str">
        <f>IF(TKB_Nhap!I13="","",TKB_Nhap!I13&amp;CHAR(10)&amp;IF(T(INDEX(PhanCong!$B$3:$J$18,MATCH(TKB_Nhap!I13,PhanCong!$A$3:$A$18,0),MATCH($A13,PhanCong!$B$2:$J$2,0)))="","(chưa PC GV)","GV: "&amp;INDEX(PhanCong!$B$3:$J$18,MATCH(TKB_Nhap!I13,PhanCong!$A$3:$A$18,0),MATCH($A13,PhanCong!$B$2:$J$2,0))))</f>
        <v>Lịch sử và địa lý (Lịch sử)
GV: Nhung</v>
      </c>
      <c r="J13" s="38" t="str">
        <f>IF(TKB_Nhap!J13="","",TKB_Nhap!J13&amp;CHAR(10)&amp;IF(T(INDEX(PhanCong!$B$3:$J$18,MATCH(TKB_Nhap!J13,PhanCong!$A$3:$A$18,0),MATCH($A13,PhanCong!$B$2:$J$2,0)))="","(chưa PC GV)","GV: "&amp;INDEX(PhanCong!$B$3:$J$18,MATCH(TKB_Nhap!J13,PhanCong!$A$3:$A$18,0),MATCH($A13,PhanCong!$B$2:$J$2,0))))</f>
        <v/>
      </c>
    </row>
    <row r="14" spans="1:10" ht="27.75" customHeight="1" x14ac:dyDescent="0.25">
      <c r="A14" s="36" t="str">
        <f>TKB_Nhap!A14</f>
        <v>6B</v>
      </c>
      <c r="B14" s="36" t="str">
        <f>TKB_Nhap!B14</f>
        <v>S</v>
      </c>
      <c r="C14" s="36" t="str">
        <f>TKB_Nhap!C14</f>
        <v>5</v>
      </c>
      <c r="D14" s="38" t="str">
        <f>IF(TKB_Nhap!D14="","",TKB_Nhap!D14&amp;CHAR(10)&amp;IF(T(INDEX(PhanCong!$B$3:$J$18,MATCH(TKB_Nhap!D14,PhanCong!$A$3:$A$18,0),MATCH($A14,PhanCong!$B$2:$J$2,0)))="","(chưa PC GV)","GV: "&amp;INDEX(PhanCong!$B$3:$J$18,MATCH(TKB_Nhap!D14,PhanCong!$A$3:$A$18,0),MATCH($A14,PhanCong!$B$2:$J$2,0))))</f>
        <v>Khoa học tự nhiên (Sinh học)
GV: Sơn</v>
      </c>
      <c r="E14" s="38" t="str">
        <f>IF(TKB_Nhap!E14="","",TKB_Nhap!E14&amp;CHAR(10)&amp;IF(T(INDEX(PhanCong!$B$3:$J$18,MATCH(TKB_Nhap!E14,PhanCong!$A$3:$A$18,0),MATCH($A14,PhanCong!$B$2:$J$2,0)))="","(chưa PC GV)","GV: "&amp;INDEX(PhanCong!$B$3:$J$18,MATCH(TKB_Nhap!E14,PhanCong!$A$3:$A$18,0),MATCH($A14,PhanCong!$B$2:$J$2,0))))</f>
        <v/>
      </c>
      <c r="F14" s="38" t="str">
        <f>IF(TKB_Nhap!F14="","",TKB_Nhap!F14&amp;CHAR(10)&amp;IF(T(INDEX(PhanCong!$B$3:$J$18,MATCH(TKB_Nhap!F14,PhanCong!$A$3:$A$18,0),MATCH($A14,PhanCong!$B$2:$J$2,0)))="","(chưa PC GV)","GV: "&amp;INDEX(PhanCong!$B$3:$J$18,MATCH(TKB_Nhap!F14,PhanCong!$A$3:$A$18,0),MATCH($A14,PhanCong!$B$2:$J$2,0))))</f>
        <v>Nội dung giáo dục của địa phương
GV: Lan</v>
      </c>
      <c r="G14" s="38" t="str">
        <f>IF(TKB_Nhap!G14="","",TKB_Nhap!G14&amp;CHAR(10)&amp;IF(T(INDEX(PhanCong!$B$3:$J$18,MATCH(TKB_Nhap!G14,PhanCong!$A$3:$A$18,0),MATCH($A14,PhanCong!$B$2:$J$2,0)))="","(chưa PC GV)","GV: "&amp;INDEX(PhanCong!$B$3:$J$18,MATCH(TKB_Nhap!G14,PhanCong!$A$3:$A$18,0),MATCH($A14,PhanCong!$B$2:$J$2,0))))</f>
        <v>Nghệ thuật (Nhạc)
GV: Lan</v>
      </c>
      <c r="H14" s="38" t="str">
        <f>IF(TKB_Nhap!H14="","",TKB_Nhap!H14&amp;CHAR(10)&amp;IF(T(INDEX(PhanCong!$B$3:$J$18,MATCH(TKB_Nhap!H14,PhanCong!$A$3:$A$18,0),MATCH($A14,PhanCong!$B$2:$J$2,0)))="","(chưa PC GV)","GV: "&amp;INDEX(PhanCong!$B$3:$J$18,MATCH(TKB_Nhap!H14,PhanCong!$A$3:$A$18,0),MATCH($A14,PhanCong!$B$2:$J$2,0))))</f>
        <v>Khoa học tự nhiên (Hoá học)
GV: Hoà</v>
      </c>
      <c r="I14" s="38" t="str">
        <f>IF(TKB_Nhap!I14="","",TKB_Nhap!I14&amp;CHAR(10)&amp;IF(T(INDEX(PhanCong!$B$3:$J$18,MATCH(TKB_Nhap!I14,PhanCong!$A$3:$A$18,0),MATCH($A14,PhanCong!$B$2:$J$2,0)))="","(chưa PC GV)","GV: "&amp;INDEX(PhanCong!$B$3:$J$18,MATCH(TKB_Nhap!I14,PhanCong!$A$3:$A$18,0),MATCH($A14,PhanCong!$B$2:$J$2,0))))</f>
        <v>Hoạt động trải nghiệm, hướng nghiệp
GV: Nhung</v>
      </c>
      <c r="J14" s="38" t="str">
        <f>IF(TKB_Nhap!J14="","",TKB_Nhap!J14&amp;CHAR(10)&amp;IF(T(INDEX(PhanCong!$B$3:$J$18,MATCH(TKB_Nhap!J14,PhanCong!$A$3:$A$18,0),MATCH($A14,PhanCong!$B$2:$J$2,0)))="","(chưa PC GV)","GV: "&amp;INDEX(PhanCong!$B$3:$J$18,MATCH(TKB_Nhap!J14,PhanCong!$A$3:$A$18,0),MATCH($A14,PhanCong!$B$2:$J$2,0))))</f>
        <v/>
      </c>
    </row>
    <row r="15" spans="1:10" ht="27.75" customHeight="1" x14ac:dyDescent="0.25">
      <c r="A15" s="36" t="str">
        <f>TKB_Nhap!A15</f>
        <v>6B</v>
      </c>
      <c r="B15" s="36" t="str">
        <f>TKB_Nhap!B15</f>
        <v>C</v>
      </c>
      <c r="C15" s="36" t="str">
        <f>TKB_Nhap!C15</f>
        <v>1</v>
      </c>
      <c r="D15" s="38" t="str">
        <f>IF(TKB_Nhap!D15="","",TKB_Nhap!D15&amp;CHAR(10)&amp;IF(T(INDEX(PhanCong!$B$3:$J$18,MATCH(TKB_Nhap!D15,PhanCong!$A$3:$A$18,0),MATCH($A15,PhanCong!$B$2:$J$2,0)))="","(chưa PC GV)","GV: "&amp;INDEX(PhanCong!$B$3:$J$18,MATCH(TKB_Nhap!D15,PhanCong!$A$3:$A$18,0),MATCH($A15,PhanCong!$B$2:$J$2,0))))</f>
        <v/>
      </c>
      <c r="E15" s="38" t="str">
        <f>IF(TKB_Nhap!E15="","",TKB_Nhap!E15&amp;CHAR(10)&amp;IF(T(INDEX(PhanCong!$B$3:$J$18,MATCH(TKB_Nhap!E15,PhanCong!$A$3:$A$18,0),MATCH($A15,PhanCong!$B$2:$J$2,0)))="","(chưa PC GV)","GV: "&amp;INDEX(PhanCong!$B$3:$J$18,MATCH(TKB_Nhap!E15,PhanCong!$A$3:$A$18,0),MATCH($A15,PhanCong!$B$2:$J$2,0))))</f>
        <v/>
      </c>
      <c r="F15" s="38" t="str">
        <f>IF(TKB_Nhap!F15="","",TKB_Nhap!F15&amp;CHAR(10)&amp;IF(T(INDEX(PhanCong!$B$3:$J$18,MATCH(TKB_Nhap!F15,PhanCong!$A$3:$A$18,0),MATCH($A15,PhanCong!$B$2:$J$2,0)))="","(chưa PC GV)","GV: "&amp;INDEX(PhanCong!$B$3:$J$18,MATCH(TKB_Nhap!F15,PhanCong!$A$3:$A$18,0),MATCH($A15,PhanCong!$B$2:$J$2,0))))</f>
        <v/>
      </c>
      <c r="G15" s="38" t="str">
        <f>IF(TKB_Nhap!G15="","",TKB_Nhap!G15&amp;CHAR(10)&amp;IF(T(INDEX(PhanCong!$B$3:$J$18,MATCH(TKB_Nhap!G15,PhanCong!$A$3:$A$18,0),MATCH($A15,PhanCong!$B$2:$J$2,0)))="","(chưa PC GV)","GV: "&amp;INDEX(PhanCong!$B$3:$J$18,MATCH(TKB_Nhap!G15,PhanCong!$A$3:$A$18,0),MATCH($A15,PhanCong!$B$2:$J$2,0))))</f>
        <v/>
      </c>
      <c r="H15" s="38" t="str">
        <f>IF(TKB_Nhap!H15="","",TKB_Nhap!H15&amp;CHAR(10)&amp;IF(T(INDEX(PhanCong!$B$3:$J$18,MATCH(TKB_Nhap!H15,PhanCong!$A$3:$A$18,0),MATCH($A15,PhanCong!$B$2:$J$2,0)))="","(chưa PC GV)","GV: "&amp;INDEX(PhanCong!$B$3:$J$18,MATCH(TKB_Nhap!H15,PhanCong!$A$3:$A$18,0),MATCH($A15,PhanCong!$B$2:$J$2,0))))</f>
        <v/>
      </c>
      <c r="I15" s="38" t="str">
        <f>IF(TKB_Nhap!I15="","",TKB_Nhap!I15&amp;CHAR(10)&amp;IF(T(INDEX(PhanCong!$B$3:$J$18,MATCH(TKB_Nhap!I15,PhanCong!$A$3:$A$18,0),MATCH($A15,PhanCong!$B$2:$J$2,0)))="","(chưa PC GV)","GV: "&amp;INDEX(PhanCong!$B$3:$J$18,MATCH(TKB_Nhap!I15,PhanCong!$A$3:$A$18,0),MATCH($A15,PhanCong!$B$2:$J$2,0))))</f>
        <v/>
      </c>
      <c r="J15" s="38" t="str">
        <f>IF(TKB_Nhap!J15="","",TKB_Nhap!J15&amp;CHAR(10)&amp;IF(T(INDEX(PhanCong!$B$3:$J$18,MATCH(TKB_Nhap!J15,PhanCong!$A$3:$A$18,0),MATCH($A15,PhanCong!$B$2:$J$2,0)))="","(chưa PC GV)","GV: "&amp;INDEX(PhanCong!$B$3:$J$18,MATCH(TKB_Nhap!J15,PhanCong!$A$3:$A$18,0),MATCH($A15,PhanCong!$B$2:$J$2,0))))</f>
        <v/>
      </c>
    </row>
    <row r="16" spans="1:10" ht="27.75" customHeight="1" x14ac:dyDescent="0.25">
      <c r="A16" s="36" t="str">
        <f>TKB_Nhap!A16</f>
        <v>6B</v>
      </c>
      <c r="B16" s="36" t="str">
        <f>TKB_Nhap!B16</f>
        <v>C</v>
      </c>
      <c r="C16" s="36" t="str">
        <f>TKB_Nhap!C16</f>
        <v>2</v>
      </c>
      <c r="D16" s="38" t="str">
        <f>IF(TKB_Nhap!D16="","",TKB_Nhap!D16&amp;CHAR(10)&amp;IF(T(INDEX(PhanCong!$B$3:$J$18,MATCH(TKB_Nhap!D16,PhanCong!$A$3:$A$18,0),MATCH($A16,PhanCong!$B$2:$J$2,0)))="","(chưa PC GV)","GV: "&amp;INDEX(PhanCong!$B$3:$J$18,MATCH(TKB_Nhap!D16,PhanCong!$A$3:$A$18,0),MATCH($A16,PhanCong!$B$2:$J$2,0))))</f>
        <v/>
      </c>
      <c r="E16" s="38" t="str">
        <f>IF(TKB_Nhap!E16="","",TKB_Nhap!E16&amp;CHAR(10)&amp;IF(T(INDEX(PhanCong!$B$3:$J$18,MATCH(TKB_Nhap!E16,PhanCong!$A$3:$A$18,0),MATCH($A16,PhanCong!$B$2:$J$2,0)))="","(chưa PC GV)","GV: "&amp;INDEX(PhanCong!$B$3:$J$18,MATCH(TKB_Nhap!E16,PhanCong!$A$3:$A$18,0),MATCH($A16,PhanCong!$B$2:$J$2,0))))</f>
        <v/>
      </c>
      <c r="F16" s="38" t="str">
        <f>IF(TKB_Nhap!F16="","",TKB_Nhap!F16&amp;CHAR(10)&amp;IF(T(INDEX(PhanCong!$B$3:$J$18,MATCH(TKB_Nhap!F16,PhanCong!$A$3:$A$18,0),MATCH($A16,PhanCong!$B$2:$J$2,0)))="","(chưa PC GV)","GV: "&amp;INDEX(PhanCong!$B$3:$J$18,MATCH(TKB_Nhap!F16,PhanCong!$A$3:$A$18,0),MATCH($A16,PhanCong!$B$2:$J$2,0))))</f>
        <v/>
      </c>
      <c r="G16" s="38" t="str">
        <f>IF(TKB_Nhap!G16="","",TKB_Nhap!G16&amp;CHAR(10)&amp;IF(T(INDEX(PhanCong!$B$3:$J$18,MATCH(TKB_Nhap!G16,PhanCong!$A$3:$A$18,0),MATCH($A16,PhanCong!$B$2:$J$2,0)))="","(chưa PC GV)","GV: "&amp;INDEX(PhanCong!$B$3:$J$18,MATCH(TKB_Nhap!G16,PhanCong!$A$3:$A$18,0),MATCH($A16,PhanCong!$B$2:$J$2,0))))</f>
        <v/>
      </c>
      <c r="H16" s="38" t="str">
        <f>IF(TKB_Nhap!H16="","",TKB_Nhap!H16&amp;CHAR(10)&amp;IF(T(INDEX(PhanCong!$B$3:$J$18,MATCH(TKB_Nhap!H16,PhanCong!$A$3:$A$18,0),MATCH($A16,PhanCong!$B$2:$J$2,0)))="","(chưa PC GV)","GV: "&amp;INDEX(PhanCong!$B$3:$J$18,MATCH(TKB_Nhap!H16,PhanCong!$A$3:$A$18,0),MATCH($A16,PhanCong!$B$2:$J$2,0))))</f>
        <v/>
      </c>
      <c r="I16" s="38" t="str">
        <f>IF(TKB_Nhap!I16="","",TKB_Nhap!I16&amp;CHAR(10)&amp;IF(T(INDEX(PhanCong!$B$3:$J$18,MATCH(TKB_Nhap!I16,PhanCong!$A$3:$A$18,0),MATCH($A16,PhanCong!$B$2:$J$2,0)))="","(chưa PC GV)","GV: "&amp;INDEX(PhanCong!$B$3:$J$18,MATCH(TKB_Nhap!I16,PhanCong!$A$3:$A$18,0),MATCH($A16,PhanCong!$B$2:$J$2,0))))</f>
        <v/>
      </c>
      <c r="J16" s="38" t="str">
        <f>IF(TKB_Nhap!J16="","",TKB_Nhap!J16&amp;CHAR(10)&amp;IF(T(INDEX(PhanCong!$B$3:$J$18,MATCH(TKB_Nhap!J16,PhanCong!$A$3:$A$18,0),MATCH($A16,PhanCong!$B$2:$J$2,0)))="","(chưa PC GV)","GV: "&amp;INDEX(PhanCong!$B$3:$J$18,MATCH(TKB_Nhap!J16,PhanCong!$A$3:$A$18,0),MATCH($A16,PhanCong!$B$2:$J$2,0))))</f>
        <v/>
      </c>
    </row>
    <row r="17" spans="1:10" ht="27.75" customHeight="1" x14ac:dyDescent="0.25">
      <c r="A17" s="36" t="str">
        <f>TKB_Nhap!A17</f>
        <v>6B</v>
      </c>
      <c r="B17" s="36" t="str">
        <f>TKB_Nhap!B17</f>
        <v>C</v>
      </c>
      <c r="C17" s="36" t="str">
        <f>TKB_Nhap!C17</f>
        <v>3</v>
      </c>
      <c r="D17" s="38" t="str">
        <f>IF(TKB_Nhap!D17="","",TKB_Nhap!D17&amp;CHAR(10)&amp;IF(T(INDEX(PhanCong!$B$3:$J$18,MATCH(TKB_Nhap!D17,PhanCong!$A$3:$A$18,0),MATCH($A17,PhanCong!$B$2:$J$2,0)))="","(chưa PC GV)","GV: "&amp;INDEX(PhanCong!$B$3:$J$18,MATCH(TKB_Nhap!D17,PhanCong!$A$3:$A$18,0),MATCH($A17,PhanCong!$B$2:$J$2,0))))</f>
        <v/>
      </c>
      <c r="E17" s="38" t="str">
        <f>IF(TKB_Nhap!E17="","",TKB_Nhap!E17&amp;CHAR(10)&amp;IF(T(INDEX(PhanCong!$B$3:$J$18,MATCH(TKB_Nhap!E17,PhanCong!$A$3:$A$18,0),MATCH($A17,PhanCong!$B$2:$J$2,0)))="","(chưa PC GV)","GV: "&amp;INDEX(PhanCong!$B$3:$J$18,MATCH(TKB_Nhap!E17,PhanCong!$A$3:$A$18,0),MATCH($A17,PhanCong!$B$2:$J$2,0))))</f>
        <v/>
      </c>
      <c r="F17" s="38" t="str">
        <f>IF(TKB_Nhap!F17="","",TKB_Nhap!F17&amp;CHAR(10)&amp;IF(T(INDEX(PhanCong!$B$3:$J$18,MATCH(TKB_Nhap!F17,PhanCong!$A$3:$A$18,0),MATCH($A17,PhanCong!$B$2:$J$2,0)))="","(chưa PC GV)","GV: "&amp;INDEX(PhanCong!$B$3:$J$18,MATCH(TKB_Nhap!F17,PhanCong!$A$3:$A$18,0),MATCH($A17,PhanCong!$B$2:$J$2,0))))</f>
        <v/>
      </c>
      <c r="G17" s="38" t="str">
        <f>IF(TKB_Nhap!G17="","",TKB_Nhap!G17&amp;CHAR(10)&amp;IF(T(INDEX(PhanCong!$B$3:$J$18,MATCH(TKB_Nhap!G17,PhanCong!$A$3:$A$18,0),MATCH($A17,PhanCong!$B$2:$J$2,0)))="","(chưa PC GV)","GV: "&amp;INDEX(PhanCong!$B$3:$J$18,MATCH(TKB_Nhap!G17,PhanCong!$A$3:$A$18,0),MATCH($A17,PhanCong!$B$2:$J$2,0))))</f>
        <v/>
      </c>
      <c r="H17" s="38" t="str">
        <f>IF(TKB_Nhap!H17="","",TKB_Nhap!H17&amp;CHAR(10)&amp;IF(T(INDEX(PhanCong!$B$3:$J$18,MATCH(TKB_Nhap!H17,PhanCong!$A$3:$A$18,0),MATCH($A17,PhanCong!$B$2:$J$2,0)))="","(chưa PC GV)","GV: "&amp;INDEX(PhanCong!$B$3:$J$18,MATCH(TKB_Nhap!H17,PhanCong!$A$3:$A$18,0),MATCH($A17,PhanCong!$B$2:$J$2,0))))</f>
        <v/>
      </c>
      <c r="I17" s="38" t="str">
        <f>IF(TKB_Nhap!I17="","",TKB_Nhap!I17&amp;CHAR(10)&amp;IF(T(INDEX(PhanCong!$B$3:$J$18,MATCH(TKB_Nhap!I17,PhanCong!$A$3:$A$18,0),MATCH($A17,PhanCong!$B$2:$J$2,0)))="","(chưa PC GV)","GV: "&amp;INDEX(PhanCong!$B$3:$J$18,MATCH(TKB_Nhap!I17,PhanCong!$A$3:$A$18,0),MATCH($A17,PhanCong!$B$2:$J$2,0))))</f>
        <v/>
      </c>
      <c r="J17" s="38" t="str">
        <f>IF(TKB_Nhap!J17="","",TKB_Nhap!J17&amp;CHAR(10)&amp;IF(T(INDEX(PhanCong!$B$3:$J$18,MATCH(TKB_Nhap!J17,PhanCong!$A$3:$A$18,0),MATCH($A17,PhanCong!$B$2:$J$2,0)))="","(chưa PC GV)","GV: "&amp;INDEX(PhanCong!$B$3:$J$18,MATCH(TKB_Nhap!J17,PhanCong!$A$3:$A$18,0),MATCH($A17,PhanCong!$B$2:$J$2,0))))</f>
        <v/>
      </c>
    </row>
    <row r="18" spans="1:10" ht="27.75" customHeight="1" x14ac:dyDescent="0.25">
      <c r="A18" s="30" t="str">
        <f>TKB_Nhap!A18</f>
        <v>6C</v>
      </c>
      <c r="B18" s="30" t="str">
        <f>TKB_Nhap!B18</f>
        <v>S</v>
      </c>
      <c r="C18" s="30" t="str">
        <f>TKB_Nhap!C18</f>
        <v>1</v>
      </c>
      <c r="D18" s="26" t="str">
        <f>IF(TKB_Nhap!D18="","",TKB_Nhap!D18&amp;CHAR(10)&amp;IF(T(INDEX(PhanCong!$B$3:$J$18,MATCH(TKB_Nhap!D18,PhanCong!$A$3:$A$18,0),MATCH($A18,PhanCong!$B$2:$J$2,0)))="","(chưa PC GV)","GV: "&amp;INDEX(PhanCong!$B$3:$J$18,MATCH(TKB_Nhap!D18,PhanCong!$A$3:$A$18,0),MATCH($A18,PhanCong!$B$2:$J$2,0))))</f>
        <v>Hoạt động trải nghiệm, hướng nghiệp
GV: Uyên</v>
      </c>
      <c r="E18" s="26" t="str">
        <f>IF(TKB_Nhap!E18="","",TKB_Nhap!E18&amp;CHAR(10)&amp;IF(T(INDEX(PhanCong!$B$3:$J$18,MATCH(TKB_Nhap!E18,PhanCong!$A$3:$A$18,0),MATCH($A18,PhanCong!$B$2:$J$2,0)))="","(chưa PC GV)","GV: "&amp;INDEX(PhanCong!$B$3:$J$18,MATCH(TKB_Nhap!E18,PhanCong!$A$3:$A$18,0),MATCH($A18,PhanCong!$B$2:$J$2,0))))</f>
        <v>Lịch sử và địa lý (Lịch sử)
GV: Nhung</v>
      </c>
      <c r="F18" s="26" t="str">
        <f>IF(TKB_Nhap!F18="","",TKB_Nhap!F18&amp;CHAR(10)&amp;IF(T(INDEX(PhanCong!$B$3:$J$18,MATCH(TKB_Nhap!F18,PhanCong!$A$3:$A$18,0),MATCH($A18,PhanCong!$B$2:$J$2,0)))="","(chưa PC GV)","GV: "&amp;INDEX(PhanCong!$B$3:$J$18,MATCH(TKB_Nhap!F18,PhanCong!$A$3:$A$18,0),MATCH($A18,PhanCong!$B$2:$J$2,0))))</f>
        <v>Ngữ văn
GV: GVHĐ 1</v>
      </c>
      <c r="G18" s="26" t="str">
        <f>IF(TKB_Nhap!G18="","",TKB_Nhap!G18&amp;CHAR(10)&amp;IF(T(INDEX(PhanCong!$B$3:$J$18,MATCH(TKB_Nhap!G18,PhanCong!$A$3:$A$18,0),MATCH($A18,PhanCong!$B$2:$J$2,0)))="","(chưa PC GV)","GV: "&amp;INDEX(PhanCong!$B$3:$J$18,MATCH(TKB_Nhap!G18,PhanCong!$A$3:$A$18,0),MATCH($A18,PhanCong!$B$2:$J$2,0))))</f>
        <v>Hoạt động trải nghiệm, hướng nghiệp
GV: Uyên</v>
      </c>
      <c r="H18" s="26" t="str">
        <f>IF(TKB_Nhap!H18="","",TKB_Nhap!H18&amp;CHAR(10)&amp;IF(T(INDEX(PhanCong!$B$3:$J$18,MATCH(TKB_Nhap!H18,PhanCong!$A$3:$A$18,0),MATCH($A18,PhanCong!$B$2:$J$2,0)))="","(chưa PC GV)","GV: "&amp;INDEX(PhanCong!$B$3:$J$18,MATCH(TKB_Nhap!H18,PhanCong!$A$3:$A$18,0),MATCH($A18,PhanCong!$B$2:$J$2,0))))</f>
        <v>Ngoại ngữ
GV: Trung</v>
      </c>
      <c r="I18" s="26" t="str">
        <f>IF(TKB_Nhap!I18="","",TKB_Nhap!I18&amp;CHAR(10)&amp;IF(T(INDEX(PhanCong!$B$3:$J$18,MATCH(TKB_Nhap!I18,PhanCong!$A$3:$A$18,0),MATCH($A18,PhanCong!$B$2:$J$2,0)))="","(chưa PC GV)","GV: "&amp;INDEX(PhanCong!$B$3:$J$18,MATCH(TKB_Nhap!I18,PhanCong!$A$3:$A$18,0),MATCH($A18,PhanCong!$B$2:$J$2,0))))</f>
        <v>Khoa học tự nhiên (Sinh học)
GV: Sơn</v>
      </c>
      <c r="J18" s="26" t="str">
        <f>IF(TKB_Nhap!J18="","",TKB_Nhap!J18&amp;CHAR(10)&amp;IF(T(INDEX(PhanCong!$B$3:$J$18,MATCH(TKB_Nhap!J18,PhanCong!$A$3:$A$18,0),MATCH($A18,PhanCong!$B$2:$J$2,0)))="","(chưa PC GV)","GV: "&amp;INDEX(PhanCong!$B$3:$J$18,MATCH(TKB_Nhap!J18,PhanCong!$A$3:$A$18,0),MATCH($A18,PhanCong!$B$2:$J$2,0))))</f>
        <v/>
      </c>
    </row>
    <row r="19" spans="1:10" ht="27.75" customHeight="1" x14ac:dyDescent="0.25">
      <c r="A19" s="30" t="str">
        <f>TKB_Nhap!A19</f>
        <v>6C</v>
      </c>
      <c r="B19" s="30" t="str">
        <f>TKB_Nhap!B19</f>
        <v>S</v>
      </c>
      <c r="C19" s="30" t="str">
        <f>TKB_Nhap!C19</f>
        <v>2</v>
      </c>
      <c r="D19" s="26" t="str">
        <f>IF(TKB_Nhap!D19="","",TKB_Nhap!D19&amp;CHAR(10)&amp;IF(T(INDEX(PhanCong!$B$3:$J$18,MATCH(TKB_Nhap!D19,PhanCong!$A$3:$A$18,0),MATCH($A19,PhanCong!$B$2:$J$2,0)))="","(chưa PC GV)","GV: "&amp;INDEX(PhanCong!$B$3:$J$18,MATCH(TKB_Nhap!D19,PhanCong!$A$3:$A$18,0),MATCH($A19,PhanCong!$B$2:$J$2,0))))</f>
        <v>Toán học
GV: Lệ</v>
      </c>
      <c r="E19" s="26" t="str">
        <f>IF(TKB_Nhap!E19="","",TKB_Nhap!E19&amp;CHAR(10)&amp;IF(T(INDEX(PhanCong!$B$3:$J$18,MATCH(TKB_Nhap!E19,PhanCong!$A$3:$A$18,0),MATCH($A19,PhanCong!$B$2:$J$2,0)))="","(chưa PC GV)","GV: "&amp;INDEX(PhanCong!$B$3:$J$18,MATCH(TKB_Nhap!E19,PhanCong!$A$3:$A$18,0),MATCH($A19,PhanCong!$B$2:$J$2,0))))</f>
        <v>Nghệ thuật (Mỹ thuật)
GV: Lan Ly</v>
      </c>
      <c r="F19" s="26" t="str">
        <f>IF(TKB_Nhap!F19="","",TKB_Nhap!F19&amp;CHAR(10)&amp;IF(T(INDEX(PhanCong!$B$3:$J$18,MATCH(TKB_Nhap!F19,PhanCong!$A$3:$A$18,0),MATCH($A19,PhanCong!$B$2:$J$2,0)))="","(chưa PC GV)","GV: "&amp;INDEX(PhanCong!$B$3:$J$18,MATCH(TKB_Nhap!F19,PhanCong!$A$3:$A$18,0),MATCH($A19,PhanCong!$B$2:$J$2,0))))</f>
        <v>Giáo dục thể chất
GV: Hồng</v>
      </c>
      <c r="G19" s="26" t="str">
        <f>IF(TKB_Nhap!G19="","",TKB_Nhap!G19&amp;CHAR(10)&amp;IF(T(INDEX(PhanCong!$B$3:$J$18,MATCH(TKB_Nhap!G19,PhanCong!$A$3:$A$18,0),MATCH($A19,PhanCong!$B$2:$J$2,0)))="","(chưa PC GV)","GV: "&amp;INDEX(PhanCong!$B$3:$J$18,MATCH(TKB_Nhap!G19,PhanCong!$A$3:$A$18,0),MATCH($A19,PhanCong!$B$2:$J$2,0))))</f>
        <v>Ngữ văn
GV: GVHĐ 1</v>
      </c>
      <c r="H19" s="26" t="str">
        <f>IF(TKB_Nhap!H19="","",TKB_Nhap!H19&amp;CHAR(10)&amp;IF(T(INDEX(PhanCong!$B$3:$J$18,MATCH(TKB_Nhap!H19,PhanCong!$A$3:$A$18,0),MATCH($A19,PhanCong!$B$2:$J$2,0)))="","(chưa PC GV)","GV: "&amp;INDEX(PhanCong!$B$3:$J$18,MATCH(TKB_Nhap!H19,PhanCong!$A$3:$A$18,0),MATCH($A19,PhanCong!$B$2:$J$2,0))))</f>
        <v>Khoa học tự nhiên (Vật lý)
GV: Sơn</v>
      </c>
      <c r="I19" s="26" t="str">
        <f>IF(TKB_Nhap!I19="","",TKB_Nhap!I19&amp;CHAR(10)&amp;IF(T(INDEX(PhanCong!$B$3:$J$18,MATCH(TKB_Nhap!I19,PhanCong!$A$3:$A$18,0),MATCH($A19,PhanCong!$B$2:$J$2,0)))="","(chưa PC GV)","GV: "&amp;INDEX(PhanCong!$B$3:$J$18,MATCH(TKB_Nhap!I19,PhanCong!$A$3:$A$18,0),MATCH($A19,PhanCong!$B$2:$J$2,0))))</f>
        <v>Ngữ văn
GV: GVHĐ 1</v>
      </c>
      <c r="J19" s="26" t="str">
        <f>IF(TKB_Nhap!J19="","",TKB_Nhap!J19&amp;CHAR(10)&amp;IF(T(INDEX(PhanCong!$B$3:$J$18,MATCH(TKB_Nhap!J19,PhanCong!$A$3:$A$18,0),MATCH($A19,PhanCong!$B$2:$J$2,0)))="","(chưa PC GV)","GV: "&amp;INDEX(PhanCong!$B$3:$J$18,MATCH(TKB_Nhap!J19,PhanCong!$A$3:$A$18,0),MATCH($A19,PhanCong!$B$2:$J$2,0))))</f>
        <v/>
      </c>
    </row>
    <row r="20" spans="1:10" ht="27.75" customHeight="1" x14ac:dyDescent="0.25">
      <c r="A20" s="30" t="str">
        <f>TKB_Nhap!A20</f>
        <v>6C</v>
      </c>
      <c r="B20" s="30" t="str">
        <f>TKB_Nhap!B20</f>
        <v>S</v>
      </c>
      <c r="C20" s="30" t="str">
        <f>TKB_Nhap!C20</f>
        <v>3</v>
      </c>
      <c r="D20" s="26" t="str">
        <f>IF(TKB_Nhap!D20="","",TKB_Nhap!D20&amp;CHAR(10)&amp;IF(T(INDEX(PhanCong!$B$3:$J$18,MATCH(TKB_Nhap!D20,PhanCong!$A$3:$A$18,0),MATCH($A20,PhanCong!$B$2:$J$2,0)))="","(chưa PC GV)","GV: "&amp;INDEX(PhanCong!$B$3:$J$18,MATCH(TKB_Nhap!D20,PhanCong!$A$3:$A$18,0),MATCH($A20,PhanCong!$B$2:$J$2,0))))</f>
        <v>Ngoại ngữ
GV: Trung</v>
      </c>
      <c r="E20" s="26" t="str">
        <f>IF(TKB_Nhap!E20="","",TKB_Nhap!E20&amp;CHAR(10)&amp;IF(T(INDEX(PhanCong!$B$3:$J$18,MATCH(TKB_Nhap!E20,PhanCong!$A$3:$A$18,0),MATCH($A20,PhanCong!$B$2:$J$2,0)))="","(chưa PC GV)","GV: "&amp;INDEX(PhanCong!$B$3:$J$18,MATCH(TKB_Nhap!E20,PhanCong!$A$3:$A$18,0),MATCH($A20,PhanCong!$B$2:$J$2,0))))</f>
        <v>Nghệ thuật (Nhạc)
GV: Lan</v>
      </c>
      <c r="F20" s="26" t="str">
        <f>IF(TKB_Nhap!F20="","",TKB_Nhap!F20&amp;CHAR(10)&amp;IF(T(INDEX(PhanCong!$B$3:$J$18,MATCH(TKB_Nhap!F20,PhanCong!$A$3:$A$18,0),MATCH($A20,PhanCong!$B$2:$J$2,0)))="","(chưa PC GV)","GV: "&amp;INDEX(PhanCong!$B$3:$J$18,MATCH(TKB_Nhap!F20,PhanCong!$A$3:$A$18,0),MATCH($A20,PhanCong!$B$2:$J$2,0))))</f>
        <v>Toán học
GV: Lệ</v>
      </c>
      <c r="G20" s="26" t="str">
        <f>IF(TKB_Nhap!G20="","",TKB_Nhap!G20&amp;CHAR(10)&amp;IF(T(INDEX(PhanCong!$B$3:$J$18,MATCH(TKB_Nhap!G20,PhanCong!$A$3:$A$18,0),MATCH($A20,PhanCong!$B$2:$J$2,0)))="","(chưa PC GV)","GV: "&amp;INDEX(PhanCong!$B$3:$J$18,MATCH(TKB_Nhap!G20,PhanCong!$A$3:$A$18,0),MATCH($A20,PhanCong!$B$2:$J$2,0))))</f>
        <v>Giáo dục công dân
GV: GVHĐ 1</v>
      </c>
      <c r="H20" s="26" t="str">
        <f>IF(TKB_Nhap!H20="","",TKB_Nhap!H20&amp;CHAR(10)&amp;IF(T(INDEX(PhanCong!$B$3:$J$18,MATCH(TKB_Nhap!H20,PhanCong!$A$3:$A$18,0),MATCH($A20,PhanCong!$B$2:$J$2,0)))="","(chưa PC GV)","GV: "&amp;INDEX(PhanCong!$B$3:$J$18,MATCH(TKB_Nhap!H20,PhanCong!$A$3:$A$18,0),MATCH($A20,PhanCong!$B$2:$J$2,0))))</f>
        <v>Lịch sử và địa lý (Địa lý)
GV: Nhung</v>
      </c>
      <c r="I20" s="26" t="str">
        <f>IF(TKB_Nhap!I20="","",TKB_Nhap!I20&amp;CHAR(10)&amp;IF(T(INDEX(PhanCong!$B$3:$J$18,MATCH(TKB_Nhap!I20,PhanCong!$A$3:$A$18,0),MATCH($A20,PhanCong!$B$2:$J$2,0)))="","(chưa PC GV)","GV: "&amp;INDEX(PhanCong!$B$3:$J$18,MATCH(TKB_Nhap!I20,PhanCong!$A$3:$A$18,0),MATCH($A20,PhanCong!$B$2:$J$2,0))))</f>
        <v>Khoa học tự nhiên (Hoá học)
GV: Hoà</v>
      </c>
      <c r="J20" s="26" t="str">
        <f>IF(TKB_Nhap!J20="","",TKB_Nhap!J20&amp;CHAR(10)&amp;IF(T(INDEX(PhanCong!$B$3:$J$18,MATCH(TKB_Nhap!J20,PhanCong!$A$3:$A$18,0),MATCH($A20,PhanCong!$B$2:$J$2,0)))="","(chưa PC GV)","GV: "&amp;INDEX(PhanCong!$B$3:$J$18,MATCH(TKB_Nhap!J20,PhanCong!$A$3:$A$18,0),MATCH($A20,PhanCong!$B$2:$J$2,0))))</f>
        <v/>
      </c>
    </row>
    <row r="21" spans="1:10" ht="27.75" customHeight="1" x14ac:dyDescent="0.25">
      <c r="A21" s="30" t="str">
        <f>TKB_Nhap!A21</f>
        <v>6C</v>
      </c>
      <c r="B21" s="30" t="str">
        <f>TKB_Nhap!B21</f>
        <v>S</v>
      </c>
      <c r="C21" s="30" t="str">
        <f>TKB_Nhap!C21</f>
        <v>4</v>
      </c>
      <c r="D21" s="26" t="str">
        <f>IF(TKB_Nhap!D21="","",TKB_Nhap!D21&amp;CHAR(10)&amp;IF(T(INDEX(PhanCong!$B$3:$J$18,MATCH(TKB_Nhap!D21,PhanCong!$A$3:$A$18,0),MATCH($A21,PhanCong!$B$2:$J$2,0)))="","(chưa PC GV)","GV: "&amp;INDEX(PhanCong!$B$3:$J$18,MATCH(TKB_Nhap!D21,PhanCong!$A$3:$A$18,0),MATCH($A21,PhanCong!$B$2:$J$2,0))))</f>
        <v>Khoa học tự nhiên (Sinh học)
GV: Sơn</v>
      </c>
      <c r="E21" s="26" t="str">
        <f>IF(TKB_Nhap!E21="","",TKB_Nhap!E21&amp;CHAR(10)&amp;IF(T(INDEX(PhanCong!$B$3:$J$18,MATCH(TKB_Nhap!E21,PhanCong!$A$3:$A$18,0),MATCH($A21,PhanCong!$B$2:$J$2,0)))="","(chưa PC GV)","GV: "&amp;INDEX(PhanCong!$B$3:$J$18,MATCH(TKB_Nhap!E21,PhanCong!$A$3:$A$18,0),MATCH($A21,PhanCong!$B$2:$J$2,0))))</f>
        <v>Toán học
GV: Lệ</v>
      </c>
      <c r="F21" s="26" t="str">
        <f>IF(TKB_Nhap!F21="","",TKB_Nhap!F21&amp;CHAR(10)&amp;IF(T(INDEX(PhanCong!$B$3:$J$18,MATCH(TKB_Nhap!F21,PhanCong!$A$3:$A$18,0),MATCH($A21,PhanCong!$B$2:$J$2,0)))="","(chưa PC GV)","GV: "&amp;INDEX(PhanCong!$B$3:$J$18,MATCH(TKB_Nhap!F21,PhanCong!$A$3:$A$18,0),MATCH($A21,PhanCong!$B$2:$J$2,0))))</f>
        <v>Nội dung giáo dục của địa phương
GV: Lan</v>
      </c>
      <c r="G21" s="26" t="str">
        <f>IF(TKB_Nhap!G21="","",TKB_Nhap!G21&amp;CHAR(10)&amp;IF(T(INDEX(PhanCong!$B$3:$J$18,MATCH(TKB_Nhap!G21,PhanCong!$A$3:$A$18,0),MATCH($A21,PhanCong!$B$2:$J$2,0)))="","(chưa PC GV)","GV: "&amp;INDEX(PhanCong!$B$3:$J$18,MATCH(TKB_Nhap!G21,PhanCong!$A$3:$A$18,0),MATCH($A21,PhanCong!$B$2:$J$2,0))))</f>
        <v>Tin
GV: GVHĐ 1</v>
      </c>
      <c r="H21" s="26" t="str">
        <f>IF(TKB_Nhap!H21="","",TKB_Nhap!H21&amp;CHAR(10)&amp;IF(T(INDEX(PhanCong!$B$3:$J$18,MATCH(TKB_Nhap!H21,PhanCong!$A$3:$A$18,0),MATCH($A21,PhanCong!$B$2:$J$2,0)))="","(chưa PC GV)","GV: "&amp;INDEX(PhanCong!$B$3:$J$18,MATCH(TKB_Nhap!H21,PhanCong!$A$3:$A$18,0),MATCH($A21,PhanCong!$B$2:$J$2,0))))</f>
        <v>Giáo dục thể chất
GV: Hồng</v>
      </c>
      <c r="I21" s="26" t="str">
        <f>IF(TKB_Nhap!I21="","",TKB_Nhap!I21&amp;CHAR(10)&amp;IF(T(INDEX(PhanCong!$B$3:$J$18,MATCH(TKB_Nhap!I21,PhanCong!$A$3:$A$18,0),MATCH($A21,PhanCong!$B$2:$J$2,0)))="","(chưa PC GV)","GV: "&amp;INDEX(PhanCong!$B$3:$J$18,MATCH(TKB_Nhap!I21,PhanCong!$A$3:$A$18,0),MATCH($A21,PhanCong!$B$2:$J$2,0))))</f>
        <v>Hoạt động trải nghiệm, hướng nghiệp
GV: Uyên</v>
      </c>
      <c r="J21" s="26" t="str">
        <f>IF(TKB_Nhap!J21="","",TKB_Nhap!J21&amp;CHAR(10)&amp;IF(T(INDEX(PhanCong!$B$3:$J$18,MATCH(TKB_Nhap!J21,PhanCong!$A$3:$A$18,0),MATCH($A21,PhanCong!$B$2:$J$2,0)))="","(chưa PC GV)","GV: "&amp;INDEX(PhanCong!$B$3:$J$18,MATCH(TKB_Nhap!J21,PhanCong!$A$3:$A$18,0),MATCH($A21,PhanCong!$B$2:$J$2,0))))</f>
        <v/>
      </c>
    </row>
    <row r="22" spans="1:10" ht="27.75" customHeight="1" x14ac:dyDescent="0.25">
      <c r="A22" s="30" t="str">
        <f>TKB_Nhap!A22</f>
        <v>6C</v>
      </c>
      <c r="B22" s="30" t="str">
        <f>TKB_Nhap!B22</f>
        <v>S</v>
      </c>
      <c r="C22" s="30" t="str">
        <f>TKB_Nhap!C22</f>
        <v>5</v>
      </c>
      <c r="D22" s="26" t="str">
        <f>IF(TKB_Nhap!D22="","",TKB_Nhap!D22&amp;CHAR(10)&amp;IF(T(INDEX(PhanCong!$B$3:$J$18,MATCH(TKB_Nhap!D22,PhanCong!$A$3:$A$18,0),MATCH($A22,PhanCong!$B$2:$J$2,0)))="","(chưa PC GV)","GV: "&amp;INDEX(PhanCong!$B$3:$J$18,MATCH(TKB_Nhap!D22,PhanCong!$A$3:$A$18,0),MATCH($A22,PhanCong!$B$2:$J$2,0))))</f>
        <v>Lịch sử và địa lý (Lịch sử)
GV: Nhung</v>
      </c>
      <c r="E22" s="26" t="str">
        <f>IF(TKB_Nhap!E22="","",TKB_Nhap!E22&amp;CHAR(10)&amp;IF(T(INDEX(PhanCong!$B$3:$J$18,MATCH(TKB_Nhap!E22,PhanCong!$A$3:$A$18,0),MATCH($A22,PhanCong!$B$2:$J$2,0)))="","(chưa PC GV)","GV: "&amp;INDEX(PhanCong!$B$3:$J$18,MATCH(TKB_Nhap!E22,PhanCong!$A$3:$A$18,0),MATCH($A22,PhanCong!$B$2:$J$2,0))))</f>
        <v>Ngữ văn
GV: GVHĐ 1</v>
      </c>
      <c r="F22" s="26" t="str">
        <f>IF(TKB_Nhap!F22="","",TKB_Nhap!F22&amp;CHAR(10)&amp;IF(T(INDEX(PhanCong!$B$3:$J$18,MATCH(TKB_Nhap!F22,PhanCong!$A$3:$A$18,0),MATCH($A22,PhanCong!$B$2:$J$2,0)))="","(chưa PC GV)","GV: "&amp;INDEX(PhanCong!$B$3:$J$18,MATCH(TKB_Nhap!F22,PhanCong!$A$3:$A$18,0),MATCH($A22,PhanCong!$B$2:$J$2,0))))</f>
        <v>Ngoại ngữ
GV: Trung</v>
      </c>
      <c r="G22" s="26" t="str">
        <f>IF(TKB_Nhap!G22="","",TKB_Nhap!G22&amp;CHAR(10)&amp;IF(T(INDEX(PhanCong!$B$3:$J$18,MATCH(TKB_Nhap!G22,PhanCong!$A$3:$A$18,0),MATCH($A22,PhanCong!$B$2:$J$2,0)))="","(chưa PC GV)","GV: "&amp;INDEX(PhanCong!$B$3:$J$18,MATCH(TKB_Nhap!G22,PhanCong!$A$3:$A$18,0),MATCH($A22,PhanCong!$B$2:$J$2,0))))</f>
        <v/>
      </c>
      <c r="H22" s="26" t="str">
        <f>IF(TKB_Nhap!H22="","",TKB_Nhap!H22&amp;CHAR(10)&amp;IF(T(INDEX(PhanCong!$B$3:$J$18,MATCH(TKB_Nhap!H22,PhanCong!$A$3:$A$18,0),MATCH($A22,PhanCong!$B$2:$J$2,0)))="","(chưa PC GV)","GV: "&amp;INDEX(PhanCong!$B$3:$J$18,MATCH(TKB_Nhap!H22,PhanCong!$A$3:$A$18,0),MATCH($A22,PhanCong!$B$2:$J$2,0))))</f>
        <v>Toán học
GV: Lệ</v>
      </c>
      <c r="I22" s="26" t="str">
        <f>IF(TKB_Nhap!I22="","",TKB_Nhap!I22&amp;CHAR(10)&amp;IF(T(INDEX(PhanCong!$B$3:$J$18,MATCH(TKB_Nhap!I22,PhanCong!$A$3:$A$18,0),MATCH($A22,PhanCong!$B$2:$J$2,0)))="","(chưa PC GV)","GV: "&amp;INDEX(PhanCong!$B$3:$J$18,MATCH(TKB_Nhap!I22,PhanCong!$A$3:$A$18,0),MATCH($A22,PhanCong!$B$2:$J$2,0))))</f>
        <v>Công nghệ
GV: Sơn</v>
      </c>
      <c r="J22" s="26" t="str">
        <f>IF(TKB_Nhap!J22="","",TKB_Nhap!J22&amp;CHAR(10)&amp;IF(T(INDEX(PhanCong!$B$3:$J$18,MATCH(TKB_Nhap!J22,PhanCong!$A$3:$A$18,0),MATCH($A22,PhanCong!$B$2:$J$2,0)))="","(chưa PC GV)","GV: "&amp;INDEX(PhanCong!$B$3:$J$18,MATCH(TKB_Nhap!J22,PhanCong!$A$3:$A$18,0),MATCH($A22,PhanCong!$B$2:$J$2,0))))</f>
        <v/>
      </c>
    </row>
    <row r="23" spans="1:10" ht="27.75" customHeight="1" x14ac:dyDescent="0.25">
      <c r="A23" s="30" t="str">
        <f>TKB_Nhap!A23</f>
        <v>6C</v>
      </c>
      <c r="B23" s="30" t="str">
        <f>TKB_Nhap!B23</f>
        <v>C</v>
      </c>
      <c r="C23" s="30" t="str">
        <f>TKB_Nhap!C23</f>
        <v>1</v>
      </c>
      <c r="D23" s="26" t="str">
        <f>IF(TKB_Nhap!D23="","",TKB_Nhap!D23&amp;CHAR(10)&amp;IF(T(INDEX(PhanCong!$B$3:$J$18,MATCH(TKB_Nhap!D23,PhanCong!$A$3:$A$18,0),MATCH($A23,PhanCong!$B$2:$J$2,0)))="","(chưa PC GV)","GV: "&amp;INDEX(PhanCong!$B$3:$J$18,MATCH(TKB_Nhap!D23,PhanCong!$A$3:$A$18,0),MATCH($A23,PhanCong!$B$2:$J$2,0))))</f>
        <v/>
      </c>
      <c r="E23" s="26" t="str">
        <f>IF(TKB_Nhap!E23="","",TKB_Nhap!E23&amp;CHAR(10)&amp;IF(T(INDEX(PhanCong!$B$3:$J$18,MATCH(TKB_Nhap!E23,PhanCong!$A$3:$A$18,0),MATCH($A23,PhanCong!$B$2:$J$2,0)))="","(chưa PC GV)","GV: "&amp;INDEX(PhanCong!$B$3:$J$18,MATCH(TKB_Nhap!E23,PhanCong!$A$3:$A$18,0),MATCH($A23,PhanCong!$B$2:$J$2,0))))</f>
        <v/>
      </c>
      <c r="F23" s="26" t="str">
        <f>IF(TKB_Nhap!F23="","",TKB_Nhap!F23&amp;CHAR(10)&amp;IF(T(INDEX(PhanCong!$B$3:$J$18,MATCH(TKB_Nhap!F23,PhanCong!$A$3:$A$18,0),MATCH($A23,PhanCong!$B$2:$J$2,0)))="","(chưa PC GV)","GV: "&amp;INDEX(PhanCong!$B$3:$J$18,MATCH(TKB_Nhap!F23,PhanCong!$A$3:$A$18,0),MATCH($A23,PhanCong!$B$2:$J$2,0))))</f>
        <v/>
      </c>
      <c r="G23" s="26" t="str">
        <f>IF(TKB_Nhap!G23="","",TKB_Nhap!G23&amp;CHAR(10)&amp;IF(T(INDEX(PhanCong!$B$3:$J$18,MATCH(TKB_Nhap!G23,PhanCong!$A$3:$A$18,0),MATCH($A23,PhanCong!$B$2:$J$2,0)))="","(chưa PC GV)","GV: "&amp;INDEX(PhanCong!$B$3:$J$18,MATCH(TKB_Nhap!G23,PhanCong!$A$3:$A$18,0),MATCH($A23,PhanCong!$B$2:$J$2,0))))</f>
        <v/>
      </c>
      <c r="H23" s="26" t="str">
        <f>IF(TKB_Nhap!H23="","",TKB_Nhap!H23&amp;CHAR(10)&amp;IF(T(INDEX(PhanCong!$B$3:$J$18,MATCH(TKB_Nhap!H23,PhanCong!$A$3:$A$18,0),MATCH($A23,PhanCong!$B$2:$J$2,0)))="","(chưa PC GV)","GV: "&amp;INDEX(PhanCong!$B$3:$J$18,MATCH(TKB_Nhap!H23,PhanCong!$A$3:$A$18,0),MATCH($A23,PhanCong!$B$2:$J$2,0))))</f>
        <v/>
      </c>
      <c r="I23" s="26" t="str">
        <f>IF(TKB_Nhap!I23="","",TKB_Nhap!I23&amp;CHAR(10)&amp;IF(T(INDEX(PhanCong!$B$3:$J$18,MATCH(TKB_Nhap!I23,PhanCong!$A$3:$A$18,0),MATCH($A23,PhanCong!$B$2:$J$2,0)))="","(chưa PC GV)","GV: "&amp;INDEX(PhanCong!$B$3:$J$18,MATCH(TKB_Nhap!I23,PhanCong!$A$3:$A$18,0),MATCH($A23,PhanCong!$B$2:$J$2,0))))</f>
        <v/>
      </c>
      <c r="J23" s="26" t="str">
        <f>IF(TKB_Nhap!J23="","",TKB_Nhap!J23&amp;CHAR(10)&amp;IF(T(INDEX(PhanCong!$B$3:$J$18,MATCH(TKB_Nhap!J23,PhanCong!$A$3:$A$18,0),MATCH($A23,PhanCong!$B$2:$J$2,0)))="","(chưa PC GV)","GV: "&amp;INDEX(PhanCong!$B$3:$J$18,MATCH(TKB_Nhap!J23,PhanCong!$A$3:$A$18,0),MATCH($A23,PhanCong!$B$2:$J$2,0))))</f>
        <v/>
      </c>
    </row>
    <row r="24" spans="1:10" ht="27.75" customHeight="1" x14ac:dyDescent="0.25">
      <c r="A24" s="30" t="str">
        <f>TKB_Nhap!A24</f>
        <v>6C</v>
      </c>
      <c r="B24" s="30" t="str">
        <f>TKB_Nhap!B24</f>
        <v>C</v>
      </c>
      <c r="C24" s="30" t="str">
        <f>TKB_Nhap!C24</f>
        <v>2</v>
      </c>
      <c r="D24" s="26" t="str">
        <f>IF(TKB_Nhap!D24="","",TKB_Nhap!D24&amp;CHAR(10)&amp;IF(T(INDEX(PhanCong!$B$3:$J$18,MATCH(TKB_Nhap!D24,PhanCong!$A$3:$A$18,0),MATCH($A24,PhanCong!$B$2:$J$2,0)))="","(chưa PC GV)","GV: "&amp;INDEX(PhanCong!$B$3:$J$18,MATCH(TKB_Nhap!D24,PhanCong!$A$3:$A$18,0),MATCH($A24,PhanCong!$B$2:$J$2,0))))</f>
        <v/>
      </c>
      <c r="E24" s="26" t="str">
        <f>IF(TKB_Nhap!E24="","",TKB_Nhap!E24&amp;CHAR(10)&amp;IF(T(INDEX(PhanCong!$B$3:$J$18,MATCH(TKB_Nhap!E24,PhanCong!$A$3:$A$18,0),MATCH($A24,PhanCong!$B$2:$J$2,0)))="","(chưa PC GV)","GV: "&amp;INDEX(PhanCong!$B$3:$J$18,MATCH(TKB_Nhap!E24,PhanCong!$A$3:$A$18,0),MATCH($A24,PhanCong!$B$2:$J$2,0))))</f>
        <v/>
      </c>
      <c r="F24" s="26" t="str">
        <f>IF(TKB_Nhap!F24="","",TKB_Nhap!F24&amp;CHAR(10)&amp;IF(T(INDEX(PhanCong!$B$3:$J$18,MATCH(TKB_Nhap!F24,PhanCong!$A$3:$A$18,0),MATCH($A24,PhanCong!$B$2:$J$2,0)))="","(chưa PC GV)","GV: "&amp;INDEX(PhanCong!$B$3:$J$18,MATCH(TKB_Nhap!F24,PhanCong!$A$3:$A$18,0),MATCH($A24,PhanCong!$B$2:$J$2,0))))</f>
        <v/>
      </c>
      <c r="G24" s="26" t="str">
        <f>IF(TKB_Nhap!G24="","",TKB_Nhap!G24&amp;CHAR(10)&amp;IF(T(INDEX(PhanCong!$B$3:$J$18,MATCH(TKB_Nhap!G24,PhanCong!$A$3:$A$18,0),MATCH($A24,PhanCong!$B$2:$J$2,0)))="","(chưa PC GV)","GV: "&amp;INDEX(PhanCong!$B$3:$J$18,MATCH(TKB_Nhap!G24,PhanCong!$A$3:$A$18,0),MATCH($A24,PhanCong!$B$2:$J$2,0))))</f>
        <v/>
      </c>
      <c r="H24" s="26" t="str">
        <f>IF(TKB_Nhap!H24="","",TKB_Nhap!H24&amp;CHAR(10)&amp;IF(T(INDEX(PhanCong!$B$3:$J$18,MATCH(TKB_Nhap!H24,PhanCong!$A$3:$A$18,0),MATCH($A24,PhanCong!$B$2:$J$2,0)))="","(chưa PC GV)","GV: "&amp;INDEX(PhanCong!$B$3:$J$18,MATCH(TKB_Nhap!H24,PhanCong!$A$3:$A$18,0),MATCH($A24,PhanCong!$B$2:$J$2,0))))</f>
        <v/>
      </c>
      <c r="I24" s="26" t="str">
        <f>IF(TKB_Nhap!I24="","",TKB_Nhap!I24&amp;CHAR(10)&amp;IF(T(INDEX(PhanCong!$B$3:$J$18,MATCH(TKB_Nhap!I24,PhanCong!$A$3:$A$18,0),MATCH($A24,PhanCong!$B$2:$J$2,0)))="","(chưa PC GV)","GV: "&amp;INDEX(PhanCong!$B$3:$J$18,MATCH(TKB_Nhap!I24,PhanCong!$A$3:$A$18,0),MATCH($A24,PhanCong!$B$2:$J$2,0))))</f>
        <v/>
      </c>
      <c r="J24" s="26" t="str">
        <f>IF(TKB_Nhap!J24="","",TKB_Nhap!J24&amp;CHAR(10)&amp;IF(T(INDEX(PhanCong!$B$3:$J$18,MATCH(TKB_Nhap!J24,PhanCong!$A$3:$A$18,0),MATCH($A24,PhanCong!$B$2:$J$2,0)))="","(chưa PC GV)","GV: "&amp;INDEX(PhanCong!$B$3:$J$18,MATCH(TKB_Nhap!J24,PhanCong!$A$3:$A$18,0),MATCH($A24,PhanCong!$B$2:$J$2,0))))</f>
        <v/>
      </c>
    </row>
    <row r="25" spans="1:10" ht="27.75" customHeight="1" x14ac:dyDescent="0.25">
      <c r="A25" s="30" t="str">
        <f>TKB_Nhap!A25</f>
        <v>6C</v>
      </c>
      <c r="B25" s="30" t="str">
        <f>TKB_Nhap!B25</f>
        <v>C</v>
      </c>
      <c r="C25" s="30" t="str">
        <f>TKB_Nhap!C25</f>
        <v>3</v>
      </c>
      <c r="D25" s="26" t="str">
        <f>IF(TKB_Nhap!D25="","",TKB_Nhap!D25&amp;CHAR(10)&amp;IF(T(INDEX(PhanCong!$B$3:$J$18,MATCH(TKB_Nhap!D25,PhanCong!$A$3:$A$18,0),MATCH($A25,PhanCong!$B$2:$J$2,0)))="","(chưa PC GV)","GV: "&amp;INDEX(PhanCong!$B$3:$J$18,MATCH(TKB_Nhap!D25,PhanCong!$A$3:$A$18,0),MATCH($A25,PhanCong!$B$2:$J$2,0))))</f>
        <v/>
      </c>
      <c r="E25" s="26" t="str">
        <f>IF(TKB_Nhap!E25="","",TKB_Nhap!E25&amp;CHAR(10)&amp;IF(T(INDEX(PhanCong!$B$3:$J$18,MATCH(TKB_Nhap!E25,PhanCong!$A$3:$A$18,0),MATCH($A25,PhanCong!$B$2:$J$2,0)))="","(chưa PC GV)","GV: "&amp;INDEX(PhanCong!$B$3:$J$18,MATCH(TKB_Nhap!E25,PhanCong!$A$3:$A$18,0),MATCH($A25,PhanCong!$B$2:$J$2,0))))</f>
        <v/>
      </c>
      <c r="F25" s="26" t="str">
        <f>IF(TKB_Nhap!F25="","",TKB_Nhap!F25&amp;CHAR(10)&amp;IF(T(INDEX(PhanCong!$B$3:$J$18,MATCH(TKB_Nhap!F25,PhanCong!$A$3:$A$18,0),MATCH($A25,PhanCong!$B$2:$J$2,0)))="","(chưa PC GV)","GV: "&amp;INDEX(PhanCong!$B$3:$J$18,MATCH(TKB_Nhap!F25,PhanCong!$A$3:$A$18,0),MATCH($A25,PhanCong!$B$2:$J$2,0))))</f>
        <v/>
      </c>
      <c r="G25" s="26" t="str">
        <f>IF(TKB_Nhap!G25="","",TKB_Nhap!G25&amp;CHAR(10)&amp;IF(T(INDEX(PhanCong!$B$3:$J$18,MATCH(TKB_Nhap!G25,PhanCong!$A$3:$A$18,0),MATCH($A25,PhanCong!$B$2:$J$2,0)))="","(chưa PC GV)","GV: "&amp;INDEX(PhanCong!$B$3:$J$18,MATCH(TKB_Nhap!G25,PhanCong!$A$3:$A$18,0),MATCH($A25,PhanCong!$B$2:$J$2,0))))</f>
        <v/>
      </c>
      <c r="H25" s="26" t="str">
        <f>IF(TKB_Nhap!H25="","",TKB_Nhap!H25&amp;CHAR(10)&amp;IF(T(INDEX(PhanCong!$B$3:$J$18,MATCH(TKB_Nhap!H25,PhanCong!$A$3:$A$18,0),MATCH($A25,PhanCong!$B$2:$J$2,0)))="","(chưa PC GV)","GV: "&amp;INDEX(PhanCong!$B$3:$J$18,MATCH(TKB_Nhap!H25,PhanCong!$A$3:$A$18,0),MATCH($A25,PhanCong!$B$2:$J$2,0))))</f>
        <v/>
      </c>
      <c r="I25" s="26" t="str">
        <f>IF(TKB_Nhap!I25="","",TKB_Nhap!I25&amp;CHAR(10)&amp;IF(T(INDEX(PhanCong!$B$3:$J$18,MATCH(TKB_Nhap!I25,PhanCong!$A$3:$A$18,0),MATCH($A25,PhanCong!$B$2:$J$2,0)))="","(chưa PC GV)","GV: "&amp;INDEX(PhanCong!$B$3:$J$18,MATCH(TKB_Nhap!I25,PhanCong!$A$3:$A$18,0),MATCH($A25,PhanCong!$B$2:$J$2,0))))</f>
        <v/>
      </c>
      <c r="J25" s="26" t="str">
        <f>IF(TKB_Nhap!J25="","",TKB_Nhap!J25&amp;CHAR(10)&amp;IF(T(INDEX(PhanCong!$B$3:$J$18,MATCH(TKB_Nhap!J25,PhanCong!$A$3:$A$18,0),MATCH($A25,PhanCong!$B$2:$J$2,0)))="","(chưa PC GV)","GV: "&amp;INDEX(PhanCong!$B$3:$J$18,MATCH(TKB_Nhap!J25,PhanCong!$A$3:$A$18,0),MATCH($A25,PhanCong!$B$2:$J$2,0))))</f>
        <v/>
      </c>
    </row>
    <row r="26" spans="1:10" ht="27.75" customHeight="1" x14ac:dyDescent="0.25">
      <c r="A26" s="36" t="str">
        <f>TKB_Nhap!A26</f>
        <v>7A</v>
      </c>
      <c r="B26" s="36" t="str">
        <f>TKB_Nhap!B26</f>
        <v>S</v>
      </c>
      <c r="C26" s="36" t="str">
        <f>TKB_Nhap!C26</f>
        <v>1</v>
      </c>
      <c r="D26" s="38" t="str">
        <f>IF(TKB_Nhap!D26="","",TKB_Nhap!D26&amp;CHAR(10)&amp;IF(T(INDEX(PhanCong!$B$3:$J$18,MATCH(TKB_Nhap!D26,PhanCong!$A$3:$A$18,0),MATCH($A26,PhanCong!$B$2:$J$2,0)))="","(chưa PC GV)","GV: "&amp;INDEX(PhanCong!$B$3:$J$18,MATCH(TKB_Nhap!D26,PhanCong!$A$3:$A$18,0),MATCH($A26,PhanCong!$B$2:$J$2,0))))</f>
        <v>Hoạt động trải nghiệm, hướng nghiệp
GV: Minh Anh</v>
      </c>
      <c r="E26" s="38" t="str">
        <f>IF(TKB_Nhap!E26="","",TKB_Nhap!E26&amp;CHAR(10)&amp;IF(T(INDEX(PhanCong!$B$3:$J$18,MATCH(TKB_Nhap!E26,PhanCong!$A$3:$A$18,0),MATCH($A26,PhanCong!$B$2:$J$2,0)))="","(chưa PC GV)","GV: "&amp;INDEX(PhanCong!$B$3:$J$18,MATCH(TKB_Nhap!E26,PhanCong!$A$3:$A$18,0),MATCH($A26,PhanCong!$B$2:$J$2,0))))</f>
        <v>Toán học
GV: Minh Anh</v>
      </c>
      <c r="F26" s="38" t="str">
        <f>IF(TKB_Nhap!F26="","",TKB_Nhap!F26&amp;CHAR(10)&amp;IF(T(INDEX(PhanCong!$B$3:$J$18,MATCH(TKB_Nhap!F26,PhanCong!$A$3:$A$18,0),MATCH($A26,PhanCong!$B$2:$J$2,0)))="","(chưa PC GV)","GV: "&amp;INDEX(PhanCong!$B$3:$J$18,MATCH(TKB_Nhap!F26,PhanCong!$A$3:$A$18,0),MATCH($A26,PhanCong!$B$2:$J$2,0))))</f>
        <v>Khoa học tự nhiên (Sinh học)
GV: Hoà</v>
      </c>
      <c r="G26" s="38" t="str">
        <f>IF(TKB_Nhap!G26="","",TKB_Nhap!G26&amp;CHAR(10)&amp;IF(T(INDEX(PhanCong!$B$3:$J$18,MATCH(TKB_Nhap!G26,PhanCong!$A$3:$A$18,0),MATCH($A26,PhanCong!$B$2:$J$2,0)))="","(chưa PC GV)","GV: "&amp;INDEX(PhanCong!$B$3:$J$18,MATCH(TKB_Nhap!G26,PhanCong!$A$3:$A$18,0),MATCH($A26,PhanCong!$B$2:$J$2,0))))</f>
        <v>Công nghệ
GV: Sơn</v>
      </c>
      <c r="H26" s="38" t="str">
        <f>IF(TKB_Nhap!H26="","",TKB_Nhap!H26&amp;CHAR(10)&amp;IF(T(INDEX(PhanCong!$B$3:$J$18,MATCH(TKB_Nhap!H26,PhanCong!$A$3:$A$18,0),MATCH($A26,PhanCong!$B$2:$J$2,0)))="","(chưa PC GV)","GV: "&amp;INDEX(PhanCong!$B$3:$J$18,MATCH(TKB_Nhap!H26,PhanCong!$A$3:$A$18,0),MATCH($A26,PhanCong!$B$2:$J$2,0))))</f>
        <v>Ngoại ngữ
GV: Giang</v>
      </c>
      <c r="I26" s="38" t="str">
        <f>IF(TKB_Nhap!I26="","",TKB_Nhap!I26&amp;CHAR(10)&amp;IF(T(INDEX(PhanCong!$B$3:$J$18,MATCH(TKB_Nhap!I26,PhanCong!$A$3:$A$18,0),MATCH($A26,PhanCong!$B$2:$J$2,0)))="","(chưa PC GV)","GV: "&amp;INDEX(PhanCong!$B$3:$J$18,MATCH(TKB_Nhap!I26,PhanCong!$A$3:$A$18,0),MATCH($A26,PhanCong!$B$2:$J$2,0))))</f>
        <v>Hoạt động trải nghiệm, hướng nghiệp
GV: Minh Anh</v>
      </c>
      <c r="J26" s="38" t="str">
        <f>IF(TKB_Nhap!J26="","",TKB_Nhap!J26&amp;CHAR(10)&amp;IF(T(INDEX(PhanCong!$B$3:$J$18,MATCH(TKB_Nhap!J26,PhanCong!$A$3:$A$18,0),MATCH($A26,PhanCong!$B$2:$J$2,0)))="","(chưa PC GV)","GV: "&amp;INDEX(PhanCong!$B$3:$J$18,MATCH(TKB_Nhap!J26,PhanCong!$A$3:$A$18,0),MATCH($A26,PhanCong!$B$2:$J$2,0))))</f>
        <v/>
      </c>
    </row>
    <row r="27" spans="1:10" ht="27.75" customHeight="1" x14ac:dyDescent="0.25">
      <c r="A27" s="36" t="str">
        <f>TKB_Nhap!A27</f>
        <v>7A</v>
      </c>
      <c r="B27" s="36" t="str">
        <f>TKB_Nhap!B27</f>
        <v>S</v>
      </c>
      <c r="C27" s="36" t="str">
        <f>TKB_Nhap!C27</f>
        <v>2</v>
      </c>
      <c r="D27" s="38" t="str">
        <f>IF(TKB_Nhap!D27="","",TKB_Nhap!D27&amp;CHAR(10)&amp;IF(T(INDEX(PhanCong!$B$3:$J$18,MATCH(TKB_Nhap!D27,PhanCong!$A$3:$A$18,0),MATCH($A27,PhanCong!$B$2:$J$2,0)))="","(chưa PC GV)","GV: "&amp;INDEX(PhanCong!$B$3:$J$18,MATCH(TKB_Nhap!D27,PhanCong!$A$3:$A$18,0),MATCH($A27,PhanCong!$B$2:$J$2,0))))</f>
        <v>Toán học
GV: Minh Anh</v>
      </c>
      <c r="E27" s="38" t="str">
        <f>IF(TKB_Nhap!E27="","",TKB_Nhap!E27&amp;CHAR(10)&amp;IF(T(INDEX(PhanCong!$B$3:$J$18,MATCH(TKB_Nhap!E27,PhanCong!$A$3:$A$18,0),MATCH($A27,PhanCong!$B$2:$J$2,0)))="","(chưa PC GV)","GV: "&amp;INDEX(PhanCong!$B$3:$J$18,MATCH(TKB_Nhap!E27,PhanCong!$A$3:$A$18,0),MATCH($A27,PhanCong!$B$2:$J$2,0))))</f>
        <v>Nội dung giáo dục của địa phương
GV: Nhung</v>
      </c>
      <c r="F27" s="38" t="str">
        <f>IF(TKB_Nhap!F27="","",TKB_Nhap!F27&amp;CHAR(10)&amp;IF(T(INDEX(PhanCong!$B$3:$J$18,MATCH(TKB_Nhap!F27,PhanCong!$A$3:$A$18,0),MATCH($A27,PhanCong!$B$2:$J$2,0)))="","(chưa PC GV)","GV: "&amp;INDEX(PhanCong!$B$3:$J$18,MATCH(TKB_Nhap!F27,PhanCong!$A$3:$A$18,0),MATCH($A27,PhanCong!$B$2:$J$2,0))))</f>
        <v>Ngữ văn
GV: Uyên</v>
      </c>
      <c r="G27" s="38" t="str">
        <f>IF(TKB_Nhap!G27="","",TKB_Nhap!G27&amp;CHAR(10)&amp;IF(T(INDEX(PhanCong!$B$3:$J$18,MATCH(TKB_Nhap!G27,PhanCong!$A$3:$A$18,0),MATCH($A27,PhanCong!$B$2:$J$2,0)))="","(chưa PC GV)","GV: "&amp;INDEX(PhanCong!$B$3:$J$18,MATCH(TKB_Nhap!G27,PhanCong!$A$3:$A$18,0),MATCH($A27,PhanCong!$B$2:$J$2,0))))</f>
        <v>Khoa học tự nhiên (Hoá học)
GV: Khu</v>
      </c>
      <c r="H27" s="38" t="str">
        <f>IF(TKB_Nhap!H27="","",TKB_Nhap!H27&amp;CHAR(10)&amp;IF(T(INDEX(PhanCong!$B$3:$J$18,MATCH(TKB_Nhap!H27,PhanCong!$A$3:$A$18,0),MATCH($A27,PhanCong!$B$2:$J$2,0)))="","(chưa PC GV)","GV: "&amp;INDEX(PhanCong!$B$3:$J$18,MATCH(TKB_Nhap!H27,PhanCong!$A$3:$A$18,0),MATCH($A27,PhanCong!$B$2:$J$2,0))))</f>
        <v>Lịch sử và địa lý (Lịch sử)
GV: Huyền</v>
      </c>
      <c r="I27" s="38" t="str">
        <f>IF(TKB_Nhap!I27="","",TKB_Nhap!I27&amp;CHAR(10)&amp;IF(T(INDEX(PhanCong!$B$3:$J$18,MATCH(TKB_Nhap!I27,PhanCong!$A$3:$A$18,0),MATCH($A27,PhanCong!$B$2:$J$2,0)))="","(chưa PC GV)","GV: "&amp;INDEX(PhanCong!$B$3:$J$18,MATCH(TKB_Nhap!I27,PhanCong!$A$3:$A$18,0),MATCH($A27,PhanCong!$B$2:$J$2,0))))</f>
        <v>Tin
GV: Minh Anh</v>
      </c>
      <c r="J27" s="38" t="str">
        <f>IF(TKB_Nhap!J27="","",TKB_Nhap!J27&amp;CHAR(10)&amp;IF(T(INDEX(PhanCong!$B$3:$J$18,MATCH(TKB_Nhap!J27,PhanCong!$A$3:$A$18,0),MATCH($A27,PhanCong!$B$2:$J$2,0)))="","(chưa PC GV)","GV: "&amp;INDEX(PhanCong!$B$3:$J$18,MATCH(TKB_Nhap!J27,PhanCong!$A$3:$A$18,0),MATCH($A27,PhanCong!$B$2:$J$2,0))))</f>
        <v/>
      </c>
    </row>
    <row r="28" spans="1:10" ht="27.75" customHeight="1" x14ac:dyDescent="0.25">
      <c r="A28" s="36" t="str">
        <f>TKB_Nhap!A28</f>
        <v>7A</v>
      </c>
      <c r="B28" s="36" t="str">
        <f>TKB_Nhap!B28</f>
        <v>S</v>
      </c>
      <c r="C28" s="36" t="str">
        <f>TKB_Nhap!C28</f>
        <v>3</v>
      </c>
      <c r="D28" s="38" t="str">
        <f>IF(TKB_Nhap!D28="","",TKB_Nhap!D28&amp;CHAR(10)&amp;IF(T(INDEX(PhanCong!$B$3:$J$18,MATCH(TKB_Nhap!D28,PhanCong!$A$3:$A$18,0),MATCH($A28,PhanCong!$B$2:$J$2,0)))="","(chưa PC GV)","GV: "&amp;INDEX(PhanCong!$B$3:$J$18,MATCH(TKB_Nhap!D28,PhanCong!$A$3:$A$18,0),MATCH($A28,PhanCong!$B$2:$J$2,0))))</f>
        <v>Ngữ văn
GV: Uyên</v>
      </c>
      <c r="E28" s="38" t="str">
        <f>IF(TKB_Nhap!E28="","",TKB_Nhap!E28&amp;CHAR(10)&amp;IF(T(INDEX(PhanCong!$B$3:$J$18,MATCH(TKB_Nhap!E28,PhanCong!$A$3:$A$18,0),MATCH($A28,PhanCong!$B$2:$J$2,0)))="","(chưa PC GV)","GV: "&amp;INDEX(PhanCong!$B$3:$J$18,MATCH(TKB_Nhap!E28,PhanCong!$A$3:$A$18,0),MATCH($A28,PhanCong!$B$2:$J$2,0))))</f>
        <v>Khoa học tự nhiên (Sinh học)
GV: Hoà</v>
      </c>
      <c r="F28" s="38" t="str">
        <f>IF(TKB_Nhap!F28="","",TKB_Nhap!F28&amp;CHAR(10)&amp;IF(T(INDEX(PhanCong!$B$3:$J$18,MATCH(TKB_Nhap!F28,PhanCong!$A$3:$A$18,0),MATCH($A28,PhanCong!$B$2:$J$2,0)))="","(chưa PC GV)","GV: "&amp;INDEX(PhanCong!$B$3:$J$18,MATCH(TKB_Nhap!F28,PhanCong!$A$3:$A$18,0),MATCH($A28,PhanCong!$B$2:$J$2,0))))</f>
        <v>Ngữ văn
GV: Uyên</v>
      </c>
      <c r="G28" s="38" t="str">
        <f>IF(TKB_Nhap!G28="","",TKB_Nhap!G28&amp;CHAR(10)&amp;IF(T(INDEX(PhanCong!$B$3:$J$18,MATCH(TKB_Nhap!G28,PhanCong!$A$3:$A$18,0),MATCH($A28,PhanCong!$B$2:$J$2,0)))="","(chưa PC GV)","GV: "&amp;INDEX(PhanCong!$B$3:$J$18,MATCH(TKB_Nhap!G28,PhanCong!$A$3:$A$18,0),MATCH($A28,PhanCong!$B$2:$J$2,0))))</f>
        <v>Giáo dục công dân
GV: Hoa</v>
      </c>
      <c r="H28" s="38" t="str">
        <f>IF(TKB_Nhap!H28="","",TKB_Nhap!H28&amp;CHAR(10)&amp;IF(T(INDEX(PhanCong!$B$3:$J$18,MATCH(TKB_Nhap!H28,PhanCong!$A$3:$A$18,0),MATCH($A28,PhanCong!$B$2:$J$2,0)))="","(chưa PC GV)","GV: "&amp;INDEX(PhanCong!$B$3:$J$18,MATCH(TKB_Nhap!H28,PhanCong!$A$3:$A$18,0),MATCH($A28,PhanCong!$B$2:$J$2,0))))</f>
        <v>Nghệ thuật (Mỹ thuật)
GV: Lan Ly</v>
      </c>
      <c r="I28" s="38" t="str">
        <f>IF(TKB_Nhap!I28="","",TKB_Nhap!I28&amp;CHAR(10)&amp;IF(T(INDEX(PhanCong!$B$3:$J$18,MATCH(TKB_Nhap!I28,PhanCong!$A$3:$A$18,0),MATCH($A28,PhanCong!$B$2:$J$2,0)))="","(chưa PC GV)","GV: "&amp;INDEX(PhanCong!$B$3:$J$18,MATCH(TKB_Nhap!I28,PhanCong!$A$3:$A$18,0),MATCH($A28,PhanCong!$B$2:$J$2,0))))</f>
        <v>Nghệ thuật (Nhạc)
GV: Nhung</v>
      </c>
      <c r="J28" s="38" t="str">
        <f>IF(TKB_Nhap!J28="","",TKB_Nhap!J28&amp;CHAR(10)&amp;IF(T(INDEX(PhanCong!$B$3:$J$18,MATCH(TKB_Nhap!J28,PhanCong!$A$3:$A$18,0),MATCH($A28,PhanCong!$B$2:$J$2,0)))="","(chưa PC GV)","GV: "&amp;INDEX(PhanCong!$B$3:$J$18,MATCH(TKB_Nhap!J28,PhanCong!$A$3:$A$18,0),MATCH($A28,PhanCong!$B$2:$J$2,0))))</f>
        <v/>
      </c>
    </row>
    <row r="29" spans="1:10" ht="27.75" customHeight="1" x14ac:dyDescent="0.25">
      <c r="A29" s="36" t="str">
        <f>TKB_Nhap!A29</f>
        <v>7A</v>
      </c>
      <c r="B29" s="36" t="str">
        <f>TKB_Nhap!B29</f>
        <v>S</v>
      </c>
      <c r="C29" s="36" t="str">
        <f>TKB_Nhap!C29</f>
        <v>4</v>
      </c>
      <c r="D29" s="38" t="str">
        <f>IF(TKB_Nhap!D29="","",TKB_Nhap!D29&amp;CHAR(10)&amp;IF(T(INDEX(PhanCong!$B$3:$J$18,MATCH(TKB_Nhap!D29,PhanCong!$A$3:$A$18,0),MATCH($A29,PhanCong!$B$2:$J$2,0)))="","(chưa PC GV)","GV: "&amp;INDEX(PhanCong!$B$3:$J$18,MATCH(TKB_Nhap!D29,PhanCong!$A$3:$A$18,0),MATCH($A29,PhanCong!$B$2:$J$2,0))))</f>
        <v>Ngoại ngữ
GV: Giang</v>
      </c>
      <c r="E29" s="38" t="str">
        <f>IF(TKB_Nhap!E29="","",TKB_Nhap!E29&amp;CHAR(10)&amp;IF(T(INDEX(PhanCong!$B$3:$J$18,MATCH(TKB_Nhap!E29,PhanCong!$A$3:$A$18,0),MATCH($A29,PhanCong!$B$2:$J$2,0)))="","(chưa PC GV)","GV: "&amp;INDEX(PhanCong!$B$3:$J$18,MATCH(TKB_Nhap!E29,PhanCong!$A$3:$A$18,0),MATCH($A29,PhanCong!$B$2:$J$2,0))))</f>
        <v>Giáo dục thể chất
GV: Hồng</v>
      </c>
      <c r="F29" s="38" t="str">
        <f>IF(TKB_Nhap!F29="","",TKB_Nhap!F29&amp;CHAR(10)&amp;IF(T(INDEX(PhanCong!$B$3:$J$18,MATCH(TKB_Nhap!F29,PhanCong!$A$3:$A$18,0),MATCH($A29,PhanCong!$B$2:$J$2,0)))="","(chưa PC GV)","GV: "&amp;INDEX(PhanCong!$B$3:$J$18,MATCH(TKB_Nhap!F29,PhanCong!$A$3:$A$18,0),MATCH($A29,PhanCong!$B$2:$J$2,0))))</f>
        <v>Giáo dục thể chất
GV: Hồng</v>
      </c>
      <c r="G29" s="38" t="str">
        <f>IF(TKB_Nhap!G29="","",TKB_Nhap!G29&amp;CHAR(10)&amp;IF(T(INDEX(PhanCong!$B$3:$J$18,MATCH(TKB_Nhap!G29,PhanCong!$A$3:$A$18,0),MATCH($A29,PhanCong!$B$2:$J$2,0)))="","(chưa PC GV)","GV: "&amp;INDEX(PhanCong!$B$3:$J$18,MATCH(TKB_Nhap!G29,PhanCong!$A$3:$A$18,0),MATCH($A29,PhanCong!$B$2:$J$2,0))))</f>
        <v>Khoa học tự nhiên (Vật lý)
GV: Huyền Ly</v>
      </c>
      <c r="H29" s="38" t="str">
        <f>IF(TKB_Nhap!H29="","",TKB_Nhap!H29&amp;CHAR(10)&amp;IF(T(INDEX(PhanCong!$B$3:$J$18,MATCH(TKB_Nhap!H29,PhanCong!$A$3:$A$18,0),MATCH($A29,PhanCong!$B$2:$J$2,0)))="","(chưa PC GV)","GV: "&amp;INDEX(PhanCong!$B$3:$J$18,MATCH(TKB_Nhap!H29,PhanCong!$A$3:$A$18,0),MATCH($A29,PhanCong!$B$2:$J$2,0))))</f>
        <v>Ngữ văn
GV: Uyên</v>
      </c>
      <c r="I29" s="38" t="str">
        <f>IF(TKB_Nhap!I29="","",TKB_Nhap!I29&amp;CHAR(10)&amp;IF(T(INDEX(PhanCong!$B$3:$J$18,MATCH(TKB_Nhap!I29,PhanCong!$A$3:$A$18,0),MATCH($A29,PhanCong!$B$2:$J$2,0)))="","(chưa PC GV)","GV: "&amp;INDEX(PhanCong!$B$3:$J$18,MATCH(TKB_Nhap!I29,PhanCong!$A$3:$A$18,0),MATCH($A29,PhanCong!$B$2:$J$2,0))))</f>
        <v>Lịch sử và địa lý (Địa lý)
GV: Huyền</v>
      </c>
      <c r="J29" s="38" t="str">
        <f>IF(TKB_Nhap!J29="","",TKB_Nhap!J29&amp;CHAR(10)&amp;IF(T(INDEX(PhanCong!$B$3:$J$18,MATCH(TKB_Nhap!J29,PhanCong!$A$3:$A$18,0),MATCH($A29,PhanCong!$B$2:$J$2,0)))="","(chưa PC GV)","GV: "&amp;INDEX(PhanCong!$B$3:$J$18,MATCH(TKB_Nhap!J29,PhanCong!$A$3:$A$18,0),MATCH($A29,PhanCong!$B$2:$J$2,0))))</f>
        <v/>
      </c>
    </row>
    <row r="30" spans="1:10" ht="27.75" customHeight="1" x14ac:dyDescent="0.25">
      <c r="A30" s="36" t="str">
        <f>TKB_Nhap!A30</f>
        <v>7A</v>
      </c>
      <c r="B30" s="36" t="str">
        <f>TKB_Nhap!B30</f>
        <v>S</v>
      </c>
      <c r="C30" s="36" t="str">
        <f>TKB_Nhap!C30</f>
        <v>5</v>
      </c>
      <c r="D30" s="38" t="str">
        <f>IF(TKB_Nhap!D30="","",TKB_Nhap!D30&amp;CHAR(10)&amp;IF(T(INDEX(PhanCong!$B$3:$J$18,MATCH(TKB_Nhap!D30,PhanCong!$A$3:$A$18,0),MATCH($A30,PhanCong!$B$2:$J$2,0)))="","(chưa PC GV)","GV: "&amp;INDEX(PhanCong!$B$3:$J$18,MATCH(TKB_Nhap!D30,PhanCong!$A$3:$A$18,0),MATCH($A30,PhanCong!$B$2:$J$2,0))))</f>
        <v>Lịch sử và địa lý (Lịch sử)
GV: Huyền</v>
      </c>
      <c r="E30" s="38" t="str">
        <f>IF(TKB_Nhap!E30="","",TKB_Nhap!E30&amp;CHAR(10)&amp;IF(T(INDEX(PhanCong!$B$3:$J$18,MATCH(TKB_Nhap!E30,PhanCong!$A$3:$A$18,0),MATCH($A30,PhanCong!$B$2:$J$2,0)))="","(chưa PC GV)","GV: "&amp;INDEX(PhanCong!$B$3:$J$18,MATCH(TKB_Nhap!E30,PhanCong!$A$3:$A$18,0),MATCH($A30,PhanCong!$B$2:$J$2,0))))</f>
        <v>Hoạt động trải nghiệm, hướng nghiệp
GV: Minh Anh</v>
      </c>
      <c r="F30" s="38" t="str">
        <f>IF(TKB_Nhap!F30="","",TKB_Nhap!F30&amp;CHAR(10)&amp;IF(T(INDEX(PhanCong!$B$3:$J$18,MATCH(TKB_Nhap!F30,PhanCong!$A$3:$A$18,0),MATCH($A30,PhanCong!$B$2:$J$2,0)))="","(chưa PC GV)","GV: "&amp;INDEX(PhanCong!$B$3:$J$18,MATCH(TKB_Nhap!F30,PhanCong!$A$3:$A$18,0),MATCH($A30,PhanCong!$B$2:$J$2,0))))</f>
        <v>Ngoại ngữ
GV: Giang</v>
      </c>
      <c r="G30" s="38" t="str">
        <f>IF(TKB_Nhap!G30="","",TKB_Nhap!G30&amp;CHAR(10)&amp;IF(T(INDEX(PhanCong!$B$3:$J$18,MATCH(TKB_Nhap!G30,PhanCong!$A$3:$A$18,0),MATCH($A30,PhanCong!$B$2:$J$2,0)))="","(chưa PC GV)","GV: "&amp;INDEX(PhanCong!$B$3:$J$18,MATCH(TKB_Nhap!G30,PhanCong!$A$3:$A$18,0),MATCH($A30,PhanCong!$B$2:$J$2,0))))</f>
        <v>Toán học
GV: Minh Anh</v>
      </c>
      <c r="H30" s="38" t="str">
        <f>IF(TKB_Nhap!H30="","",TKB_Nhap!H30&amp;CHAR(10)&amp;IF(T(INDEX(PhanCong!$B$3:$J$18,MATCH(TKB_Nhap!H30,PhanCong!$A$3:$A$18,0),MATCH($A30,PhanCong!$B$2:$J$2,0)))="","(chưa PC GV)","GV: "&amp;INDEX(PhanCong!$B$3:$J$18,MATCH(TKB_Nhap!H30,PhanCong!$A$3:$A$18,0),MATCH($A30,PhanCong!$B$2:$J$2,0))))</f>
        <v/>
      </c>
      <c r="I30" s="38" t="str">
        <f>IF(TKB_Nhap!I30="","",TKB_Nhap!I30&amp;CHAR(10)&amp;IF(T(INDEX(PhanCong!$B$3:$J$18,MATCH(TKB_Nhap!I30,PhanCong!$A$3:$A$18,0),MATCH($A30,PhanCong!$B$2:$J$2,0)))="","(chưa PC GV)","GV: "&amp;INDEX(PhanCong!$B$3:$J$18,MATCH(TKB_Nhap!I30,PhanCong!$A$3:$A$18,0),MATCH($A30,PhanCong!$B$2:$J$2,0))))</f>
        <v>Toán học
GV: Minh Anh</v>
      </c>
      <c r="J30" s="38" t="str">
        <f>IF(TKB_Nhap!J30="","",TKB_Nhap!J30&amp;CHAR(10)&amp;IF(T(INDEX(PhanCong!$B$3:$J$18,MATCH(TKB_Nhap!J30,PhanCong!$A$3:$A$18,0),MATCH($A30,PhanCong!$B$2:$J$2,0)))="","(chưa PC GV)","GV: "&amp;INDEX(PhanCong!$B$3:$J$18,MATCH(TKB_Nhap!J30,PhanCong!$A$3:$A$18,0),MATCH($A30,PhanCong!$B$2:$J$2,0))))</f>
        <v/>
      </c>
    </row>
    <row r="31" spans="1:10" ht="27.75" customHeight="1" x14ac:dyDescent="0.25">
      <c r="A31" s="36" t="str">
        <f>TKB_Nhap!A31</f>
        <v>7A</v>
      </c>
      <c r="B31" s="36" t="str">
        <f>TKB_Nhap!B31</f>
        <v>C</v>
      </c>
      <c r="C31" s="36" t="str">
        <f>TKB_Nhap!C31</f>
        <v>1</v>
      </c>
      <c r="D31" s="38" t="str">
        <f>IF(TKB_Nhap!D31="","",TKB_Nhap!D31&amp;CHAR(10)&amp;IF(T(INDEX(PhanCong!$B$3:$J$18,MATCH(TKB_Nhap!D31,PhanCong!$A$3:$A$18,0),MATCH($A31,PhanCong!$B$2:$J$2,0)))="","(chưa PC GV)","GV: "&amp;INDEX(PhanCong!$B$3:$J$18,MATCH(TKB_Nhap!D31,PhanCong!$A$3:$A$18,0),MATCH($A31,PhanCong!$B$2:$J$2,0))))</f>
        <v/>
      </c>
      <c r="E31" s="38" t="str">
        <f>IF(TKB_Nhap!E31="","",TKB_Nhap!E31&amp;CHAR(10)&amp;IF(T(INDEX(PhanCong!$B$3:$J$18,MATCH(TKB_Nhap!E31,PhanCong!$A$3:$A$18,0),MATCH($A31,PhanCong!$B$2:$J$2,0)))="","(chưa PC GV)","GV: "&amp;INDEX(PhanCong!$B$3:$J$18,MATCH(TKB_Nhap!E31,PhanCong!$A$3:$A$18,0),MATCH($A31,PhanCong!$B$2:$J$2,0))))</f>
        <v/>
      </c>
      <c r="F31" s="38" t="str">
        <f>IF(TKB_Nhap!F31="","",TKB_Nhap!F31&amp;CHAR(10)&amp;IF(T(INDEX(PhanCong!$B$3:$J$18,MATCH(TKB_Nhap!F31,PhanCong!$A$3:$A$18,0),MATCH($A31,PhanCong!$B$2:$J$2,0)))="","(chưa PC GV)","GV: "&amp;INDEX(PhanCong!$B$3:$J$18,MATCH(TKB_Nhap!F31,PhanCong!$A$3:$A$18,0),MATCH($A31,PhanCong!$B$2:$J$2,0))))</f>
        <v/>
      </c>
      <c r="G31" s="38" t="str">
        <f>IF(TKB_Nhap!G31="","",TKB_Nhap!G31&amp;CHAR(10)&amp;IF(T(INDEX(PhanCong!$B$3:$J$18,MATCH(TKB_Nhap!G31,PhanCong!$A$3:$A$18,0),MATCH($A31,PhanCong!$B$2:$J$2,0)))="","(chưa PC GV)","GV: "&amp;INDEX(PhanCong!$B$3:$J$18,MATCH(TKB_Nhap!G31,PhanCong!$A$3:$A$18,0),MATCH($A31,PhanCong!$B$2:$J$2,0))))</f>
        <v/>
      </c>
      <c r="H31" s="38" t="str">
        <f>IF(TKB_Nhap!H31="","",TKB_Nhap!H31&amp;CHAR(10)&amp;IF(T(INDEX(PhanCong!$B$3:$J$18,MATCH(TKB_Nhap!H31,PhanCong!$A$3:$A$18,0),MATCH($A31,PhanCong!$B$2:$J$2,0)))="","(chưa PC GV)","GV: "&amp;INDEX(PhanCong!$B$3:$J$18,MATCH(TKB_Nhap!H31,PhanCong!$A$3:$A$18,0),MATCH($A31,PhanCong!$B$2:$J$2,0))))</f>
        <v/>
      </c>
      <c r="I31" s="38" t="str">
        <f>IF(TKB_Nhap!I31="","",TKB_Nhap!I31&amp;CHAR(10)&amp;IF(T(INDEX(PhanCong!$B$3:$J$18,MATCH(TKB_Nhap!I31,PhanCong!$A$3:$A$18,0),MATCH($A31,PhanCong!$B$2:$J$2,0)))="","(chưa PC GV)","GV: "&amp;INDEX(PhanCong!$B$3:$J$18,MATCH(TKB_Nhap!I31,PhanCong!$A$3:$A$18,0),MATCH($A31,PhanCong!$B$2:$J$2,0))))</f>
        <v/>
      </c>
      <c r="J31" s="38" t="str">
        <f>IF(TKB_Nhap!J31="","",TKB_Nhap!J31&amp;CHAR(10)&amp;IF(T(INDEX(PhanCong!$B$3:$J$18,MATCH(TKB_Nhap!J31,PhanCong!$A$3:$A$18,0),MATCH($A31,PhanCong!$B$2:$J$2,0)))="","(chưa PC GV)","GV: "&amp;INDEX(PhanCong!$B$3:$J$18,MATCH(TKB_Nhap!J31,PhanCong!$A$3:$A$18,0),MATCH($A31,PhanCong!$B$2:$J$2,0))))</f>
        <v/>
      </c>
    </row>
    <row r="32" spans="1:10" ht="27.75" customHeight="1" x14ac:dyDescent="0.25">
      <c r="A32" s="36" t="str">
        <f>TKB_Nhap!A32</f>
        <v>7A</v>
      </c>
      <c r="B32" s="36" t="str">
        <f>TKB_Nhap!B32</f>
        <v>C</v>
      </c>
      <c r="C32" s="36" t="str">
        <f>TKB_Nhap!C32</f>
        <v>2</v>
      </c>
      <c r="D32" s="38" t="str">
        <f>IF(TKB_Nhap!D32="","",TKB_Nhap!D32&amp;CHAR(10)&amp;IF(T(INDEX(PhanCong!$B$3:$J$18,MATCH(TKB_Nhap!D32,PhanCong!$A$3:$A$18,0),MATCH($A32,PhanCong!$B$2:$J$2,0)))="","(chưa PC GV)","GV: "&amp;INDEX(PhanCong!$B$3:$J$18,MATCH(TKB_Nhap!D32,PhanCong!$A$3:$A$18,0),MATCH($A32,PhanCong!$B$2:$J$2,0))))</f>
        <v/>
      </c>
      <c r="E32" s="38" t="str">
        <f>IF(TKB_Nhap!E32="","",TKB_Nhap!E32&amp;CHAR(10)&amp;IF(T(INDEX(PhanCong!$B$3:$J$18,MATCH(TKB_Nhap!E32,PhanCong!$A$3:$A$18,0),MATCH($A32,PhanCong!$B$2:$J$2,0)))="","(chưa PC GV)","GV: "&amp;INDEX(PhanCong!$B$3:$J$18,MATCH(TKB_Nhap!E32,PhanCong!$A$3:$A$18,0),MATCH($A32,PhanCong!$B$2:$J$2,0))))</f>
        <v/>
      </c>
      <c r="F32" s="38" t="str">
        <f>IF(TKB_Nhap!F32="","",TKB_Nhap!F32&amp;CHAR(10)&amp;IF(T(INDEX(PhanCong!$B$3:$J$18,MATCH(TKB_Nhap!F32,PhanCong!$A$3:$A$18,0),MATCH($A32,PhanCong!$B$2:$J$2,0)))="","(chưa PC GV)","GV: "&amp;INDEX(PhanCong!$B$3:$J$18,MATCH(TKB_Nhap!F32,PhanCong!$A$3:$A$18,0),MATCH($A32,PhanCong!$B$2:$J$2,0))))</f>
        <v/>
      </c>
      <c r="G32" s="38" t="str">
        <f>IF(TKB_Nhap!G32="","",TKB_Nhap!G32&amp;CHAR(10)&amp;IF(T(INDEX(PhanCong!$B$3:$J$18,MATCH(TKB_Nhap!G32,PhanCong!$A$3:$A$18,0),MATCH($A32,PhanCong!$B$2:$J$2,0)))="","(chưa PC GV)","GV: "&amp;INDEX(PhanCong!$B$3:$J$18,MATCH(TKB_Nhap!G32,PhanCong!$A$3:$A$18,0),MATCH($A32,PhanCong!$B$2:$J$2,0))))</f>
        <v/>
      </c>
      <c r="H32" s="38" t="str">
        <f>IF(TKB_Nhap!H32="","",TKB_Nhap!H32&amp;CHAR(10)&amp;IF(T(INDEX(PhanCong!$B$3:$J$18,MATCH(TKB_Nhap!H32,PhanCong!$A$3:$A$18,0),MATCH($A32,PhanCong!$B$2:$J$2,0)))="","(chưa PC GV)","GV: "&amp;INDEX(PhanCong!$B$3:$J$18,MATCH(TKB_Nhap!H32,PhanCong!$A$3:$A$18,0),MATCH($A32,PhanCong!$B$2:$J$2,0))))</f>
        <v/>
      </c>
      <c r="I32" s="38" t="str">
        <f>IF(TKB_Nhap!I32="","",TKB_Nhap!I32&amp;CHAR(10)&amp;IF(T(INDEX(PhanCong!$B$3:$J$18,MATCH(TKB_Nhap!I32,PhanCong!$A$3:$A$18,0),MATCH($A32,PhanCong!$B$2:$J$2,0)))="","(chưa PC GV)","GV: "&amp;INDEX(PhanCong!$B$3:$J$18,MATCH(TKB_Nhap!I32,PhanCong!$A$3:$A$18,0),MATCH($A32,PhanCong!$B$2:$J$2,0))))</f>
        <v/>
      </c>
      <c r="J32" s="38" t="str">
        <f>IF(TKB_Nhap!J32="","",TKB_Nhap!J32&amp;CHAR(10)&amp;IF(T(INDEX(PhanCong!$B$3:$J$18,MATCH(TKB_Nhap!J32,PhanCong!$A$3:$A$18,0),MATCH($A32,PhanCong!$B$2:$J$2,0)))="","(chưa PC GV)","GV: "&amp;INDEX(PhanCong!$B$3:$J$18,MATCH(TKB_Nhap!J32,PhanCong!$A$3:$A$18,0),MATCH($A32,PhanCong!$B$2:$J$2,0))))</f>
        <v/>
      </c>
    </row>
    <row r="33" spans="1:10" ht="27.75" customHeight="1" x14ac:dyDescent="0.25">
      <c r="A33" s="36" t="str">
        <f>TKB_Nhap!A33</f>
        <v>7A</v>
      </c>
      <c r="B33" s="36" t="str">
        <f>TKB_Nhap!B33</f>
        <v>C</v>
      </c>
      <c r="C33" s="36" t="str">
        <f>TKB_Nhap!C33</f>
        <v>3</v>
      </c>
      <c r="D33" s="38" t="str">
        <f>IF(TKB_Nhap!D33="","",TKB_Nhap!D33&amp;CHAR(10)&amp;IF(T(INDEX(PhanCong!$B$3:$J$18,MATCH(TKB_Nhap!D33,PhanCong!$A$3:$A$18,0),MATCH($A33,PhanCong!$B$2:$J$2,0)))="","(chưa PC GV)","GV: "&amp;INDEX(PhanCong!$B$3:$J$18,MATCH(TKB_Nhap!D33,PhanCong!$A$3:$A$18,0),MATCH($A33,PhanCong!$B$2:$J$2,0))))</f>
        <v/>
      </c>
      <c r="E33" s="38" t="str">
        <f>IF(TKB_Nhap!E33="","",TKB_Nhap!E33&amp;CHAR(10)&amp;IF(T(INDEX(PhanCong!$B$3:$J$18,MATCH(TKB_Nhap!E33,PhanCong!$A$3:$A$18,0),MATCH($A33,PhanCong!$B$2:$J$2,0)))="","(chưa PC GV)","GV: "&amp;INDEX(PhanCong!$B$3:$J$18,MATCH(TKB_Nhap!E33,PhanCong!$A$3:$A$18,0),MATCH($A33,PhanCong!$B$2:$J$2,0))))</f>
        <v/>
      </c>
      <c r="F33" s="38" t="str">
        <f>IF(TKB_Nhap!F33="","",TKB_Nhap!F33&amp;CHAR(10)&amp;IF(T(INDEX(PhanCong!$B$3:$J$18,MATCH(TKB_Nhap!F33,PhanCong!$A$3:$A$18,0),MATCH($A33,PhanCong!$B$2:$J$2,0)))="","(chưa PC GV)","GV: "&amp;INDEX(PhanCong!$B$3:$J$18,MATCH(TKB_Nhap!F33,PhanCong!$A$3:$A$18,0),MATCH($A33,PhanCong!$B$2:$J$2,0))))</f>
        <v/>
      </c>
      <c r="G33" s="38" t="str">
        <f>IF(TKB_Nhap!G33="","",TKB_Nhap!G33&amp;CHAR(10)&amp;IF(T(INDEX(PhanCong!$B$3:$J$18,MATCH(TKB_Nhap!G33,PhanCong!$A$3:$A$18,0),MATCH($A33,PhanCong!$B$2:$J$2,0)))="","(chưa PC GV)","GV: "&amp;INDEX(PhanCong!$B$3:$J$18,MATCH(TKB_Nhap!G33,PhanCong!$A$3:$A$18,0),MATCH($A33,PhanCong!$B$2:$J$2,0))))</f>
        <v/>
      </c>
      <c r="H33" s="38" t="str">
        <f>IF(TKB_Nhap!H33="","",TKB_Nhap!H33&amp;CHAR(10)&amp;IF(T(INDEX(PhanCong!$B$3:$J$18,MATCH(TKB_Nhap!H33,PhanCong!$A$3:$A$18,0),MATCH($A33,PhanCong!$B$2:$J$2,0)))="","(chưa PC GV)","GV: "&amp;INDEX(PhanCong!$B$3:$J$18,MATCH(TKB_Nhap!H33,PhanCong!$A$3:$A$18,0),MATCH($A33,PhanCong!$B$2:$J$2,0))))</f>
        <v/>
      </c>
      <c r="I33" s="38" t="str">
        <f>IF(TKB_Nhap!I33="","",TKB_Nhap!I33&amp;CHAR(10)&amp;IF(T(INDEX(PhanCong!$B$3:$J$18,MATCH(TKB_Nhap!I33,PhanCong!$A$3:$A$18,0),MATCH($A33,PhanCong!$B$2:$J$2,0)))="","(chưa PC GV)","GV: "&amp;INDEX(PhanCong!$B$3:$J$18,MATCH(TKB_Nhap!I33,PhanCong!$A$3:$A$18,0),MATCH($A33,PhanCong!$B$2:$J$2,0))))</f>
        <v/>
      </c>
      <c r="J33" s="38" t="str">
        <f>IF(TKB_Nhap!J33="","",TKB_Nhap!J33&amp;CHAR(10)&amp;IF(T(INDEX(PhanCong!$B$3:$J$18,MATCH(TKB_Nhap!J33,PhanCong!$A$3:$A$18,0),MATCH($A33,PhanCong!$B$2:$J$2,0)))="","(chưa PC GV)","GV: "&amp;INDEX(PhanCong!$B$3:$J$18,MATCH(TKB_Nhap!J33,PhanCong!$A$3:$A$18,0),MATCH($A33,PhanCong!$B$2:$J$2,0))))</f>
        <v/>
      </c>
    </row>
    <row r="34" spans="1:10" ht="27.75" customHeight="1" x14ac:dyDescent="0.25">
      <c r="A34" s="30" t="str">
        <f>TKB_Nhap!A34</f>
        <v>7B</v>
      </c>
      <c r="B34" s="30" t="str">
        <f>TKB_Nhap!B34</f>
        <v>S</v>
      </c>
      <c r="C34" s="30" t="str">
        <f>TKB_Nhap!C34</f>
        <v>1</v>
      </c>
      <c r="D34" s="26" t="str">
        <f>IF(TKB_Nhap!D34="","",TKB_Nhap!D34&amp;CHAR(10)&amp;IF(T(INDEX(PhanCong!$B$3:$J$18,MATCH(TKB_Nhap!D34,PhanCong!$A$3:$A$18,0),MATCH($A34,PhanCong!$B$2:$J$2,0)))="","(chưa PC GV)","GV: "&amp;INDEX(PhanCong!$B$3:$J$18,MATCH(TKB_Nhap!D34,PhanCong!$A$3:$A$18,0),MATCH($A34,PhanCong!$B$2:$J$2,0))))</f>
        <v>Hoạt động trải nghiệm, hướng nghiệp
GV: Hoà</v>
      </c>
      <c r="E34" s="26" t="str">
        <f>IF(TKB_Nhap!E34="","",TKB_Nhap!E34&amp;CHAR(10)&amp;IF(T(INDEX(PhanCong!$B$3:$J$18,MATCH(TKB_Nhap!E34,PhanCong!$A$3:$A$18,0),MATCH($A34,PhanCong!$B$2:$J$2,0)))="","(chưa PC GV)","GV: "&amp;INDEX(PhanCong!$B$3:$J$18,MATCH(TKB_Nhap!E34,PhanCong!$A$3:$A$18,0),MATCH($A34,PhanCong!$B$2:$J$2,0))))</f>
        <v>Hoạt động trải nghiệm, hướng nghiệp
GV: Hoà</v>
      </c>
      <c r="F34" s="26" t="str">
        <f>IF(TKB_Nhap!F34="","",TKB_Nhap!F34&amp;CHAR(10)&amp;IF(T(INDEX(PhanCong!$B$3:$J$18,MATCH(TKB_Nhap!F34,PhanCong!$A$3:$A$18,0),MATCH($A34,PhanCong!$B$2:$J$2,0)))="","(chưa PC GV)","GV: "&amp;INDEX(PhanCong!$B$3:$J$18,MATCH(TKB_Nhap!F34,PhanCong!$A$3:$A$18,0),MATCH($A34,PhanCong!$B$2:$J$2,0))))</f>
        <v>Toán học
GV: Minh Anh</v>
      </c>
      <c r="G34" s="26" t="str">
        <f>IF(TKB_Nhap!G34="","",TKB_Nhap!G34&amp;CHAR(10)&amp;IF(T(INDEX(PhanCong!$B$3:$J$18,MATCH(TKB_Nhap!G34,PhanCong!$A$3:$A$18,0),MATCH($A34,PhanCong!$B$2:$J$2,0)))="","(chưa PC GV)","GV: "&amp;INDEX(PhanCong!$B$3:$J$18,MATCH(TKB_Nhap!G34,PhanCong!$A$3:$A$18,0),MATCH($A34,PhanCong!$B$2:$J$2,0))))</f>
        <v>Tin
GV: Minh Anh</v>
      </c>
      <c r="H34" s="26" t="str">
        <f>IF(TKB_Nhap!H34="","",TKB_Nhap!H34&amp;CHAR(10)&amp;IF(T(INDEX(PhanCong!$B$3:$J$18,MATCH(TKB_Nhap!H34,PhanCong!$A$3:$A$18,0),MATCH($A34,PhanCong!$B$2:$J$2,0)))="","(chưa PC GV)","GV: "&amp;INDEX(PhanCong!$B$3:$J$18,MATCH(TKB_Nhap!H34,PhanCong!$A$3:$A$18,0),MATCH($A34,PhanCong!$B$2:$J$2,0))))</f>
        <v>Hoạt động trải nghiệm, hướng nghiệp
GV: Hoà</v>
      </c>
      <c r="I34" s="26" t="str">
        <f>IF(TKB_Nhap!I34="","",TKB_Nhap!I34&amp;CHAR(10)&amp;IF(T(INDEX(PhanCong!$B$3:$J$18,MATCH(TKB_Nhap!I34,PhanCong!$A$3:$A$18,0),MATCH($A34,PhanCong!$B$2:$J$2,0)))="","(chưa PC GV)","GV: "&amp;INDEX(PhanCong!$B$3:$J$18,MATCH(TKB_Nhap!I34,PhanCong!$A$3:$A$18,0),MATCH($A34,PhanCong!$B$2:$J$2,0))))</f>
        <v>Ngữ văn
GV: Uyên</v>
      </c>
      <c r="J34" s="26" t="str">
        <f>IF(TKB_Nhap!J34="","",TKB_Nhap!J34&amp;CHAR(10)&amp;IF(T(INDEX(PhanCong!$B$3:$J$18,MATCH(TKB_Nhap!J34,PhanCong!$A$3:$A$18,0),MATCH($A34,PhanCong!$B$2:$J$2,0)))="","(chưa PC GV)","GV: "&amp;INDEX(PhanCong!$B$3:$J$18,MATCH(TKB_Nhap!J34,PhanCong!$A$3:$A$18,0),MATCH($A34,PhanCong!$B$2:$J$2,0))))</f>
        <v/>
      </c>
    </row>
    <row r="35" spans="1:10" ht="27.75" customHeight="1" x14ac:dyDescent="0.25">
      <c r="A35" s="30" t="str">
        <f>TKB_Nhap!A35</f>
        <v>7B</v>
      </c>
      <c r="B35" s="30" t="str">
        <f>TKB_Nhap!B35</f>
        <v>S</v>
      </c>
      <c r="C35" s="30" t="str">
        <f>TKB_Nhap!C35</f>
        <v>2</v>
      </c>
      <c r="D35" s="26" t="str">
        <f>IF(TKB_Nhap!D35="","",TKB_Nhap!D35&amp;CHAR(10)&amp;IF(T(INDEX(PhanCong!$B$3:$J$18,MATCH(TKB_Nhap!D35,PhanCong!$A$3:$A$18,0),MATCH($A35,PhanCong!$B$2:$J$2,0)))="","(chưa PC GV)","GV: "&amp;INDEX(PhanCong!$B$3:$J$18,MATCH(TKB_Nhap!D35,PhanCong!$A$3:$A$18,0),MATCH($A35,PhanCong!$B$2:$J$2,0))))</f>
        <v>Ngữ văn
GV: Uyên</v>
      </c>
      <c r="E35" s="26" t="str">
        <f>IF(TKB_Nhap!E35="","",TKB_Nhap!E35&amp;CHAR(10)&amp;IF(T(INDEX(PhanCong!$B$3:$J$18,MATCH(TKB_Nhap!E35,PhanCong!$A$3:$A$18,0),MATCH($A35,PhanCong!$B$2:$J$2,0)))="","(chưa PC GV)","GV: "&amp;INDEX(PhanCong!$B$3:$J$18,MATCH(TKB_Nhap!E35,PhanCong!$A$3:$A$18,0),MATCH($A35,PhanCong!$B$2:$J$2,0))))</f>
        <v>Toán học
GV: Minh Anh</v>
      </c>
      <c r="F35" s="26" t="str">
        <f>IF(TKB_Nhap!F35="","",TKB_Nhap!F35&amp;CHAR(10)&amp;IF(T(INDEX(PhanCong!$B$3:$J$18,MATCH(TKB_Nhap!F35,PhanCong!$A$3:$A$18,0),MATCH($A35,PhanCong!$B$2:$J$2,0)))="","(chưa PC GV)","GV: "&amp;INDEX(PhanCong!$B$3:$J$18,MATCH(TKB_Nhap!F35,PhanCong!$A$3:$A$18,0),MATCH($A35,PhanCong!$B$2:$J$2,0))))</f>
        <v>Công nghệ
GV: Sơn</v>
      </c>
      <c r="G35" s="26" t="str">
        <f>IF(TKB_Nhap!G35="","",TKB_Nhap!G35&amp;CHAR(10)&amp;IF(T(INDEX(PhanCong!$B$3:$J$18,MATCH(TKB_Nhap!G35,PhanCong!$A$3:$A$18,0),MATCH($A35,PhanCong!$B$2:$J$2,0)))="","(chưa PC GV)","GV: "&amp;INDEX(PhanCong!$B$3:$J$18,MATCH(TKB_Nhap!G35,PhanCong!$A$3:$A$18,0),MATCH($A35,PhanCong!$B$2:$J$2,0))))</f>
        <v>Ngữ văn
GV: Uyên</v>
      </c>
      <c r="H35" s="26" t="str">
        <f>IF(TKB_Nhap!H35="","",TKB_Nhap!H35&amp;CHAR(10)&amp;IF(T(INDEX(PhanCong!$B$3:$J$18,MATCH(TKB_Nhap!H35,PhanCong!$A$3:$A$18,0),MATCH($A35,PhanCong!$B$2:$J$2,0)))="","(chưa PC GV)","GV: "&amp;INDEX(PhanCong!$B$3:$J$18,MATCH(TKB_Nhap!H35,PhanCong!$A$3:$A$18,0),MATCH($A35,PhanCong!$B$2:$J$2,0))))</f>
        <v>Ngoại ngữ
GV: Giang</v>
      </c>
      <c r="I35" s="26" t="str">
        <f>IF(TKB_Nhap!I35="","",TKB_Nhap!I35&amp;CHAR(10)&amp;IF(T(INDEX(PhanCong!$B$3:$J$18,MATCH(TKB_Nhap!I35,PhanCong!$A$3:$A$18,0),MATCH($A35,PhanCong!$B$2:$J$2,0)))="","(chưa PC GV)","GV: "&amp;INDEX(PhanCong!$B$3:$J$18,MATCH(TKB_Nhap!I35,PhanCong!$A$3:$A$18,0),MATCH($A35,PhanCong!$B$2:$J$2,0))))</f>
        <v>Ngoại ngữ
GV: Giang</v>
      </c>
      <c r="J35" s="26" t="str">
        <f>IF(TKB_Nhap!J35="","",TKB_Nhap!J35&amp;CHAR(10)&amp;IF(T(INDEX(PhanCong!$B$3:$J$18,MATCH(TKB_Nhap!J35,PhanCong!$A$3:$A$18,0),MATCH($A35,PhanCong!$B$2:$J$2,0)))="","(chưa PC GV)","GV: "&amp;INDEX(PhanCong!$B$3:$J$18,MATCH(TKB_Nhap!J35,PhanCong!$A$3:$A$18,0),MATCH($A35,PhanCong!$B$2:$J$2,0))))</f>
        <v/>
      </c>
    </row>
    <row r="36" spans="1:10" ht="27.75" customHeight="1" x14ac:dyDescent="0.25">
      <c r="A36" s="30" t="str">
        <f>TKB_Nhap!A36</f>
        <v>7B</v>
      </c>
      <c r="B36" s="30" t="str">
        <f>TKB_Nhap!B36</f>
        <v>S</v>
      </c>
      <c r="C36" s="30" t="str">
        <f>TKB_Nhap!C36</f>
        <v>3</v>
      </c>
      <c r="D36" s="26" t="str">
        <f>IF(TKB_Nhap!D36="","",TKB_Nhap!D36&amp;CHAR(10)&amp;IF(T(INDEX(PhanCong!$B$3:$J$18,MATCH(TKB_Nhap!D36,PhanCong!$A$3:$A$18,0),MATCH($A36,PhanCong!$B$2:$J$2,0)))="","(chưa PC GV)","GV: "&amp;INDEX(PhanCong!$B$3:$J$18,MATCH(TKB_Nhap!D36,PhanCong!$A$3:$A$18,0),MATCH($A36,PhanCong!$B$2:$J$2,0))))</f>
        <v>Toán học
GV: Minh Anh</v>
      </c>
      <c r="E36" s="26" t="str">
        <f>IF(TKB_Nhap!E36="","",TKB_Nhap!E36&amp;CHAR(10)&amp;IF(T(INDEX(PhanCong!$B$3:$J$18,MATCH(TKB_Nhap!E36,PhanCong!$A$3:$A$18,0),MATCH($A36,PhanCong!$B$2:$J$2,0)))="","(chưa PC GV)","GV: "&amp;INDEX(PhanCong!$B$3:$J$18,MATCH(TKB_Nhap!E36,PhanCong!$A$3:$A$18,0),MATCH($A36,PhanCong!$B$2:$J$2,0))))</f>
        <v>Giáo dục thể chất
GV: Hồng</v>
      </c>
      <c r="F36" s="26" t="str">
        <f>IF(TKB_Nhap!F36="","",TKB_Nhap!F36&amp;CHAR(10)&amp;IF(T(INDEX(PhanCong!$B$3:$J$18,MATCH(TKB_Nhap!F36,PhanCong!$A$3:$A$18,0),MATCH($A36,PhanCong!$B$2:$J$2,0)))="","(chưa PC GV)","GV: "&amp;INDEX(PhanCong!$B$3:$J$18,MATCH(TKB_Nhap!F36,PhanCong!$A$3:$A$18,0),MATCH($A36,PhanCong!$B$2:$J$2,0))))</f>
        <v>Lịch sử và địa lý (Lịch sử)
GV: Huyền</v>
      </c>
      <c r="G36" s="26" t="str">
        <f>IF(TKB_Nhap!G36="","",TKB_Nhap!G36&amp;CHAR(10)&amp;IF(T(INDEX(PhanCong!$B$3:$J$18,MATCH(TKB_Nhap!G36,PhanCong!$A$3:$A$18,0),MATCH($A36,PhanCong!$B$2:$J$2,0)))="","(chưa PC GV)","GV: "&amp;INDEX(PhanCong!$B$3:$J$18,MATCH(TKB_Nhap!G36,PhanCong!$A$3:$A$18,0),MATCH($A36,PhanCong!$B$2:$J$2,0))))</f>
        <v>Giáo dục thể chất
GV: Hồng</v>
      </c>
      <c r="H36" s="26" t="str">
        <f>IF(TKB_Nhap!H36="","",TKB_Nhap!H36&amp;CHAR(10)&amp;IF(T(INDEX(PhanCong!$B$3:$J$18,MATCH(TKB_Nhap!H36,PhanCong!$A$3:$A$18,0),MATCH($A36,PhanCong!$B$2:$J$2,0)))="","(chưa PC GV)","GV: "&amp;INDEX(PhanCong!$B$3:$J$18,MATCH(TKB_Nhap!H36,PhanCong!$A$3:$A$18,0),MATCH($A36,PhanCong!$B$2:$J$2,0))))</f>
        <v>Khoa học tự nhiên (Vật lý)
GV: Huyền Ly</v>
      </c>
      <c r="I36" s="26" t="str">
        <f>IF(TKB_Nhap!I36="","",TKB_Nhap!I36&amp;CHAR(10)&amp;IF(T(INDEX(PhanCong!$B$3:$J$18,MATCH(TKB_Nhap!I36,PhanCong!$A$3:$A$18,0),MATCH($A36,PhanCong!$B$2:$J$2,0)))="","(chưa PC GV)","GV: "&amp;INDEX(PhanCong!$B$3:$J$18,MATCH(TKB_Nhap!I36,PhanCong!$A$3:$A$18,0),MATCH($A36,PhanCong!$B$2:$J$2,0))))</f>
        <v>Lịch sử và địa lý (Lịch sử)
GV: Huyền</v>
      </c>
      <c r="J36" s="26" t="str">
        <f>IF(TKB_Nhap!J36="","",TKB_Nhap!J36&amp;CHAR(10)&amp;IF(T(INDEX(PhanCong!$B$3:$J$18,MATCH(TKB_Nhap!J36,PhanCong!$A$3:$A$18,0),MATCH($A36,PhanCong!$B$2:$J$2,0)))="","(chưa PC GV)","GV: "&amp;INDEX(PhanCong!$B$3:$J$18,MATCH(TKB_Nhap!J36,PhanCong!$A$3:$A$18,0),MATCH($A36,PhanCong!$B$2:$J$2,0))))</f>
        <v/>
      </c>
    </row>
    <row r="37" spans="1:10" ht="27.75" customHeight="1" x14ac:dyDescent="0.25">
      <c r="A37" s="30" t="str">
        <f>TKB_Nhap!A37</f>
        <v>7B</v>
      </c>
      <c r="B37" s="30" t="str">
        <f>TKB_Nhap!B37</f>
        <v>S</v>
      </c>
      <c r="C37" s="30" t="str">
        <f>TKB_Nhap!C37</f>
        <v>4</v>
      </c>
      <c r="D37" s="26" t="str">
        <f>IF(TKB_Nhap!D37="","",TKB_Nhap!D37&amp;CHAR(10)&amp;IF(T(INDEX(PhanCong!$B$3:$J$18,MATCH(TKB_Nhap!D37,PhanCong!$A$3:$A$18,0),MATCH($A37,PhanCong!$B$2:$J$2,0)))="","(chưa PC GV)","GV: "&amp;INDEX(PhanCong!$B$3:$J$18,MATCH(TKB_Nhap!D37,PhanCong!$A$3:$A$18,0),MATCH($A37,PhanCong!$B$2:$J$2,0))))</f>
        <v>Khoa học tự nhiên (Sinh học)
GV: Hoà</v>
      </c>
      <c r="E37" s="26" t="str">
        <f>IF(TKB_Nhap!E37="","",TKB_Nhap!E37&amp;CHAR(10)&amp;IF(T(INDEX(PhanCong!$B$3:$J$18,MATCH(TKB_Nhap!E37,PhanCong!$A$3:$A$18,0),MATCH($A37,PhanCong!$B$2:$J$2,0)))="","(chưa PC GV)","GV: "&amp;INDEX(PhanCong!$B$3:$J$18,MATCH(TKB_Nhap!E37,PhanCong!$A$3:$A$18,0),MATCH($A37,PhanCong!$B$2:$J$2,0))))</f>
        <v>Khoa học tự nhiên (Hoá học)
GV: Khu</v>
      </c>
      <c r="F37" s="26" t="str">
        <f>IF(TKB_Nhap!F37="","",TKB_Nhap!F37&amp;CHAR(10)&amp;IF(T(INDEX(PhanCong!$B$3:$J$18,MATCH(TKB_Nhap!F37,PhanCong!$A$3:$A$18,0),MATCH($A37,PhanCong!$B$2:$J$2,0)))="","(chưa PC GV)","GV: "&amp;INDEX(PhanCong!$B$3:$J$18,MATCH(TKB_Nhap!F37,PhanCong!$A$3:$A$18,0),MATCH($A37,PhanCong!$B$2:$J$2,0))))</f>
        <v>Khoa học tự nhiên (Sinh học)
GV: Hoà</v>
      </c>
      <c r="G37" s="26" t="str">
        <f>IF(TKB_Nhap!G37="","",TKB_Nhap!G37&amp;CHAR(10)&amp;IF(T(INDEX(PhanCong!$B$3:$J$18,MATCH(TKB_Nhap!G37,PhanCong!$A$3:$A$18,0),MATCH($A37,PhanCong!$B$2:$J$2,0)))="","(chưa PC GV)","GV: "&amp;INDEX(PhanCong!$B$3:$J$18,MATCH(TKB_Nhap!G37,PhanCong!$A$3:$A$18,0),MATCH($A37,PhanCong!$B$2:$J$2,0))))</f>
        <v>Giáo dục công dân
GV: Hoa</v>
      </c>
      <c r="H37" s="26" t="str">
        <f>IF(TKB_Nhap!H37="","",TKB_Nhap!H37&amp;CHAR(10)&amp;IF(T(INDEX(PhanCong!$B$3:$J$18,MATCH(TKB_Nhap!H37,PhanCong!$A$3:$A$18,0),MATCH($A37,PhanCong!$B$2:$J$2,0)))="","(chưa PC GV)","GV: "&amp;INDEX(PhanCong!$B$3:$J$18,MATCH(TKB_Nhap!H37,PhanCong!$A$3:$A$18,0),MATCH($A37,PhanCong!$B$2:$J$2,0))))</f>
        <v>Nội dung giáo dục của địa phương
GV: Nhung</v>
      </c>
      <c r="I37" s="26" t="str">
        <f>IF(TKB_Nhap!I37="","",TKB_Nhap!I37&amp;CHAR(10)&amp;IF(T(INDEX(PhanCong!$B$3:$J$18,MATCH(TKB_Nhap!I37,PhanCong!$A$3:$A$18,0),MATCH($A37,PhanCong!$B$2:$J$2,0)))="","(chưa PC GV)","GV: "&amp;INDEX(PhanCong!$B$3:$J$18,MATCH(TKB_Nhap!I37,PhanCong!$A$3:$A$18,0),MATCH($A37,PhanCong!$B$2:$J$2,0))))</f>
        <v>Toán học
GV: Minh Anh</v>
      </c>
      <c r="J37" s="26" t="str">
        <f>IF(TKB_Nhap!J37="","",TKB_Nhap!J37&amp;CHAR(10)&amp;IF(T(INDEX(PhanCong!$B$3:$J$18,MATCH(TKB_Nhap!J37,PhanCong!$A$3:$A$18,0),MATCH($A37,PhanCong!$B$2:$J$2,0)))="","(chưa PC GV)","GV: "&amp;INDEX(PhanCong!$B$3:$J$18,MATCH(TKB_Nhap!J37,PhanCong!$A$3:$A$18,0),MATCH($A37,PhanCong!$B$2:$J$2,0))))</f>
        <v/>
      </c>
    </row>
    <row r="38" spans="1:10" ht="27.75" customHeight="1" x14ac:dyDescent="0.25">
      <c r="A38" s="30" t="str">
        <f>TKB_Nhap!A38</f>
        <v>7B</v>
      </c>
      <c r="B38" s="30" t="str">
        <f>TKB_Nhap!B38</f>
        <v>S</v>
      </c>
      <c r="C38" s="30" t="str">
        <f>TKB_Nhap!C38</f>
        <v>5</v>
      </c>
      <c r="D38" s="26" t="str">
        <f>IF(TKB_Nhap!D38="","",TKB_Nhap!D38&amp;CHAR(10)&amp;IF(T(INDEX(PhanCong!$B$3:$J$18,MATCH(TKB_Nhap!D38,PhanCong!$A$3:$A$18,0),MATCH($A38,PhanCong!$B$2:$J$2,0)))="","(chưa PC GV)","GV: "&amp;INDEX(PhanCong!$B$3:$J$18,MATCH(TKB_Nhap!D38,PhanCong!$A$3:$A$18,0),MATCH($A38,PhanCong!$B$2:$J$2,0))))</f>
        <v>Nghệ thuật (Mỹ thuật)
GV: Lan Ly</v>
      </c>
      <c r="E38" s="26" t="str">
        <f>IF(TKB_Nhap!E38="","",TKB_Nhap!E38&amp;CHAR(10)&amp;IF(T(INDEX(PhanCong!$B$3:$J$18,MATCH(TKB_Nhap!E38,PhanCong!$A$3:$A$18,0),MATCH($A38,PhanCong!$B$2:$J$2,0)))="","(chưa PC GV)","GV: "&amp;INDEX(PhanCong!$B$3:$J$18,MATCH(TKB_Nhap!E38,PhanCong!$A$3:$A$18,0),MATCH($A38,PhanCong!$B$2:$J$2,0))))</f>
        <v>Nghệ thuật (Nhạc)
GV: Nhung</v>
      </c>
      <c r="F38" s="26" t="str">
        <f>IF(TKB_Nhap!F38="","",TKB_Nhap!F38&amp;CHAR(10)&amp;IF(T(INDEX(PhanCong!$B$3:$J$18,MATCH(TKB_Nhap!F38,PhanCong!$A$3:$A$18,0),MATCH($A38,PhanCong!$B$2:$J$2,0)))="","(chưa PC GV)","GV: "&amp;INDEX(PhanCong!$B$3:$J$18,MATCH(TKB_Nhap!F38,PhanCong!$A$3:$A$18,0),MATCH($A38,PhanCong!$B$2:$J$2,0))))</f>
        <v>Ngữ văn
GV: Uyên</v>
      </c>
      <c r="G38" s="26" t="str">
        <f>IF(TKB_Nhap!G38="","",TKB_Nhap!G38&amp;CHAR(10)&amp;IF(T(INDEX(PhanCong!$B$3:$J$18,MATCH(TKB_Nhap!G38,PhanCong!$A$3:$A$18,0),MATCH($A38,PhanCong!$B$2:$J$2,0)))="","(chưa PC GV)","GV: "&amp;INDEX(PhanCong!$B$3:$J$18,MATCH(TKB_Nhap!G38,PhanCong!$A$3:$A$18,0),MATCH($A38,PhanCong!$B$2:$J$2,0))))</f>
        <v>Ngoại ngữ
GV: Giang</v>
      </c>
      <c r="H38" s="26" t="str">
        <f>IF(TKB_Nhap!H38="","",TKB_Nhap!H38&amp;CHAR(10)&amp;IF(T(INDEX(PhanCong!$B$3:$J$18,MATCH(TKB_Nhap!H38,PhanCong!$A$3:$A$18,0),MATCH($A38,PhanCong!$B$2:$J$2,0)))="","(chưa PC GV)","GV: "&amp;INDEX(PhanCong!$B$3:$J$18,MATCH(TKB_Nhap!H38,PhanCong!$A$3:$A$18,0),MATCH($A38,PhanCong!$B$2:$J$2,0))))</f>
        <v/>
      </c>
      <c r="I38" s="26" t="str">
        <f>IF(TKB_Nhap!I38="","",TKB_Nhap!I38&amp;CHAR(10)&amp;IF(T(INDEX(PhanCong!$B$3:$J$18,MATCH(TKB_Nhap!I38,PhanCong!$A$3:$A$18,0),MATCH($A38,PhanCong!$B$2:$J$2,0)))="","(chưa PC GV)","GV: "&amp;INDEX(PhanCong!$B$3:$J$18,MATCH(TKB_Nhap!I38,PhanCong!$A$3:$A$18,0),MATCH($A38,PhanCong!$B$2:$J$2,0))))</f>
        <v>Lịch sử và địa lý (Địa lý)
GV: Huyền</v>
      </c>
      <c r="J38" s="26" t="str">
        <f>IF(TKB_Nhap!J38="","",TKB_Nhap!J38&amp;CHAR(10)&amp;IF(T(INDEX(PhanCong!$B$3:$J$18,MATCH(TKB_Nhap!J38,PhanCong!$A$3:$A$18,0),MATCH($A38,PhanCong!$B$2:$J$2,0)))="","(chưa PC GV)","GV: "&amp;INDEX(PhanCong!$B$3:$J$18,MATCH(TKB_Nhap!J38,PhanCong!$A$3:$A$18,0),MATCH($A38,PhanCong!$B$2:$J$2,0))))</f>
        <v/>
      </c>
    </row>
    <row r="39" spans="1:10" ht="27.75" customHeight="1" x14ac:dyDescent="0.25">
      <c r="A39" s="30" t="str">
        <f>TKB_Nhap!A39</f>
        <v>7B</v>
      </c>
      <c r="B39" s="30" t="str">
        <f>TKB_Nhap!B39</f>
        <v>C</v>
      </c>
      <c r="C39" s="30" t="str">
        <f>TKB_Nhap!C39</f>
        <v>1</v>
      </c>
      <c r="D39" s="26" t="str">
        <f>IF(TKB_Nhap!D39="","",TKB_Nhap!D39&amp;CHAR(10)&amp;IF(T(INDEX(PhanCong!$B$3:$J$18,MATCH(TKB_Nhap!D39,PhanCong!$A$3:$A$18,0),MATCH($A39,PhanCong!$B$2:$J$2,0)))="","(chưa PC GV)","GV: "&amp;INDEX(PhanCong!$B$3:$J$18,MATCH(TKB_Nhap!D39,PhanCong!$A$3:$A$18,0),MATCH($A39,PhanCong!$B$2:$J$2,0))))</f>
        <v/>
      </c>
      <c r="E39" s="26" t="str">
        <f>IF(TKB_Nhap!E39="","",TKB_Nhap!E39&amp;CHAR(10)&amp;IF(T(INDEX(PhanCong!$B$3:$J$18,MATCH(TKB_Nhap!E39,PhanCong!$A$3:$A$18,0),MATCH($A39,PhanCong!$B$2:$J$2,0)))="","(chưa PC GV)","GV: "&amp;INDEX(PhanCong!$B$3:$J$18,MATCH(TKB_Nhap!E39,PhanCong!$A$3:$A$18,0),MATCH($A39,PhanCong!$B$2:$J$2,0))))</f>
        <v/>
      </c>
      <c r="F39" s="26" t="str">
        <f>IF(TKB_Nhap!F39="","",TKB_Nhap!F39&amp;CHAR(10)&amp;IF(T(INDEX(PhanCong!$B$3:$J$18,MATCH(TKB_Nhap!F39,PhanCong!$A$3:$A$18,0),MATCH($A39,PhanCong!$B$2:$J$2,0)))="","(chưa PC GV)","GV: "&amp;INDEX(PhanCong!$B$3:$J$18,MATCH(TKB_Nhap!F39,PhanCong!$A$3:$A$18,0),MATCH($A39,PhanCong!$B$2:$J$2,0))))</f>
        <v/>
      </c>
      <c r="G39" s="26" t="str">
        <f>IF(TKB_Nhap!G39="","",TKB_Nhap!G39&amp;CHAR(10)&amp;IF(T(INDEX(PhanCong!$B$3:$J$18,MATCH(TKB_Nhap!G39,PhanCong!$A$3:$A$18,0),MATCH($A39,PhanCong!$B$2:$J$2,0)))="","(chưa PC GV)","GV: "&amp;INDEX(PhanCong!$B$3:$J$18,MATCH(TKB_Nhap!G39,PhanCong!$A$3:$A$18,0),MATCH($A39,PhanCong!$B$2:$J$2,0))))</f>
        <v/>
      </c>
      <c r="H39" s="26" t="str">
        <f>IF(TKB_Nhap!H39="","",TKB_Nhap!H39&amp;CHAR(10)&amp;IF(T(INDEX(PhanCong!$B$3:$J$18,MATCH(TKB_Nhap!H39,PhanCong!$A$3:$A$18,0),MATCH($A39,PhanCong!$B$2:$J$2,0)))="","(chưa PC GV)","GV: "&amp;INDEX(PhanCong!$B$3:$J$18,MATCH(TKB_Nhap!H39,PhanCong!$A$3:$A$18,0),MATCH($A39,PhanCong!$B$2:$J$2,0))))</f>
        <v/>
      </c>
      <c r="I39" s="26" t="str">
        <f>IF(TKB_Nhap!I39="","",TKB_Nhap!I39&amp;CHAR(10)&amp;IF(T(INDEX(PhanCong!$B$3:$J$18,MATCH(TKB_Nhap!I39,PhanCong!$A$3:$A$18,0),MATCH($A39,PhanCong!$B$2:$J$2,0)))="","(chưa PC GV)","GV: "&amp;INDEX(PhanCong!$B$3:$J$18,MATCH(TKB_Nhap!I39,PhanCong!$A$3:$A$18,0),MATCH($A39,PhanCong!$B$2:$J$2,0))))</f>
        <v/>
      </c>
      <c r="J39" s="26" t="str">
        <f>IF(TKB_Nhap!J39="","",TKB_Nhap!J39&amp;CHAR(10)&amp;IF(T(INDEX(PhanCong!$B$3:$J$18,MATCH(TKB_Nhap!J39,PhanCong!$A$3:$A$18,0),MATCH($A39,PhanCong!$B$2:$J$2,0)))="","(chưa PC GV)","GV: "&amp;INDEX(PhanCong!$B$3:$J$18,MATCH(TKB_Nhap!J39,PhanCong!$A$3:$A$18,0),MATCH($A39,PhanCong!$B$2:$J$2,0))))</f>
        <v/>
      </c>
    </row>
    <row r="40" spans="1:10" ht="27.75" customHeight="1" x14ac:dyDescent="0.25">
      <c r="A40" s="30" t="str">
        <f>TKB_Nhap!A40</f>
        <v>7B</v>
      </c>
      <c r="B40" s="30" t="str">
        <f>TKB_Nhap!B40</f>
        <v>C</v>
      </c>
      <c r="C40" s="30" t="str">
        <f>TKB_Nhap!C40</f>
        <v>2</v>
      </c>
      <c r="D40" s="26" t="str">
        <f>IF(TKB_Nhap!D40="","",TKB_Nhap!D40&amp;CHAR(10)&amp;IF(T(INDEX(PhanCong!$B$3:$J$18,MATCH(TKB_Nhap!D40,PhanCong!$A$3:$A$18,0),MATCH($A40,PhanCong!$B$2:$J$2,0)))="","(chưa PC GV)","GV: "&amp;INDEX(PhanCong!$B$3:$J$18,MATCH(TKB_Nhap!D40,PhanCong!$A$3:$A$18,0),MATCH($A40,PhanCong!$B$2:$J$2,0))))</f>
        <v/>
      </c>
      <c r="E40" s="26" t="str">
        <f>IF(TKB_Nhap!E40="","",TKB_Nhap!E40&amp;CHAR(10)&amp;IF(T(INDEX(PhanCong!$B$3:$J$18,MATCH(TKB_Nhap!E40,PhanCong!$A$3:$A$18,0),MATCH($A40,PhanCong!$B$2:$J$2,0)))="","(chưa PC GV)","GV: "&amp;INDEX(PhanCong!$B$3:$J$18,MATCH(TKB_Nhap!E40,PhanCong!$A$3:$A$18,0),MATCH($A40,PhanCong!$B$2:$J$2,0))))</f>
        <v/>
      </c>
      <c r="F40" s="26" t="str">
        <f>IF(TKB_Nhap!F40="","",TKB_Nhap!F40&amp;CHAR(10)&amp;IF(T(INDEX(PhanCong!$B$3:$J$18,MATCH(TKB_Nhap!F40,PhanCong!$A$3:$A$18,0),MATCH($A40,PhanCong!$B$2:$J$2,0)))="","(chưa PC GV)","GV: "&amp;INDEX(PhanCong!$B$3:$J$18,MATCH(TKB_Nhap!F40,PhanCong!$A$3:$A$18,0),MATCH($A40,PhanCong!$B$2:$J$2,0))))</f>
        <v/>
      </c>
      <c r="G40" s="26" t="str">
        <f>IF(TKB_Nhap!G40="","",TKB_Nhap!G40&amp;CHAR(10)&amp;IF(T(INDEX(PhanCong!$B$3:$J$18,MATCH(TKB_Nhap!G40,PhanCong!$A$3:$A$18,0),MATCH($A40,PhanCong!$B$2:$J$2,0)))="","(chưa PC GV)","GV: "&amp;INDEX(PhanCong!$B$3:$J$18,MATCH(TKB_Nhap!G40,PhanCong!$A$3:$A$18,0),MATCH($A40,PhanCong!$B$2:$J$2,0))))</f>
        <v/>
      </c>
      <c r="H40" s="26" t="str">
        <f>IF(TKB_Nhap!H40="","",TKB_Nhap!H40&amp;CHAR(10)&amp;IF(T(INDEX(PhanCong!$B$3:$J$18,MATCH(TKB_Nhap!H40,PhanCong!$A$3:$A$18,0),MATCH($A40,PhanCong!$B$2:$J$2,0)))="","(chưa PC GV)","GV: "&amp;INDEX(PhanCong!$B$3:$J$18,MATCH(TKB_Nhap!H40,PhanCong!$A$3:$A$18,0),MATCH($A40,PhanCong!$B$2:$J$2,0))))</f>
        <v/>
      </c>
      <c r="I40" s="26" t="str">
        <f>IF(TKB_Nhap!I40="","",TKB_Nhap!I40&amp;CHAR(10)&amp;IF(T(INDEX(PhanCong!$B$3:$J$18,MATCH(TKB_Nhap!I40,PhanCong!$A$3:$A$18,0),MATCH($A40,PhanCong!$B$2:$J$2,0)))="","(chưa PC GV)","GV: "&amp;INDEX(PhanCong!$B$3:$J$18,MATCH(TKB_Nhap!I40,PhanCong!$A$3:$A$18,0),MATCH($A40,PhanCong!$B$2:$J$2,0))))</f>
        <v/>
      </c>
      <c r="J40" s="26" t="str">
        <f>IF(TKB_Nhap!J40="","",TKB_Nhap!J40&amp;CHAR(10)&amp;IF(T(INDEX(PhanCong!$B$3:$J$18,MATCH(TKB_Nhap!J40,PhanCong!$A$3:$A$18,0),MATCH($A40,PhanCong!$B$2:$J$2,0)))="","(chưa PC GV)","GV: "&amp;INDEX(PhanCong!$B$3:$J$18,MATCH(TKB_Nhap!J40,PhanCong!$A$3:$A$18,0),MATCH($A40,PhanCong!$B$2:$J$2,0))))</f>
        <v/>
      </c>
    </row>
    <row r="41" spans="1:10" ht="27.75" customHeight="1" x14ac:dyDescent="0.25">
      <c r="A41" s="30" t="str">
        <f>TKB_Nhap!A41</f>
        <v>7B</v>
      </c>
      <c r="B41" s="30" t="str">
        <f>TKB_Nhap!B41</f>
        <v>C</v>
      </c>
      <c r="C41" s="30" t="str">
        <f>TKB_Nhap!C41</f>
        <v>3</v>
      </c>
      <c r="D41" s="26" t="str">
        <f>IF(TKB_Nhap!D41="","",TKB_Nhap!D41&amp;CHAR(10)&amp;IF(T(INDEX(PhanCong!$B$3:$J$18,MATCH(TKB_Nhap!D41,PhanCong!$A$3:$A$18,0),MATCH($A41,PhanCong!$B$2:$J$2,0)))="","(chưa PC GV)","GV: "&amp;INDEX(PhanCong!$B$3:$J$18,MATCH(TKB_Nhap!D41,PhanCong!$A$3:$A$18,0),MATCH($A41,PhanCong!$B$2:$J$2,0))))</f>
        <v/>
      </c>
      <c r="E41" s="26" t="str">
        <f>IF(TKB_Nhap!E41="","",TKB_Nhap!E41&amp;CHAR(10)&amp;IF(T(INDEX(PhanCong!$B$3:$J$18,MATCH(TKB_Nhap!E41,PhanCong!$A$3:$A$18,0),MATCH($A41,PhanCong!$B$2:$J$2,0)))="","(chưa PC GV)","GV: "&amp;INDEX(PhanCong!$B$3:$J$18,MATCH(TKB_Nhap!E41,PhanCong!$A$3:$A$18,0),MATCH($A41,PhanCong!$B$2:$J$2,0))))</f>
        <v/>
      </c>
      <c r="F41" s="26" t="str">
        <f>IF(TKB_Nhap!F41="","",TKB_Nhap!F41&amp;CHAR(10)&amp;IF(T(INDEX(PhanCong!$B$3:$J$18,MATCH(TKB_Nhap!F41,PhanCong!$A$3:$A$18,0),MATCH($A41,PhanCong!$B$2:$J$2,0)))="","(chưa PC GV)","GV: "&amp;INDEX(PhanCong!$B$3:$J$18,MATCH(TKB_Nhap!F41,PhanCong!$A$3:$A$18,0),MATCH($A41,PhanCong!$B$2:$J$2,0))))</f>
        <v/>
      </c>
      <c r="G41" s="26" t="str">
        <f>IF(TKB_Nhap!G41="","",TKB_Nhap!G41&amp;CHAR(10)&amp;IF(T(INDEX(PhanCong!$B$3:$J$18,MATCH(TKB_Nhap!G41,PhanCong!$A$3:$A$18,0),MATCH($A41,PhanCong!$B$2:$J$2,0)))="","(chưa PC GV)","GV: "&amp;INDEX(PhanCong!$B$3:$J$18,MATCH(TKB_Nhap!G41,PhanCong!$A$3:$A$18,0),MATCH($A41,PhanCong!$B$2:$J$2,0))))</f>
        <v/>
      </c>
      <c r="H41" s="26" t="str">
        <f>IF(TKB_Nhap!H41="","",TKB_Nhap!H41&amp;CHAR(10)&amp;IF(T(INDEX(PhanCong!$B$3:$J$18,MATCH(TKB_Nhap!H41,PhanCong!$A$3:$A$18,0),MATCH($A41,PhanCong!$B$2:$J$2,0)))="","(chưa PC GV)","GV: "&amp;INDEX(PhanCong!$B$3:$J$18,MATCH(TKB_Nhap!H41,PhanCong!$A$3:$A$18,0),MATCH($A41,PhanCong!$B$2:$J$2,0))))</f>
        <v/>
      </c>
      <c r="I41" s="26" t="str">
        <f>IF(TKB_Nhap!I41="","",TKB_Nhap!I41&amp;CHAR(10)&amp;IF(T(INDEX(PhanCong!$B$3:$J$18,MATCH(TKB_Nhap!I41,PhanCong!$A$3:$A$18,0),MATCH($A41,PhanCong!$B$2:$J$2,0)))="","(chưa PC GV)","GV: "&amp;INDEX(PhanCong!$B$3:$J$18,MATCH(TKB_Nhap!I41,PhanCong!$A$3:$A$18,0),MATCH($A41,PhanCong!$B$2:$J$2,0))))</f>
        <v/>
      </c>
      <c r="J41" s="26" t="str">
        <f>IF(TKB_Nhap!J41="","",TKB_Nhap!J41&amp;CHAR(10)&amp;IF(T(INDEX(PhanCong!$B$3:$J$18,MATCH(TKB_Nhap!J41,PhanCong!$A$3:$A$18,0),MATCH($A41,PhanCong!$B$2:$J$2,0)))="","(chưa PC GV)","GV: "&amp;INDEX(PhanCong!$B$3:$J$18,MATCH(TKB_Nhap!J41,PhanCong!$A$3:$A$18,0),MATCH($A41,PhanCong!$B$2:$J$2,0))))</f>
        <v/>
      </c>
    </row>
    <row r="42" spans="1:10" ht="27.75" customHeight="1" x14ac:dyDescent="0.25">
      <c r="A42" s="36" t="str">
        <f>TKB_Nhap!A42</f>
        <v>8A</v>
      </c>
      <c r="B42" s="36" t="str">
        <f>TKB_Nhap!B42</f>
        <v>S</v>
      </c>
      <c r="C42" s="36" t="str">
        <f>TKB_Nhap!C42</f>
        <v>1</v>
      </c>
      <c r="D42" s="38" t="str">
        <f>IF(TKB_Nhap!D42="","",TKB_Nhap!D42&amp;CHAR(10)&amp;IF(T(INDEX(PhanCong!$B$3:$J$18,MATCH(TKB_Nhap!D42,PhanCong!$A$3:$A$18,0),MATCH($A42,PhanCong!$B$2:$J$2,0)))="","(chưa PC GV)","GV: "&amp;INDEX(PhanCong!$B$3:$J$18,MATCH(TKB_Nhap!D42,PhanCong!$A$3:$A$18,0),MATCH($A42,PhanCong!$B$2:$J$2,0))))</f>
        <v>Hoạt động trải nghiệm, hướng nghiệp
GV: Nguyễn Ly</v>
      </c>
      <c r="E42" s="38" t="str">
        <f>IF(TKB_Nhap!E42="","",TKB_Nhap!E42&amp;CHAR(10)&amp;IF(T(INDEX(PhanCong!$B$3:$J$18,MATCH(TKB_Nhap!E42,PhanCong!$A$3:$A$18,0),MATCH($A42,PhanCong!$B$2:$J$2,0)))="","(chưa PC GV)","GV: "&amp;INDEX(PhanCong!$B$3:$J$18,MATCH(TKB_Nhap!E42,PhanCong!$A$3:$A$18,0),MATCH($A42,PhanCong!$B$2:$J$2,0))))</f>
        <v>Giáo dục thể chất
GV: Hồng</v>
      </c>
      <c r="F42" s="38" t="str">
        <f>IF(TKB_Nhap!F42="","",TKB_Nhap!F42&amp;CHAR(10)&amp;IF(T(INDEX(PhanCong!$B$3:$J$18,MATCH(TKB_Nhap!F42,PhanCong!$A$3:$A$18,0),MATCH($A42,PhanCong!$B$2:$J$2,0)))="","(chưa PC GV)","GV: "&amp;INDEX(PhanCong!$B$3:$J$18,MATCH(TKB_Nhap!F42,PhanCong!$A$3:$A$18,0),MATCH($A42,PhanCong!$B$2:$J$2,0))))</f>
        <v>Lịch sử và địa lý (Lịch sử)
GV: Huyền</v>
      </c>
      <c r="G42" s="38" t="str">
        <f>IF(TKB_Nhap!G42="","",TKB_Nhap!G42&amp;CHAR(10)&amp;IF(T(INDEX(PhanCong!$B$3:$J$18,MATCH(TKB_Nhap!G42,PhanCong!$A$3:$A$18,0),MATCH($A42,PhanCong!$B$2:$J$2,0)))="","(chưa PC GV)","GV: "&amp;INDEX(PhanCong!$B$3:$J$18,MATCH(TKB_Nhap!G42,PhanCong!$A$3:$A$18,0),MATCH($A42,PhanCong!$B$2:$J$2,0))))</f>
        <v>Toán học
GV: Nguyễn Ly</v>
      </c>
      <c r="H42" s="38" t="str">
        <f>IF(TKB_Nhap!H42="","",TKB_Nhap!H42&amp;CHAR(10)&amp;IF(T(INDEX(PhanCong!$B$3:$J$18,MATCH(TKB_Nhap!H42,PhanCong!$A$3:$A$18,0),MATCH($A42,PhanCong!$B$2:$J$2,0)))="","(chưa PC GV)","GV: "&amp;INDEX(PhanCong!$B$3:$J$18,MATCH(TKB_Nhap!H42,PhanCong!$A$3:$A$18,0),MATCH($A42,PhanCong!$B$2:$J$2,0))))</f>
        <v>Khoa học tự nhiên (Vật lý)
GV: Huyền Ly</v>
      </c>
      <c r="I42" s="38" t="str">
        <f>IF(TKB_Nhap!I42="","",TKB_Nhap!I42&amp;CHAR(10)&amp;IF(T(INDEX(PhanCong!$B$3:$J$18,MATCH(TKB_Nhap!I42,PhanCong!$A$3:$A$18,0),MATCH($A42,PhanCong!$B$2:$J$2,0)))="","(chưa PC GV)","GV: "&amp;INDEX(PhanCong!$B$3:$J$18,MATCH(TKB_Nhap!I42,PhanCong!$A$3:$A$18,0),MATCH($A42,PhanCong!$B$2:$J$2,0))))</f>
        <v>Khoa học tự nhiên (Hoá học)
GV: Khu</v>
      </c>
      <c r="J42" s="38" t="str">
        <f>IF(TKB_Nhap!J42="","",TKB_Nhap!J42&amp;CHAR(10)&amp;IF(T(INDEX(PhanCong!$B$3:$J$18,MATCH(TKB_Nhap!J42,PhanCong!$A$3:$A$18,0),MATCH($A42,PhanCong!$B$2:$J$2,0)))="","(chưa PC GV)","GV: "&amp;INDEX(PhanCong!$B$3:$J$18,MATCH(TKB_Nhap!J42,PhanCong!$A$3:$A$18,0),MATCH($A42,PhanCong!$B$2:$J$2,0))))</f>
        <v/>
      </c>
    </row>
    <row r="43" spans="1:10" ht="27.75" customHeight="1" x14ac:dyDescent="0.25">
      <c r="A43" s="36" t="str">
        <f>TKB_Nhap!A43</f>
        <v>8A</v>
      </c>
      <c r="B43" s="36" t="str">
        <f>TKB_Nhap!B43</f>
        <v>S</v>
      </c>
      <c r="C43" s="36" t="str">
        <f>TKB_Nhap!C43</f>
        <v>2</v>
      </c>
      <c r="D43" s="38" t="str">
        <f>IF(TKB_Nhap!D43="","",TKB_Nhap!D43&amp;CHAR(10)&amp;IF(T(INDEX(PhanCong!$B$3:$J$18,MATCH(TKB_Nhap!D43,PhanCong!$A$3:$A$18,0),MATCH($A43,PhanCong!$B$2:$J$2,0)))="","(chưa PC GV)","GV: "&amp;INDEX(PhanCong!$B$3:$J$18,MATCH(TKB_Nhap!D43,PhanCong!$A$3:$A$18,0),MATCH($A43,PhanCong!$B$2:$J$2,0))))</f>
        <v>Toán học
GV: Nguyễn Ly</v>
      </c>
      <c r="E43" s="38" t="str">
        <f>IF(TKB_Nhap!E43="","",TKB_Nhap!E43&amp;CHAR(10)&amp;IF(T(INDEX(PhanCong!$B$3:$J$18,MATCH(TKB_Nhap!E43,PhanCong!$A$3:$A$18,0),MATCH($A43,PhanCong!$B$2:$J$2,0)))="","(chưa PC GV)","GV: "&amp;INDEX(PhanCong!$B$3:$J$18,MATCH(TKB_Nhap!E43,PhanCong!$A$3:$A$18,0),MATCH($A43,PhanCong!$B$2:$J$2,0))))</f>
        <v>Khoa học tự nhiên (Sinh học)
GV: Hoà</v>
      </c>
      <c r="F43" s="38" t="str">
        <f>IF(TKB_Nhap!F43="","",TKB_Nhap!F43&amp;CHAR(10)&amp;IF(T(INDEX(PhanCong!$B$3:$J$18,MATCH(TKB_Nhap!F43,PhanCong!$A$3:$A$18,0),MATCH($A43,PhanCong!$B$2:$J$2,0)))="","(chưa PC GV)","GV: "&amp;INDEX(PhanCong!$B$3:$J$18,MATCH(TKB_Nhap!F43,PhanCong!$A$3:$A$18,0),MATCH($A43,PhanCong!$B$2:$J$2,0))))</f>
        <v>Nội dung giáo dục của địa phương
GV: Vân</v>
      </c>
      <c r="G43" s="38" t="str">
        <f>IF(TKB_Nhap!G43="","",TKB_Nhap!G43&amp;CHAR(10)&amp;IF(T(INDEX(PhanCong!$B$3:$J$18,MATCH(TKB_Nhap!G43,PhanCong!$A$3:$A$18,0),MATCH($A43,PhanCong!$B$2:$J$2,0)))="","(chưa PC GV)","GV: "&amp;INDEX(PhanCong!$B$3:$J$18,MATCH(TKB_Nhap!G43,PhanCong!$A$3:$A$18,0),MATCH($A43,PhanCong!$B$2:$J$2,0))))</f>
        <v>Ngoại ngữ
GV: Trung</v>
      </c>
      <c r="H43" s="38" t="str">
        <f>IF(TKB_Nhap!H43="","",TKB_Nhap!H43&amp;CHAR(10)&amp;IF(T(INDEX(PhanCong!$B$3:$J$18,MATCH(TKB_Nhap!H43,PhanCong!$A$3:$A$18,0),MATCH($A43,PhanCong!$B$2:$J$2,0)))="","(chưa PC GV)","GV: "&amp;INDEX(PhanCong!$B$3:$J$18,MATCH(TKB_Nhap!H43,PhanCong!$A$3:$A$18,0),MATCH($A43,PhanCong!$B$2:$J$2,0))))</f>
        <v>Giáo dục thể chất
GV: Hồng</v>
      </c>
      <c r="I43" s="38" t="str">
        <f>IF(TKB_Nhap!I43="","",TKB_Nhap!I43&amp;CHAR(10)&amp;IF(T(INDEX(PhanCong!$B$3:$J$18,MATCH(TKB_Nhap!I43,PhanCong!$A$3:$A$18,0),MATCH($A43,PhanCong!$B$2:$J$2,0)))="","(chưa PC GV)","GV: "&amp;INDEX(PhanCong!$B$3:$J$18,MATCH(TKB_Nhap!I43,PhanCong!$A$3:$A$18,0),MATCH($A43,PhanCong!$B$2:$J$2,0))))</f>
        <v>Ngoại ngữ
GV: Trung</v>
      </c>
      <c r="J43" s="38" t="str">
        <f>IF(TKB_Nhap!J43="","",TKB_Nhap!J43&amp;CHAR(10)&amp;IF(T(INDEX(PhanCong!$B$3:$J$18,MATCH(TKB_Nhap!J43,PhanCong!$A$3:$A$18,0),MATCH($A43,PhanCong!$B$2:$J$2,0)))="","(chưa PC GV)","GV: "&amp;INDEX(PhanCong!$B$3:$J$18,MATCH(TKB_Nhap!J43,PhanCong!$A$3:$A$18,0),MATCH($A43,PhanCong!$B$2:$J$2,0))))</f>
        <v/>
      </c>
    </row>
    <row r="44" spans="1:10" ht="27.75" customHeight="1" x14ac:dyDescent="0.25">
      <c r="A44" s="36" t="str">
        <f>TKB_Nhap!A44</f>
        <v>8A</v>
      </c>
      <c r="B44" s="36" t="str">
        <f>TKB_Nhap!B44</f>
        <v>S</v>
      </c>
      <c r="C44" s="36" t="str">
        <f>TKB_Nhap!C44</f>
        <v>3</v>
      </c>
      <c r="D44" s="38" t="str">
        <f>IF(TKB_Nhap!D44="","",TKB_Nhap!D44&amp;CHAR(10)&amp;IF(T(INDEX(PhanCong!$B$3:$J$18,MATCH(TKB_Nhap!D44,PhanCong!$A$3:$A$18,0),MATCH($A44,PhanCong!$B$2:$J$2,0)))="","(chưa PC GV)","GV: "&amp;INDEX(PhanCong!$B$3:$J$18,MATCH(TKB_Nhap!D44,PhanCong!$A$3:$A$18,0),MATCH($A44,PhanCong!$B$2:$J$2,0))))</f>
        <v>Ngữ văn
GV: Lan</v>
      </c>
      <c r="E44" s="38" t="str">
        <f>IF(TKB_Nhap!E44="","",TKB_Nhap!E44&amp;CHAR(10)&amp;IF(T(INDEX(PhanCong!$B$3:$J$18,MATCH(TKB_Nhap!E44,PhanCong!$A$3:$A$18,0),MATCH($A44,PhanCong!$B$2:$J$2,0)))="","(chưa PC GV)","GV: "&amp;INDEX(PhanCong!$B$3:$J$18,MATCH(TKB_Nhap!E44,PhanCong!$A$3:$A$18,0),MATCH($A44,PhanCong!$B$2:$J$2,0))))</f>
        <v>Khoa học tự nhiên (Vật lý)
GV: Huyền Ly</v>
      </c>
      <c r="F44" s="38" t="str">
        <f>IF(TKB_Nhap!F44="","",TKB_Nhap!F44&amp;CHAR(10)&amp;IF(T(INDEX(PhanCong!$B$3:$J$18,MATCH(TKB_Nhap!F44,PhanCong!$A$3:$A$18,0),MATCH($A44,PhanCong!$B$2:$J$2,0)))="","(chưa PC GV)","GV: "&amp;INDEX(PhanCong!$B$3:$J$18,MATCH(TKB_Nhap!F44,PhanCong!$A$3:$A$18,0),MATCH($A44,PhanCong!$B$2:$J$2,0))))</f>
        <v>Khoa học tự nhiên (Sinh học)
GV: Hoà</v>
      </c>
      <c r="G44" s="38" t="str">
        <f>IF(TKB_Nhap!G44="","",TKB_Nhap!G44&amp;CHAR(10)&amp;IF(T(INDEX(PhanCong!$B$3:$J$18,MATCH(TKB_Nhap!G44,PhanCong!$A$3:$A$18,0),MATCH($A44,PhanCong!$B$2:$J$2,0)))="","(chưa PC GV)","GV: "&amp;INDEX(PhanCong!$B$3:$J$18,MATCH(TKB_Nhap!G44,PhanCong!$A$3:$A$18,0),MATCH($A44,PhanCong!$B$2:$J$2,0))))</f>
        <v>Hoạt động trải nghiệm, hướng nghiệp
GV: Nguyễn Ly</v>
      </c>
      <c r="H44" s="38" t="str">
        <f>IF(TKB_Nhap!H44="","",TKB_Nhap!H44&amp;CHAR(10)&amp;IF(T(INDEX(PhanCong!$B$3:$J$18,MATCH(TKB_Nhap!H44,PhanCong!$A$3:$A$18,0),MATCH($A44,PhanCong!$B$2:$J$2,0)))="","(chưa PC GV)","GV: "&amp;INDEX(PhanCong!$B$3:$J$18,MATCH(TKB_Nhap!H44,PhanCong!$A$3:$A$18,0),MATCH($A44,PhanCong!$B$2:$J$2,0))))</f>
        <v>Lịch sử và địa lý (Lịch sử)
GV: Huyền</v>
      </c>
      <c r="I44" s="38" t="str">
        <f>IF(TKB_Nhap!I44="","",TKB_Nhap!I44&amp;CHAR(10)&amp;IF(T(INDEX(PhanCong!$B$3:$J$18,MATCH(TKB_Nhap!I44,PhanCong!$A$3:$A$18,0),MATCH($A44,PhanCong!$B$2:$J$2,0)))="","(chưa PC GV)","GV: "&amp;INDEX(PhanCong!$B$3:$J$18,MATCH(TKB_Nhap!I44,PhanCong!$A$3:$A$18,0),MATCH($A44,PhanCong!$B$2:$J$2,0))))</f>
        <v>Nghệ thuật (Nhạc)
GV: GVHĐ 1</v>
      </c>
      <c r="J44" s="38" t="str">
        <f>IF(TKB_Nhap!J44="","",TKB_Nhap!J44&amp;CHAR(10)&amp;IF(T(INDEX(PhanCong!$B$3:$J$18,MATCH(TKB_Nhap!J44,PhanCong!$A$3:$A$18,0),MATCH($A44,PhanCong!$B$2:$J$2,0)))="","(chưa PC GV)","GV: "&amp;INDEX(PhanCong!$B$3:$J$18,MATCH(TKB_Nhap!J44,PhanCong!$A$3:$A$18,0),MATCH($A44,PhanCong!$B$2:$J$2,0))))</f>
        <v/>
      </c>
    </row>
    <row r="45" spans="1:10" ht="27.75" customHeight="1" x14ac:dyDescent="0.25">
      <c r="A45" s="36" t="str">
        <f>TKB_Nhap!A45</f>
        <v>8A</v>
      </c>
      <c r="B45" s="36" t="str">
        <f>TKB_Nhap!B45</f>
        <v>S</v>
      </c>
      <c r="C45" s="36" t="str">
        <f>TKB_Nhap!C45</f>
        <v>4</v>
      </c>
      <c r="D45" s="38" t="str">
        <f>IF(TKB_Nhap!D45="","",TKB_Nhap!D45&amp;CHAR(10)&amp;IF(T(INDEX(PhanCong!$B$3:$J$18,MATCH(TKB_Nhap!D45,PhanCong!$A$3:$A$18,0),MATCH($A45,PhanCong!$B$2:$J$2,0)))="","(chưa PC GV)","GV: "&amp;INDEX(PhanCong!$B$3:$J$18,MATCH(TKB_Nhap!D45,PhanCong!$A$3:$A$18,0),MATCH($A45,PhanCong!$B$2:$J$2,0))))</f>
        <v>Ngữ văn
GV: Lan</v>
      </c>
      <c r="E45" s="38" t="str">
        <f>IF(TKB_Nhap!E45="","",TKB_Nhap!E45&amp;CHAR(10)&amp;IF(T(INDEX(PhanCong!$B$3:$J$18,MATCH(TKB_Nhap!E45,PhanCong!$A$3:$A$18,0),MATCH($A45,PhanCong!$B$2:$J$2,0)))="","(chưa PC GV)","GV: "&amp;INDEX(PhanCong!$B$3:$J$18,MATCH(TKB_Nhap!E45,PhanCong!$A$3:$A$18,0),MATCH($A45,PhanCong!$B$2:$J$2,0))))</f>
        <v>Ngữ văn
GV: Lan</v>
      </c>
      <c r="F45" s="38" t="str">
        <f>IF(TKB_Nhap!F45="","",TKB_Nhap!F45&amp;CHAR(10)&amp;IF(T(INDEX(PhanCong!$B$3:$J$18,MATCH(TKB_Nhap!F45,PhanCong!$A$3:$A$18,0),MATCH($A45,PhanCong!$B$2:$J$2,0)))="","(chưa PC GV)","GV: "&amp;INDEX(PhanCong!$B$3:$J$18,MATCH(TKB_Nhap!F45,PhanCong!$A$3:$A$18,0),MATCH($A45,PhanCong!$B$2:$J$2,0))))</f>
        <v>Tin
GV: Minh Anh</v>
      </c>
      <c r="G45" s="38" t="str">
        <f>IF(TKB_Nhap!G45="","",TKB_Nhap!G45&amp;CHAR(10)&amp;IF(T(INDEX(PhanCong!$B$3:$J$18,MATCH(TKB_Nhap!G45,PhanCong!$A$3:$A$18,0),MATCH($A45,PhanCong!$B$2:$J$2,0)))="","(chưa PC GV)","GV: "&amp;INDEX(PhanCong!$B$3:$J$18,MATCH(TKB_Nhap!G45,PhanCong!$A$3:$A$18,0),MATCH($A45,PhanCong!$B$2:$J$2,0))))</f>
        <v>Ngữ văn
GV: Lan</v>
      </c>
      <c r="H45" s="38" t="str">
        <f>IF(TKB_Nhap!H45="","",TKB_Nhap!H45&amp;CHAR(10)&amp;IF(T(INDEX(PhanCong!$B$3:$J$18,MATCH(TKB_Nhap!H45,PhanCong!$A$3:$A$18,0),MATCH($A45,PhanCong!$B$2:$J$2,0)))="","(chưa PC GV)","GV: "&amp;INDEX(PhanCong!$B$3:$J$18,MATCH(TKB_Nhap!H45,PhanCong!$A$3:$A$18,0),MATCH($A45,PhanCong!$B$2:$J$2,0))))</f>
        <v>Lịch sử và địa lý (Địa lý)
GV: Huyền</v>
      </c>
      <c r="I45" s="38" t="str">
        <f>IF(TKB_Nhap!I45="","",TKB_Nhap!I45&amp;CHAR(10)&amp;IF(T(INDEX(PhanCong!$B$3:$J$18,MATCH(TKB_Nhap!I45,PhanCong!$A$3:$A$18,0),MATCH($A45,PhanCong!$B$2:$J$2,0)))="","(chưa PC GV)","GV: "&amp;INDEX(PhanCong!$B$3:$J$18,MATCH(TKB_Nhap!I45,PhanCong!$A$3:$A$18,0),MATCH($A45,PhanCong!$B$2:$J$2,0))))</f>
        <v>Toán học
GV: Nguyễn Ly</v>
      </c>
      <c r="J45" s="38" t="str">
        <f>IF(TKB_Nhap!J45="","",TKB_Nhap!J45&amp;CHAR(10)&amp;IF(T(INDEX(PhanCong!$B$3:$J$18,MATCH(TKB_Nhap!J45,PhanCong!$A$3:$A$18,0),MATCH($A45,PhanCong!$B$2:$J$2,0)))="","(chưa PC GV)","GV: "&amp;INDEX(PhanCong!$B$3:$J$18,MATCH(TKB_Nhap!J45,PhanCong!$A$3:$A$18,0),MATCH($A45,PhanCong!$B$2:$J$2,0))))</f>
        <v/>
      </c>
    </row>
    <row r="46" spans="1:10" ht="27.75" customHeight="1" x14ac:dyDescent="0.25">
      <c r="A46" s="36" t="str">
        <f>TKB_Nhap!A46</f>
        <v>8A</v>
      </c>
      <c r="B46" s="36" t="str">
        <f>TKB_Nhap!B46</f>
        <v>S</v>
      </c>
      <c r="C46" s="36" t="str">
        <f>TKB_Nhap!C46</f>
        <v>5</v>
      </c>
      <c r="D46" s="38" t="str">
        <f>IF(TKB_Nhap!D46="","",TKB_Nhap!D46&amp;CHAR(10)&amp;IF(T(INDEX(PhanCong!$B$3:$J$18,MATCH(TKB_Nhap!D46,PhanCong!$A$3:$A$18,0),MATCH($A46,PhanCong!$B$2:$J$2,0)))="","(chưa PC GV)","GV: "&amp;INDEX(PhanCong!$B$3:$J$18,MATCH(TKB_Nhap!D46,PhanCong!$A$3:$A$18,0),MATCH($A46,PhanCong!$B$2:$J$2,0))))</f>
        <v>Ngoại ngữ
GV: Trung</v>
      </c>
      <c r="E46" s="38" t="str">
        <f>IF(TKB_Nhap!E46="","",TKB_Nhap!E46&amp;CHAR(10)&amp;IF(T(INDEX(PhanCong!$B$3:$J$18,MATCH(TKB_Nhap!E46,PhanCong!$A$3:$A$18,0),MATCH($A46,PhanCong!$B$2:$J$2,0)))="","(chưa PC GV)","GV: "&amp;INDEX(PhanCong!$B$3:$J$18,MATCH(TKB_Nhap!E46,PhanCong!$A$3:$A$18,0),MATCH($A46,PhanCong!$B$2:$J$2,0))))</f>
        <v>Nghệ thuật (Mỹ thuật)
GV: Lan Ly</v>
      </c>
      <c r="F46" s="38" t="str">
        <f>IF(TKB_Nhap!F46="","",TKB_Nhap!F46&amp;CHAR(10)&amp;IF(T(INDEX(PhanCong!$B$3:$J$18,MATCH(TKB_Nhap!F46,PhanCong!$A$3:$A$18,0),MATCH($A46,PhanCong!$B$2:$J$2,0)))="","(chưa PC GV)","GV: "&amp;INDEX(PhanCong!$B$3:$J$18,MATCH(TKB_Nhap!F46,PhanCong!$A$3:$A$18,0),MATCH($A46,PhanCong!$B$2:$J$2,0))))</f>
        <v>Toán học
GV: Nguyễn Ly</v>
      </c>
      <c r="G46" s="38" t="str">
        <f>IF(TKB_Nhap!G46="","",TKB_Nhap!G46&amp;CHAR(10)&amp;IF(T(INDEX(PhanCong!$B$3:$J$18,MATCH(TKB_Nhap!G46,PhanCong!$A$3:$A$18,0),MATCH($A46,PhanCong!$B$2:$J$2,0)))="","(chưa PC GV)","GV: "&amp;INDEX(PhanCong!$B$3:$J$18,MATCH(TKB_Nhap!G46,PhanCong!$A$3:$A$18,0),MATCH($A46,PhanCong!$B$2:$J$2,0))))</f>
        <v>Giáo dục công dân
GV: Uyên</v>
      </c>
      <c r="H46" s="38" t="str">
        <f>IF(TKB_Nhap!H46="","",TKB_Nhap!H46&amp;CHAR(10)&amp;IF(T(INDEX(PhanCong!$B$3:$J$18,MATCH(TKB_Nhap!H46,PhanCong!$A$3:$A$18,0),MATCH($A46,PhanCong!$B$2:$J$2,0)))="","(chưa PC GV)","GV: "&amp;INDEX(PhanCong!$B$3:$J$18,MATCH(TKB_Nhap!H46,PhanCong!$A$3:$A$18,0),MATCH($A46,PhanCong!$B$2:$J$2,0))))</f>
        <v>Công nghệ
GV: Sơn</v>
      </c>
      <c r="I46" s="38" t="str">
        <f>IF(TKB_Nhap!I46="","",TKB_Nhap!I46&amp;CHAR(10)&amp;IF(T(INDEX(PhanCong!$B$3:$J$18,MATCH(TKB_Nhap!I46,PhanCong!$A$3:$A$18,0),MATCH($A46,PhanCong!$B$2:$J$2,0)))="","(chưa PC GV)","GV: "&amp;INDEX(PhanCong!$B$3:$J$18,MATCH(TKB_Nhap!I46,PhanCong!$A$3:$A$18,0),MATCH($A46,PhanCong!$B$2:$J$2,0))))</f>
        <v>Hoạt động trải nghiệm, hướng nghiệp
GV: Nguyễn Ly</v>
      </c>
      <c r="J46" s="38" t="str">
        <f>IF(TKB_Nhap!J46="","",TKB_Nhap!J46&amp;CHAR(10)&amp;IF(T(INDEX(PhanCong!$B$3:$J$18,MATCH(TKB_Nhap!J46,PhanCong!$A$3:$A$18,0),MATCH($A46,PhanCong!$B$2:$J$2,0)))="","(chưa PC GV)","GV: "&amp;INDEX(PhanCong!$B$3:$J$18,MATCH(TKB_Nhap!J46,PhanCong!$A$3:$A$18,0),MATCH($A46,PhanCong!$B$2:$J$2,0))))</f>
        <v/>
      </c>
    </row>
    <row r="47" spans="1:10" ht="27.75" customHeight="1" x14ac:dyDescent="0.25">
      <c r="A47" s="36" t="str">
        <f>TKB_Nhap!A47</f>
        <v>8A</v>
      </c>
      <c r="B47" s="36" t="str">
        <f>TKB_Nhap!B47</f>
        <v>C</v>
      </c>
      <c r="C47" s="36" t="str">
        <f>TKB_Nhap!C47</f>
        <v>1</v>
      </c>
      <c r="D47" s="38" t="str">
        <f>IF(TKB_Nhap!D47="","",TKB_Nhap!D47&amp;CHAR(10)&amp;IF(T(INDEX(PhanCong!$B$3:$J$18,MATCH(TKB_Nhap!D47,PhanCong!$A$3:$A$18,0),MATCH($A47,PhanCong!$B$2:$J$2,0)))="","(chưa PC GV)","GV: "&amp;INDEX(PhanCong!$B$3:$J$18,MATCH(TKB_Nhap!D47,PhanCong!$A$3:$A$18,0),MATCH($A47,PhanCong!$B$2:$J$2,0))))</f>
        <v/>
      </c>
      <c r="E47" s="38" t="str">
        <f>IF(TKB_Nhap!E47="","",TKB_Nhap!E47&amp;CHAR(10)&amp;IF(T(INDEX(PhanCong!$B$3:$J$18,MATCH(TKB_Nhap!E47,PhanCong!$A$3:$A$18,0),MATCH($A47,PhanCong!$B$2:$J$2,0)))="","(chưa PC GV)","GV: "&amp;INDEX(PhanCong!$B$3:$J$18,MATCH(TKB_Nhap!E47,PhanCong!$A$3:$A$18,0),MATCH($A47,PhanCong!$B$2:$J$2,0))))</f>
        <v/>
      </c>
      <c r="F47" s="38" t="str">
        <f>IF(TKB_Nhap!F47="","",TKB_Nhap!F47&amp;CHAR(10)&amp;IF(T(INDEX(PhanCong!$B$3:$J$18,MATCH(TKB_Nhap!F47,PhanCong!$A$3:$A$18,0),MATCH($A47,PhanCong!$B$2:$J$2,0)))="","(chưa PC GV)","GV: "&amp;INDEX(PhanCong!$B$3:$J$18,MATCH(TKB_Nhap!F47,PhanCong!$A$3:$A$18,0),MATCH($A47,PhanCong!$B$2:$J$2,0))))</f>
        <v/>
      </c>
      <c r="G47" s="38" t="str">
        <f>IF(TKB_Nhap!G47="","",TKB_Nhap!G47&amp;CHAR(10)&amp;IF(T(INDEX(PhanCong!$B$3:$J$18,MATCH(TKB_Nhap!G47,PhanCong!$A$3:$A$18,0),MATCH($A47,PhanCong!$B$2:$J$2,0)))="","(chưa PC GV)","GV: "&amp;INDEX(PhanCong!$B$3:$J$18,MATCH(TKB_Nhap!G47,PhanCong!$A$3:$A$18,0),MATCH($A47,PhanCong!$B$2:$J$2,0))))</f>
        <v/>
      </c>
      <c r="H47" s="38" t="str">
        <f>IF(TKB_Nhap!H47="","",TKB_Nhap!H47&amp;CHAR(10)&amp;IF(T(INDEX(PhanCong!$B$3:$J$18,MATCH(TKB_Nhap!H47,PhanCong!$A$3:$A$18,0),MATCH($A47,PhanCong!$B$2:$J$2,0)))="","(chưa PC GV)","GV: "&amp;INDEX(PhanCong!$B$3:$J$18,MATCH(TKB_Nhap!H47,PhanCong!$A$3:$A$18,0),MATCH($A47,PhanCong!$B$2:$J$2,0))))</f>
        <v/>
      </c>
      <c r="I47" s="38" t="str">
        <f>IF(TKB_Nhap!I47="","",TKB_Nhap!I47&amp;CHAR(10)&amp;IF(T(INDEX(PhanCong!$B$3:$J$18,MATCH(TKB_Nhap!I47,PhanCong!$A$3:$A$18,0),MATCH($A47,PhanCong!$B$2:$J$2,0)))="","(chưa PC GV)","GV: "&amp;INDEX(PhanCong!$B$3:$J$18,MATCH(TKB_Nhap!I47,PhanCong!$A$3:$A$18,0),MATCH($A47,PhanCong!$B$2:$J$2,0))))</f>
        <v/>
      </c>
      <c r="J47" s="38" t="str">
        <f>IF(TKB_Nhap!J47="","",TKB_Nhap!J47&amp;CHAR(10)&amp;IF(T(INDEX(PhanCong!$B$3:$J$18,MATCH(TKB_Nhap!J47,PhanCong!$A$3:$A$18,0),MATCH($A47,PhanCong!$B$2:$J$2,0)))="","(chưa PC GV)","GV: "&amp;INDEX(PhanCong!$B$3:$J$18,MATCH(TKB_Nhap!J47,PhanCong!$A$3:$A$18,0),MATCH($A47,PhanCong!$B$2:$J$2,0))))</f>
        <v/>
      </c>
    </row>
    <row r="48" spans="1:10" ht="27.75" customHeight="1" x14ac:dyDescent="0.25">
      <c r="A48" s="36" t="str">
        <f>TKB_Nhap!A48</f>
        <v>8A</v>
      </c>
      <c r="B48" s="36" t="str">
        <f>TKB_Nhap!B48</f>
        <v>C</v>
      </c>
      <c r="C48" s="36" t="str">
        <f>TKB_Nhap!C48</f>
        <v>2</v>
      </c>
      <c r="D48" s="38" t="str">
        <f>IF(TKB_Nhap!D48="","",TKB_Nhap!D48&amp;CHAR(10)&amp;IF(T(INDEX(PhanCong!$B$3:$J$18,MATCH(TKB_Nhap!D48,PhanCong!$A$3:$A$18,0),MATCH($A48,PhanCong!$B$2:$J$2,0)))="","(chưa PC GV)","GV: "&amp;INDEX(PhanCong!$B$3:$J$18,MATCH(TKB_Nhap!D48,PhanCong!$A$3:$A$18,0),MATCH($A48,PhanCong!$B$2:$J$2,0))))</f>
        <v/>
      </c>
      <c r="E48" s="38" t="str">
        <f>IF(TKB_Nhap!E48="","",TKB_Nhap!E48&amp;CHAR(10)&amp;IF(T(INDEX(PhanCong!$B$3:$J$18,MATCH(TKB_Nhap!E48,PhanCong!$A$3:$A$18,0),MATCH($A48,PhanCong!$B$2:$J$2,0)))="","(chưa PC GV)","GV: "&amp;INDEX(PhanCong!$B$3:$J$18,MATCH(TKB_Nhap!E48,PhanCong!$A$3:$A$18,0),MATCH($A48,PhanCong!$B$2:$J$2,0))))</f>
        <v/>
      </c>
      <c r="F48" s="38" t="str">
        <f>IF(TKB_Nhap!F48="","",TKB_Nhap!F48&amp;CHAR(10)&amp;IF(T(INDEX(PhanCong!$B$3:$J$18,MATCH(TKB_Nhap!F48,PhanCong!$A$3:$A$18,0),MATCH($A48,PhanCong!$B$2:$J$2,0)))="","(chưa PC GV)","GV: "&amp;INDEX(PhanCong!$B$3:$J$18,MATCH(TKB_Nhap!F48,PhanCong!$A$3:$A$18,0),MATCH($A48,PhanCong!$B$2:$J$2,0))))</f>
        <v/>
      </c>
      <c r="G48" s="38" t="str">
        <f>IF(TKB_Nhap!G48="","",TKB_Nhap!G48&amp;CHAR(10)&amp;IF(T(INDEX(PhanCong!$B$3:$J$18,MATCH(TKB_Nhap!G48,PhanCong!$A$3:$A$18,0),MATCH($A48,PhanCong!$B$2:$J$2,0)))="","(chưa PC GV)","GV: "&amp;INDEX(PhanCong!$B$3:$J$18,MATCH(TKB_Nhap!G48,PhanCong!$A$3:$A$18,0),MATCH($A48,PhanCong!$B$2:$J$2,0))))</f>
        <v/>
      </c>
      <c r="H48" s="38" t="str">
        <f>IF(TKB_Nhap!H48="","",TKB_Nhap!H48&amp;CHAR(10)&amp;IF(T(INDEX(PhanCong!$B$3:$J$18,MATCH(TKB_Nhap!H48,PhanCong!$A$3:$A$18,0),MATCH($A48,PhanCong!$B$2:$J$2,0)))="","(chưa PC GV)","GV: "&amp;INDEX(PhanCong!$B$3:$J$18,MATCH(TKB_Nhap!H48,PhanCong!$A$3:$A$18,0),MATCH($A48,PhanCong!$B$2:$J$2,0))))</f>
        <v/>
      </c>
      <c r="I48" s="38" t="str">
        <f>IF(TKB_Nhap!I48="","",TKB_Nhap!I48&amp;CHAR(10)&amp;IF(T(INDEX(PhanCong!$B$3:$J$18,MATCH(TKB_Nhap!I48,PhanCong!$A$3:$A$18,0),MATCH($A48,PhanCong!$B$2:$J$2,0)))="","(chưa PC GV)","GV: "&amp;INDEX(PhanCong!$B$3:$J$18,MATCH(TKB_Nhap!I48,PhanCong!$A$3:$A$18,0),MATCH($A48,PhanCong!$B$2:$J$2,0))))</f>
        <v/>
      </c>
      <c r="J48" s="38" t="str">
        <f>IF(TKB_Nhap!J48="","",TKB_Nhap!J48&amp;CHAR(10)&amp;IF(T(INDEX(PhanCong!$B$3:$J$18,MATCH(TKB_Nhap!J48,PhanCong!$A$3:$A$18,0),MATCH($A48,PhanCong!$B$2:$J$2,0)))="","(chưa PC GV)","GV: "&amp;INDEX(PhanCong!$B$3:$J$18,MATCH(TKB_Nhap!J48,PhanCong!$A$3:$A$18,0),MATCH($A48,PhanCong!$B$2:$J$2,0))))</f>
        <v/>
      </c>
    </row>
    <row r="49" spans="1:10" ht="27.75" customHeight="1" x14ac:dyDescent="0.25">
      <c r="A49" s="36" t="str">
        <f>TKB_Nhap!A49</f>
        <v>8A</v>
      </c>
      <c r="B49" s="36" t="str">
        <f>TKB_Nhap!B49</f>
        <v>C</v>
      </c>
      <c r="C49" s="36" t="str">
        <f>TKB_Nhap!C49</f>
        <v>3</v>
      </c>
      <c r="D49" s="38" t="str">
        <f>IF(TKB_Nhap!D49="","",TKB_Nhap!D49&amp;CHAR(10)&amp;IF(T(INDEX(PhanCong!$B$3:$J$18,MATCH(TKB_Nhap!D49,PhanCong!$A$3:$A$18,0),MATCH($A49,PhanCong!$B$2:$J$2,0)))="","(chưa PC GV)","GV: "&amp;INDEX(PhanCong!$B$3:$J$18,MATCH(TKB_Nhap!D49,PhanCong!$A$3:$A$18,0),MATCH($A49,PhanCong!$B$2:$J$2,0))))</f>
        <v/>
      </c>
      <c r="E49" s="38" t="str">
        <f>IF(TKB_Nhap!E49="","",TKB_Nhap!E49&amp;CHAR(10)&amp;IF(T(INDEX(PhanCong!$B$3:$J$18,MATCH(TKB_Nhap!E49,PhanCong!$A$3:$A$18,0),MATCH($A49,PhanCong!$B$2:$J$2,0)))="","(chưa PC GV)","GV: "&amp;INDEX(PhanCong!$B$3:$J$18,MATCH(TKB_Nhap!E49,PhanCong!$A$3:$A$18,0),MATCH($A49,PhanCong!$B$2:$J$2,0))))</f>
        <v/>
      </c>
      <c r="F49" s="38" t="str">
        <f>IF(TKB_Nhap!F49="","",TKB_Nhap!F49&amp;CHAR(10)&amp;IF(T(INDEX(PhanCong!$B$3:$J$18,MATCH(TKB_Nhap!F49,PhanCong!$A$3:$A$18,0),MATCH($A49,PhanCong!$B$2:$J$2,0)))="","(chưa PC GV)","GV: "&amp;INDEX(PhanCong!$B$3:$J$18,MATCH(TKB_Nhap!F49,PhanCong!$A$3:$A$18,0),MATCH($A49,PhanCong!$B$2:$J$2,0))))</f>
        <v/>
      </c>
      <c r="G49" s="38" t="str">
        <f>IF(TKB_Nhap!G49="","",TKB_Nhap!G49&amp;CHAR(10)&amp;IF(T(INDEX(PhanCong!$B$3:$J$18,MATCH(TKB_Nhap!G49,PhanCong!$A$3:$A$18,0),MATCH($A49,PhanCong!$B$2:$J$2,0)))="","(chưa PC GV)","GV: "&amp;INDEX(PhanCong!$B$3:$J$18,MATCH(TKB_Nhap!G49,PhanCong!$A$3:$A$18,0),MATCH($A49,PhanCong!$B$2:$J$2,0))))</f>
        <v/>
      </c>
      <c r="H49" s="38" t="str">
        <f>IF(TKB_Nhap!H49="","",TKB_Nhap!H49&amp;CHAR(10)&amp;IF(T(INDEX(PhanCong!$B$3:$J$18,MATCH(TKB_Nhap!H49,PhanCong!$A$3:$A$18,0),MATCH($A49,PhanCong!$B$2:$J$2,0)))="","(chưa PC GV)","GV: "&amp;INDEX(PhanCong!$B$3:$J$18,MATCH(TKB_Nhap!H49,PhanCong!$A$3:$A$18,0),MATCH($A49,PhanCong!$B$2:$J$2,0))))</f>
        <v/>
      </c>
      <c r="I49" s="38" t="str">
        <f>IF(TKB_Nhap!I49="","",TKB_Nhap!I49&amp;CHAR(10)&amp;IF(T(INDEX(PhanCong!$B$3:$J$18,MATCH(TKB_Nhap!I49,PhanCong!$A$3:$A$18,0),MATCH($A49,PhanCong!$B$2:$J$2,0)))="","(chưa PC GV)","GV: "&amp;INDEX(PhanCong!$B$3:$J$18,MATCH(TKB_Nhap!I49,PhanCong!$A$3:$A$18,0),MATCH($A49,PhanCong!$B$2:$J$2,0))))</f>
        <v/>
      </c>
      <c r="J49" s="38" t="str">
        <f>IF(TKB_Nhap!J49="","",TKB_Nhap!J49&amp;CHAR(10)&amp;IF(T(INDEX(PhanCong!$B$3:$J$18,MATCH(TKB_Nhap!J49,PhanCong!$A$3:$A$18,0),MATCH($A49,PhanCong!$B$2:$J$2,0)))="","(chưa PC GV)","GV: "&amp;INDEX(PhanCong!$B$3:$J$18,MATCH(TKB_Nhap!J49,PhanCong!$A$3:$A$18,0),MATCH($A49,PhanCong!$B$2:$J$2,0))))</f>
        <v/>
      </c>
    </row>
    <row r="50" spans="1:10" ht="27.75" customHeight="1" x14ac:dyDescent="0.25">
      <c r="A50" s="30" t="str">
        <f>TKB_Nhap!A50</f>
        <v>8B</v>
      </c>
      <c r="B50" s="30" t="str">
        <f>TKB_Nhap!B50</f>
        <v>S</v>
      </c>
      <c r="C50" s="30" t="str">
        <f>TKB_Nhap!C50</f>
        <v>1</v>
      </c>
      <c r="D50" s="26" t="str">
        <f>IF(TKB_Nhap!D50="","",TKB_Nhap!D50&amp;CHAR(10)&amp;IF(T(INDEX(PhanCong!$B$3:$J$18,MATCH(TKB_Nhap!D50,PhanCong!$A$3:$A$18,0),MATCH($A50,PhanCong!$B$2:$J$2,0)))="","(chưa PC GV)","GV: "&amp;INDEX(PhanCong!$B$3:$J$18,MATCH(TKB_Nhap!D50,PhanCong!$A$3:$A$18,0),MATCH($A50,PhanCong!$B$2:$J$2,0))))</f>
        <v>Hoạt động trải nghiệm, hướng nghiệp
GV: Khu</v>
      </c>
      <c r="E50" s="26" t="str">
        <f>IF(TKB_Nhap!E50="","",TKB_Nhap!E50&amp;CHAR(10)&amp;IF(T(INDEX(PhanCong!$B$3:$J$18,MATCH(TKB_Nhap!E50,PhanCong!$A$3:$A$18,0),MATCH($A50,PhanCong!$B$2:$J$2,0)))="","(chưa PC GV)","GV: "&amp;INDEX(PhanCong!$B$3:$J$18,MATCH(TKB_Nhap!E50,PhanCong!$A$3:$A$18,0),MATCH($A50,PhanCong!$B$2:$J$2,0))))</f>
        <v>Ngữ văn
GV: Lan</v>
      </c>
      <c r="F50" s="26" t="str">
        <f>IF(TKB_Nhap!F50="","",TKB_Nhap!F50&amp;CHAR(10)&amp;IF(T(INDEX(PhanCong!$B$3:$J$18,MATCH(TKB_Nhap!F50,PhanCong!$A$3:$A$18,0),MATCH($A50,PhanCong!$B$2:$J$2,0)))="","(chưa PC GV)","GV: "&amp;INDEX(PhanCong!$B$3:$J$18,MATCH(TKB_Nhap!F50,PhanCong!$A$3:$A$18,0),MATCH($A50,PhanCong!$B$2:$J$2,0))))</f>
        <v>Ngữ văn
GV: Lan</v>
      </c>
      <c r="G50" s="26" t="str">
        <f>IF(TKB_Nhap!G50="","",TKB_Nhap!G50&amp;CHAR(10)&amp;IF(T(INDEX(PhanCong!$B$3:$J$18,MATCH(TKB_Nhap!G50,PhanCong!$A$3:$A$18,0),MATCH($A50,PhanCong!$B$2:$J$2,0)))="","(chưa PC GV)","GV: "&amp;INDEX(PhanCong!$B$3:$J$18,MATCH(TKB_Nhap!G50,PhanCong!$A$3:$A$18,0),MATCH($A50,PhanCong!$B$2:$J$2,0))))</f>
        <v>Lịch sử và địa lý (Địa lý)
GV: Huyền</v>
      </c>
      <c r="H50" s="26" t="str">
        <f>IF(TKB_Nhap!H50="","",TKB_Nhap!H50&amp;CHAR(10)&amp;IF(T(INDEX(PhanCong!$B$3:$J$18,MATCH(TKB_Nhap!H50,PhanCong!$A$3:$A$18,0),MATCH($A50,PhanCong!$B$2:$J$2,0)))="","(chưa PC GV)","GV: "&amp;INDEX(PhanCong!$B$3:$J$18,MATCH(TKB_Nhap!H50,PhanCong!$A$3:$A$18,0),MATCH($A50,PhanCong!$B$2:$J$2,0))))</f>
        <v>Giáo dục thể chất
GV: Hồng</v>
      </c>
      <c r="I50" s="26" t="str">
        <f>IF(TKB_Nhap!I50="","",TKB_Nhap!I50&amp;CHAR(10)&amp;IF(T(INDEX(PhanCong!$B$3:$J$18,MATCH(TKB_Nhap!I50,PhanCong!$A$3:$A$18,0),MATCH($A50,PhanCong!$B$2:$J$2,0)))="","(chưa PC GV)","GV: "&amp;INDEX(PhanCong!$B$3:$J$18,MATCH(TKB_Nhap!I50,PhanCong!$A$3:$A$18,0),MATCH($A50,PhanCong!$B$2:$J$2,0))))</f>
        <v>Toán học
GV: Nguyễn Ly</v>
      </c>
      <c r="J50" s="26" t="str">
        <f>IF(TKB_Nhap!J50="","",TKB_Nhap!J50&amp;CHAR(10)&amp;IF(T(INDEX(PhanCong!$B$3:$J$18,MATCH(TKB_Nhap!J50,PhanCong!$A$3:$A$18,0),MATCH($A50,PhanCong!$B$2:$J$2,0)))="","(chưa PC GV)","GV: "&amp;INDEX(PhanCong!$B$3:$J$18,MATCH(TKB_Nhap!J50,PhanCong!$A$3:$A$18,0),MATCH($A50,PhanCong!$B$2:$J$2,0))))</f>
        <v/>
      </c>
    </row>
    <row r="51" spans="1:10" ht="27.75" customHeight="1" x14ac:dyDescent="0.25">
      <c r="A51" s="30" t="str">
        <f>TKB_Nhap!A51</f>
        <v>8B</v>
      </c>
      <c r="B51" s="30" t="str">
        <f>TKB_Nhap!B51</f>
        <v>S</v>
      </c>
      <c r="C51" s="30" t="str">
        <f>TKB_Nhap!C51</f>
        <v>2</v>
      </c>
      <c r="D51" s="26" t="str">
        <f>IF(TKB_Nhap!D51="","",TKB_Nhap!D51&amp;CHAR(10)&amp;IF(T(INDEX(PhanCong!$B$3:$J$18,MATCH(TKB_Nhap!D51,PhanCong!$A$3:$A$18,0),MATCH($A51,PhanCong!$B$2:$J$2,0)))="","(chưa PC GV)","GV: "&amp;INDEX(PhanCong!$B$3:$J$18,MATCH(TKB_Nhap!D51,PhanCong!$A$3:$A$18,0),MATCH($A51,PhanCong!$B$2:$J$2,0))))</f>
        <v>Ngữ văn
GV: Lan</v>
      </c>
      <c r="E51" s="26" t="str">
        <f>IF(TKB_Nhap!E51="","",TKB_Nhap!E51&amp;CHAR(10)&amp;IF(T(INDEX(PhanCong!$B$3:$J$18,MATCH(TKB_Nhap!E51,PhanCong!$A$3:$A$18,0),MATCH($A51,PhanCong!$B$2:$J$2,0)))="","(chưa PC GV)","GV: "&amp;INDEX(PhanCong!$B$3:$J$18,MATCH(TKB_Nhap!E51,PhanCong!$A$3:$A$18,0),MATCH($A51,PhanCong!$B$2:$J$2,0))))</f>
        <v>Ngữ văn
GV: Lan</v>
      </c>
      <c r="F51" s="26" t="str">
        <f>IF(TKB_Nhap!F51="","",TKB_Nhap!F51&amp;CHAR(10)&amp;IF(T(INDEX(PhanCong!$B$3:$J$18,MATCH(TKB_Nhap!F51,PhanCong!$A$3:$A$18,0),MATCH($A51,PhanCong!$B$2:$J$2,0)))="","(chưa PC GV)","GV: "&amp;INDEX(PhanCong!$B$3:$J$18,MATCH(TKB_Nhap!F51,PhanCong!$A$3:$A$18,0),MATCH($A51,PhanCong!$B$2:$J$2,0))))</f>
        <v>Khoa học tự nhiên (Sinh học)
GV: Hoà</v>
      </c>
      <c r="G51" s="26" t="str">
        <f>IF(TKB_Nhap!G51="","",TKB_Nhap!G51&amp;CHAR(10)&amp;IF(T(INDEX(PhanCong!$B$3:$J$18,MATCH(TKB_Nhap!G51,PhanCong!$A$3:$A$18,0),MATCH($A51,PhanCong!$B$2:$J$2,0)))="","(chưa PC GV)","GV: "&amp;INDEX(PhanCong!$B$3:$J$18,MATCH(TKB_Nhap!G51,PhanCong!$A$3:$A$18,0),MATCH($A51,PhanCong!$B$2:$J$2,0))))</f>
        <v>Toán học
GV: Nguyễn Ly</v>
      </c>
      <c r="H51" s="26" t="str">
        <f>IF(TKB_Nhap!H51="","",TKB_Nhap!H51&amp;CHAR(10)&amp;IF(T(INDEX(PhanCong!$B$3:$J$18,MATCH(TKB_Nhap!H51,PhanCong!$A$3:$A$18,0),MATCH($A51,PhanCong!$B$2:$J$2,0)))="","(chưa PC GV)","GV: "&amp;INDEX(PhanCong!$B$3:$J$18,MATCH(TKB_Nhap!H51,PhanCong!$A$3:$A$18,0),MATCH($A51,PhanCong!$B$2:$J$2,0))))</f>
        <v>Toán học
GV: Nguyễn Ly</v>
      </c>
      <c r="I51" s="26" t="str">
        <f>IF(TKB_Nhap!I51="","",TKB_Nhap!I51&amp;CHAR(10)&amp;IF(T(INDEX(PhanCong!$B$3:$J$18,MATCH(TKB_Nhap!I51,PhanCong!$A$3:$A$18,0),MATCH($A51,PhanCong!$B$2:$J$2,0)))="","(chưa PC GV)","GV: "&amp;INDEX(PhanCong!$B$3:$J$18,MATCH(TKB_Nhap!I51,PhanCong!$A$3:$A$18,0),MATCH($A51,PhanCong!$B$2:$J$2,0))))</f>
        <v>Khoa học tự nhiên (Hoá học)
GV: Khu</v>
      </c>
      <c r="J51" s="26" t="str">
        <f>IF(TKB_Nhap!J51="","",TKB_Nhap!J51&amp;CHAR(10)&amp;IF(T(INDEX(PhanCong!$B$3:$J$18,MATCH(TKB_Nhap!J51,PhanCong!$A$3:$A$18,0),MATCH($A51,PhanCong!$B$2:$J$2,0)))="","(chưa PC GV)","GV: "&amp;INDEX(PhanCong!$B$3:$J$18,MATCH(TKB_Nhap!J51,PhanCong!$A$3:$A$18,0),MATCH($A51,PhanCong!$B$2:$J$2,0))))</f>
        <v/>
      </c>
    </row>
    <row r="52" spans="1:10" ht="27.75" customHeight="1" x14ac:dyDescent="0.25">
      <c r="A52" s="30" t="str">
        <f>TKB_Nhap!A52</f>
        <v>8B</v>
      </c>
      <c r="B52" s="30" t="str">
        <f>TKB_Nhap!B52</f>
        <v>S</v>
      </c>
      <c r="C52" s="30" t="str">
        <f>TKB_Nhap!C52</f>
        <v>3</v>
      </c>
      <c r="D52" s="26" t="str">
        <f>IF(TKB_Nhap!D52="","",TKB_Nhap!D52&amp;CHAR(10)&amp;IF(T(INDEX(PhanCong!$B$3:$J$18,MATCH(TKB_Nhap!D52,PhanCong!$A$3:$A$18,0),MATCH($A52,PhanCong!$B$2:$J$2,0)))="","(chưa PC GV)","GV: "&amp;INDEX(PhanCong!$B$3:$J$18,MATCH(TKB_Nhap!D52,PhanCong!$A$3:$A$18,0),MATCH($A52,PhanCong!$B$2:$J$2,0))))</f>
        <v>Toán học
GV: Nguyễn Ly</v>
      </c>
      <c r="E52" s="26" t="str">
        <f>IF(TKB_Nhap!E52="","",TKB_Nhap!E52&amp;CHAR(10)&amp;IF(T(INDEX(PhanCong!$B$3:$J$18,MATCH(TKB_Nhap!E52,PhanCong!$A$3:$A$18,0),MATCH($A52,PhanCong!$B$2:$J$2,0)))="","(chưa PC GV)","GV: "&amp;INDEX(PhanCong!$B$3:$J$18,MATCH(TKB_Nhap!E52,PhanCong!$A$3:$A$18,0),MATCH($A52,PhanCong!$B$2:$J$2,0))))</f>
        <v>Hoạt động trải nghiệm, hướng nghiệp
GV: Khu</v>
      </c>
      <c r="F52" s="26" t="str">
        <f>IF(TKB_Nhap!F52="","",TKB_Nhap!F52&amp;CHAR(10)&amp;IF(T(INDEX(PhanCong!$B$3:$J$18,MATCH(TKB_Nhap!F52,PhanCong!$A$3:$A$18,0),MATCH($A52,PhanCong!$B$2:$J$2,0)))="","(chưa PC GV)","GV: "&amp;INDEX(PhanCong!$B$3:$J$18,MATCH(TKB_Nhap!F52,PhanCong!$A$3:$A$18,0),MATCH($A52,PhanCong!$B$2:$J$2,0))))</f>
        <v>Ngoại ngữ
GV: Trung</v>
      </c>
      <c r="G52" s="26" t="str">
        <f>IF(TKB_Nhap!G52="","",TKB_Nhap!G52&amp;CHAR(10)&amp;IF(T(INDEX(PhanCong!$B$3:$J$18,MATCH(TKB_Nhap!G52,PhanCong!$A$3:$A$18,0),MATCH($A52,PhanCong!$B$2:$J$2,0)))="","(chưa PC GV)","GV: "&amp;INDEX(PhanCong!$B$3:$J$18,MATCH(TKB_Nhap!G52,PhanCong!$A$3:$A$18,0),MATCH($A52,PhanCong!$B$2:$J$2,0))))</f>
        <v>Tin
GV: Minh Anh</v>
      </c>
      <c r="H52" s="26" t="str">
        <f>IF(TKB_Nhap!H52="","",TKB_Nhap!H52&amp;CHAR(10)&amp;IF(T(INDEX(PhanCong!$B$3:$J$18,MATCH(TKB_Nhap!H52,PhanCong!$A$3:$A$18,0),MATCH($A52,PhanCong!$B$2:$J$2,0)))="","(chưa PC GV)","GV: "&amp;INDEX(PhanCong!$B$3:$J$18,MATCH(TKB_Nhap!H52,PhanCong!$A$3:$A$18,0),MATCH($A52,PhanCong!$B$2:$J$2,0))))</f>
        <v>Giáo dục công dân
GV: Uyên</v>
      </c>
      <c r="I52" s="26" t="str">
        <f>IF(TKB_Nhap!I52="","",TKB_Nhap!I52&amp;CHAR(10)&amp;IF(T(INDEX(PhanCong!$B$3:$J$18,MATCH(TKB_Nhap!I52,PhanCong!$A$3:$A$18,0),MATCH($A52,PhanCong!$B$2:$J$2,0)))="","(chưa PC GV)","GV: "&amp;INDEX(PhanCong!$B$3:$J$18,MATCH(TKB_Nhap!I52,PhanCong!$A$3:$A$18,0),MATCH($A52,PhanCong!$B$2:$J$2,0))))</f>
        <v>Công nghệ
GV: Sơn</v>
      </c>
      <c r="J52" s="26" t="str">
        <f>IF(TKB_Nhap!J52="","",TKB_Nhap!J52&amp;CHAR(10)&amp;IF(T(INDEX(PhanCong!$B$3:$J$18,MATCH(TKB_Nhap!J52,PhanCong!$A$3:$A$18,0),MATCH($A52,PhanCong!$B$2:$J$2,0)))="","(chưa PC GV)","GV: "&amp;INDEX(PhanCong!$B$3:$J$18,MATCH(TKB_Nhap!J52,PhanCong!$A$3:$A$18,0),MATCH($A52,PhanCong!$B$2:$J$2,0))))</f>
        <v/>
      </c>
    </row>
    <row r="53" spans="1:10" ht="27.75" customHeight="1" x14ac:dyDescent="0.25">
      <c r="A53" s="30" t="str">
        <f>TKB_Nhap!A53</f>
        <v>8B</v>
      </c>
      <c r="B53" s="30" t="str">
        <f>TKB_Nhap!B53</f>
        <v>S</v>
      </c>
      <c r="C53" s="30" t="str">
        <f>TKB_Nhap!C53</f>
        <v>4</v>
      </c>
      <c r="D53" s="26" t="str">
        <f>IF(TKB_Nhap!D53="","",TKB_Nhap!D53&amp;CHAR(10)&amp;IF(T(INDEX(PhanCong!$B$3:$J$18,MATCH(TKB_Nhap!D53,PhanCong!$A$3:$A$18,0),MATCH($A53,PhanCong!$B$2:$J$2,0)))="","(chưa PC GV)","GV: "&amp;INDEX(PhanCong!$B$3:$J$18,MATCH(TKB_Nhap!D53,PhanCong!$A$3:$A$18,0),MATCH($A53,PhanCong!$B$2:$J$2,0))))</f>
        <v>Giáo dục thể chất
GV: Hồng</v>
      </c>
      <c r="E53" s="26" t="str">
        <f>IF(TKB_Nhap!E53="","",TKB_Nhap!E53&amp;CHAR(10)&amp;IF(T(INDEX(PhanCong!$B$3:$J$18,MATCH(TKB_Nhap!E53,PhanCong!$A$3:$A$18,0),MATCH($A53,PhanCong!$B$2:$J$2,0)))="","(chưa PC GV)","GV: "&amp;INDEX(PhanCong!$B$3:$J$18,MATCH(TKB_Nhap!E53,PhanCong!$A$3:$A$18,0),MATCH($A53,PhanCong!$B$2:$J$2,0))))</f>
        <v>Khoa học tự nhiên (Sinh học)
GV: Hoà</v>
      </c>
      <c r="F53" s="26" t="str">
        <f>IF(TKB_Nhap!F53="","",TKB_Nhap!F53&amp;CHAR(10)&amp;IF(T(INDEX(PhanCong!$B$3:$J$18,MATCH(TKB_Nhap!F53,PhanCong!$A$3:$A$18,0),MATCH($A53,PhanCong!$B$2:$J$2,0)))="","(chưa PC GV)","GV: "&amp;INDEX(PhanCong!$B$3:$J$18,MATCH(TKB_Nhap!F53,PhanCong!$A$3:$A$18,0),MATCH($A53,PhanCong!$B$2:$J$2,0))))</f>
        <v>Lịch sử và địa lý (Lịch sử)
GV: Huyền</v>
      </c>
      <c r="G53" s="26" t="str">
        <f>IF(TKB_Nhap!G53="","",TKB_Nhap!G53&amp;CHAR(10)&amp;IF(T(INDEX(PhanCong!$B$3:$J$18,MATCH(TKB_Nhap!G53,PhanCong!$A$3:$A$18,0),MATCH($A53,PhanCong!$B$2:$J$2,0)))="","(chưa PC GV)","GV: "&amp;INDEX(PhanCong!$B$3:$J$18,MATCH(TKB_Nhap!G53,PhanCong!$A$3:$A$18,0),MATCH($A53,PhanCong!$B$2:$J$2,0))))</f>
        <v>Lịch sử và địa lý (Lịch sử)
GV: Huyền</v>
      </c>
      <c r="H53" s="26" t="str">
        <f>IF(TKB_Nhap!H53="","",TKB_Nhap!H53&amp;CHAR(10)&amp;IF(T(INDEX(PhanCong!$B$3:$J$18,MATCH(TKB_Nhap!H53,PhanCong!$A$3:$A$18,0),MATCH($A53,PhanCong!$B$2:$J$2,0)))="","(chưa PC GV)","GV: "&amp;INDEX(PhanCong!$B$3:$J$18,MATCH(TKB_Nhap!H53,PhanCong!$A$3:$A$18,0),MATCH($A53,PhanCong!$B$2:$J$2,0))))</f>
        <v>Nghệ thuật (Nhạc)
GV: GVHĐ 1</v>
      </c>
      <c r="I53" s="26" t="str">
        <f>IF(TKB_Nhap!I53="","",TKB_Nhap!I53&amp;CHAR(10)&amp;IF(T(INDEX(PhanCong!$B$3:$J$18,MATCH(TKB_Nhap!I53,PhanCong!$A$3:$A$18,0),MATCH($A53,PhanCong!$B$2:$J$2,0)))="","(chưa PC GV)","GV: "&amp;INDEX(PhanCong!$B$3:$J$18,MATCH(TKB_Nhap!I53,PhanCong!$A$3:$A$18,0),MATCH($A53,PhanCong!$B$2:$J$2,0))))</f>
        <v>Khoa học tự nhiên (Vật lý)
GV: Huyền Ly</v>
      </c>
      <c r="J53" s="26" t="str">
        <f>IF(TKB_Nhap!J53="","",TKB_Nhap!J53&amp;CHAR(10)&amp;IF(T(INDEX(PhanCong!$B$3:$J$18,MATCH(TKB_Nhap!J53,PhanCong!$A$3:$A$18,0),MATCH($A53,PhanCong!$B$2:$J$2,0)))="","(chưa PC GV)","GV: "&amp;INDEX(PhanCong!$B$3:$J$18,MATCH(TKB_Nhap!J53,PhanCong!$A$3:$A$18,0),MATCH($A53,PhanCong!$B$2:$J$2,0))))</f>
        <v/>
      </c>
    </row>
    <row r="54" spans="1:10" ht="27.75" customHeight="1" x14ac:dyDescent="0.25">
      <c r="A54" s="30" t="str">
        <f>TKB_Nhap!A54</f>
        <v>8B</v>
      </c>
      <c r="B54" s="30" t="str">
        <f>TKB_Nhap!B54</f>
        <v>S</v>
      </c>
      <c r="C54" s="30" t="str">
        <f>TKB_Nhap!C54</f>
        <v>5</v>
      </c>
      <c r="D54" s="26" t="str">
        <f>IF(TKB_Nhap!D54="","",TKB_Nhap!D54&amp;CHAR(10)&amp;IF(T(INDEX(PhanCong!$B$3:$J$18,MATCH(TKB_Nhap!D54,PhanCong!$A$3:$A$18,0),MATCH($A54,PhanCong!$B$2:$J$2,0)))="","(chưa PC GV)","GV: "&amp;INDEX(PhanCong!$B$3:$J$18,MATCH(TKB_Nhap!D54,PhanCong!$A$3:$A$18,0),MATCH($A54,PhanCong!$B$2:$J$2,0))))</f>
        <v>Khoa học tự nhiên (Vật lý)
GV: Huyền Ly</v>
      </c>
      <c r="E54" s="26" t="str">
        <f>IF(TKB_Nhap!E54="","",TKB_Nhap!E54&amp;CHAR(10)&amp;IF(T(INDEX(PhanCong!$B$3:$J$18,MATCH(TKB_Nhap!E54,PhanCong!$A$3:$A$18,0),MATCH($A54,PhanCong!$B$2:$J$2,0)))="","(chưa PC GV)","GV: "&amp;INDEX(PhanCong!$B$3:$J$18,MATCH(TKB_Nhap!E54,PhanCong!$A$3:$A$18,0),MATCH($A54,PhanCong!$B$2:$J$2,0))))</f>
        <v>Nội dung giáo dục của địa phương
GV: Vân</v>
      </c>
      <c r="F54" s="26" t="str">
        <f>IF(TKB_Nhap!F54="","",TKB_Nhap!F54&amp;CHAR(10)&amp;IF(T(INDEX(PhanCong!$B$3:$J$18,MATCH(TKB_Nhap!F54,PhanCong!$A$3:$A$18,0),MATCH($A54,PhanCong!$B$2:$J$2,0)))="","(chưa PC GV)","GV: "&amp;INDEX(PhanCong!$B$3:$J$18,MATCH(TKB_Nhap!F54,PhanCong!$A$3:$A$18,0),MATCH($A54,PhanCong!$B$2:$J$2,0))))</f>
        <v>Nghệ thuật (Mỹ thuật)
GV: Lan Ly</v>
      </c>
      <c r="G54" s="26" t="str">
        <f>IF(TKB_Nhap!G54="","",TKB_Nhap!G54&amp;CHAR(10)&amp;IF(T(INDEX(PhanCong!$B$3:$J$18,MATCH(TKB_Nhap!G54,PhanCong!$A$3:$A$18,0),MATCH($A54,PhanCong!$B$2:$J$2,0)))="","(chưa PC GV)","GV: "&amp;INDEX(PhanCong!$B$3:$J$18,MATCH(TKB_Nhap!G54,PhanCong!$A$3:$A$18,0),MATCH($A54,PhanCong!$B$2:$J$2,0))))</f>
        <v>Hoạt động trải nghiệm, hướng nghiệp
GV: Khu</v>
      </c>
      <c r="H54" s="26" t="str">
        <f>IF(TKB_Nhap!H54="","",TKB_Nhap!H54&amp;CHAR(10)&amp;IF(T(INDEX(PhanCong!$B$3:$J$18,MATCH(TKB_Nhap!H54,PhanCong!$A$3:$A$18,0),MATCH($A54,PhanCong!$B$2:$J$2,0)))="","(chưa PC GV)","GV: "&amp;INDEX(PhanCong!$B$3:$J$18,MATCH(TKB_Nhap!H54,PhanCong!$A$3:$A$18,0),MATCH($A54,PhanCong!$B$2:$J$2,0))))</f>
        <v>Ngoại ngữ
GV: Trung</v>
      </c>
      <c r="I54" s="26" t="str">
        <f>IF(TKB_Nhap!I54="","",TKB_Nhap!I54&amp;CHAR(10)&amp;IF(T(INDEX(PhanCong!$B$3:$J$18,MATCH(TKB_Nhap!I54,PhanCong!$A$3:$A$18,0),MATCH($A54,PhanCong!$B$2:$J$2,0)))="","(chưa PC GV)","GV: "&amp;INDEX(PhanCong!$B$3:$J$18,MATCH(TKB_Nhap!I54,PhanCong!$A$3:$A$18,0),MATCH($A54,PhanCong!$B$2:$J$2,0))))</f>
        <v>Ngoại ngữ
GV: Trung</v>
      </c>
      <c r="J54" s="26" t="str">
        <f>IF(TKB_Nhap!J54="","",TKB_Nhap!J54&amp;CHAR(10)&amp;IF(T(INDEX(PhanCong!$B$3:$J$18,MATCH(TKB_Nhap!J54,PhanCong!$A$3:$A$18,0),MATCH($A54,PhanCong!$B$2:$J$2,0)))="","(chưa PC GV)","GV: "&amp;INDEX(PhanCong!$B$3:$J$18,MATCH(TKB_Nhap!J54,PhanCong!$A$3:$A$18,0),MATCH($A54,PhanCong!$B$2:$J$2,0))))</f>
        <v/>
      </c>
    </row>
    <row r="55" spans="1:10" ht="27.75" customHeight="1" x14ac:dyDescent="0.25">
      <c r="A55" s="30" t="str">
        <f>TKB_Nhap!A55</f>
        <v>8B</v>
      </c>
      <c r="B55" s="30" t="str">
        <f>TKB_Nhap!B55</f>
        <v>C</v>
      </c>
      <c r="C55" s="30" t="str">
        <f>TKB_Nhap!C55</f>
        <v>1</v>
      </c>
      <c r="D55" s="26" t="str">
        <f>IF(TKB_Nhap!D55="","",TKB_Nhap!D55&amp;CHAR(10)&amp;IF(T(INDEX(PhanCong!$B$3:$J$18,MATCH(TKB_Nhap!D55,PhanCong!$A$3:$A$18,0),MATCH($A55,PhanCong!$B$2:$J$2,0)))="","(chưa PC GV)","GV: "&amp;INDEX(PhanCong!$B$3:$J$18,MATCH(TKB_Nhap!D55,PhanCong!$A$3:$A$18,0),MATCH($A55,PhanCong!$B$2:$J$2,0))))</f>
        <v/>
      </c>
      <c r="E55" s="26" t="str">
        <f>IF(TKB_Nhap!E55="","",TKB_Nhap!E55&amp;CHAR(10)&amp;IF(T(INDEX(PhanCong!$B$3:$J$18,MATCH(TKB_Nhap!E55,PhanCong!$A$3:$A$18,0),MATCH($A55,PhanCong!$B$2:$J$2,0)))="","(chưa PC GV)","GV: "&amp;INDEX(PhanCong!$B$3:$J$18,MATCH(TKB_Nhap!E55,PhanCong!$A$3:$A$18,0),MATCH($A55,PhanCong!$B$2:$J$2,0))))</f>
        <v/>
      </c>
      <c r="F55" s="26" t="str">
        <f>IF(TKB_Nhap!F55="","",TKB_Nhap!F55&amp;CHAR(10)&amp;IF(T(INDEX(PhanCong!$B$3:$J$18,MATCH(TKB_Nhap!F55,PhanCong!$A$3:$A$18,0),MATCH($A55,PhanCong!$B$2:$J$2,0)))="","(chưa PC GV)","GV: "&amp;INDEX(PhanCong!$B$3:$J$18,MATCH(TKB_Nhap!F55,PhanCong!$A$3:$A$18,0),MATCH($A55,PhanCong!$B$2:$J$2,0))))</f>
        <v/>
      </c>
      <c r="G55" s="26" t="str">
        <f>IF(TKB_Nhap!G55="","",TKB_Nhap!G55&amp;CHAR(10)&amp;IF(T(INDEX(PhanCong!$B$3:$J$18,MATCH(TKB_Nhap!G55,PhanCong!$A$3:$A$18,0),MATCH($A55,PhanCong!$B$2:$J$2,0)))="","(chưa PC GV)","GV: "&amp;INDEX(PhanCong!$B$3:$J$18,MATCH(TKB_Nhap!G55,PhanCong!$A$3:$A$18,0),MATCH($A55,PhanCong!$B$2:$J$2,0))))</f>
        <v/>
      </c>
      <c r="H55" s="26" t="str">
        <f>IF(TKB_Nhap!H55="","",TKB_Nhap!H55&amp;CHAR(10)&amp;IF(T(INDEX(PhanCong!$B$3:$J$18,MATCH(TKB_Nhap!H55,PhanCong!$A$3:$A$18,0),MATCH($A55,PhanCong!$B$2:$J$2,0)))="","(chưa PC GV)","GV: "&amp;INDEX(PhanCong!$B$3:$J$18,MATCH(TKB_Nhap!H55,PhanCong!$A$3:$A$18,0),MATCH($A55,PhanCong!$B$2:$J$2,0))))</f>
        <v/>
      </c>
      <c r="I55" s="26" t="str">
        <f>IF(TKB_Nhap!I55="","",TKB_Nhap!I55&amp;CHAR(10)&amp;IF(T(INDEX(PhanCong!$B$3:$J$18,MATCH(TKB_Nhap!I55,PhanCong!$A$3:$A$18,0),MATCH($A55,PhanCong!$B$2:$J$2,0)))="","(chưa PC GV)","GV: "&amp;INDEX(PhanCong!$B$3:$J$18,MATCH(TKB_Nhap!I55,PhanCong!$A$3:$A$18,0),MATCH($A55,PhanCong!$B$2:$J$2,0))))</f>
        <v/>
      </c>
      <c r="J55" s="26" t="str">
        <f>IF(TKB_Nhap!J55="","",TKB_Nhap!J55&amp;CHAR(10)&amp;IF(T(INDEX(PhanCong!$B$3:$J$18,MATCH(TKB_Nhap!J55,PhanCong!$A$3:$A$18,0),MATCH($A55,PhanCong!$B$2:$J$2,0)))="","(chưa PC GV)","GV: "&amp;INDEX(PhanCong!$B$3:$J$18,MATCH(TKB_Nhap!J55,PhanCong!$A$3:$A$18,0),MATCH($A55,PhanCong!$B$2:$J$2,0))))</f>
        <v/>
      </c>
    </row>
    <row r="56" spans="1:10" ht="27.75" customHeight="1" x14ac:dyDescent="0.25">
      <c r="A56" s="30" t="str">
        <f>TKB_Nhap!A56</f>
        <v>8B</v>
      </c>
      <c r="B56" s="30" t="str">
        <f>TKB_Nhap!B56</f>
        <v>C</v>
      </c>
      <c r="C56" s="30" t="str">
        <f>TKB_Nhap!C56</f>
        <v>2</v>
      </c>
      <c r="D56" s="26" t="str">
        <f>IF(TKB_Nhap!D56="","",TKB_Nhap!D56&amp;CHAR(10)&amp;IF(T(INDEX(PhanCong!$B$3:$J$18,MATCH(TKB_Nhap!D56,PhanCong!$A$3:$A$18,0),MATCH($A56,PhanCong!$B$2:$J$2,0)))="","(chưa PC GV)","GV: "&amp;INDEX(PhanCong!$B$3:$J$18,MATCH(TKB_Nhap!D56,PhanCong!$A$3:$A$18,0),MATCH($A56,PhanCong!$B$2:$J$2,0))))</f>
        <v/>
      </c>
      <c r="E56" s="26" t="str">
        <f>IF(TKB_Nhap!E56="","",TKB_Nhap!E56&amp;CHAR(10)&amp;IF(T(INDEX(PhanCong!$B$3:$J$18,MATCH(TKB_Nhap!E56,PhanCong!$A$3:$A$18,0),MATCH($A56,PhanCong!$B$2:$J$2,0)))="","(chưa PC GV)","GV: "&amp;INDEX(PhanCong!$B$3:$J$18,MATCH(TKB_Nhap!E56,PhanCong!$A$3:$A$18,0),MATCH($A56,PhanCong!$B$2:$J$2,0))))</f>
        <v/>
      </c>
      <c r="F56" s="26" t="str">
        <f>IF(TKB_Nhap!F56="","",TKB_Nhap!F56&amp;CHAR(10)&amp;IF(T(INDEX(PhanCong!$B$3:$J$18,MATCH(TKB_Nhap!F56,PhanCong!$A$3:$A$18,0),MATCH($A56,PhanCong!$B$2:$J$2,0)))="","(chưa PC GV)","GV: "&amp;INDEX(PhanCong!$B$3:$J$18,MATCH(TKB_Nhap!F56,PhanCong!$A$3:$A$18,0),MATCH($A56,PhanCong!$B$2:$J$2,0))))</f>
        <v/>
      </c>
      <c r="G56" s="26" t="str">
        <f>IF(TKB_Nhap!G56="","",TKB_Nhap!G56&amp;CHAR(10)&amp;IF(T(INDEX(PhanCong!$B$3:$J$18,MATCH(TKB_Nhap!G56,PhanCong!$A$3:$A$18,0),MATCH($A56,PhanCong!$B$2:$J$2,0)))="","(chưa PC GV)","GV: "&amp;INDEX(PhanCong!$B$3:$J$18,MATCH(TKB_Nhap!G56,PhanCong!$A$3:$A$18,0),MATCH($A56,PhanCong!$B$2:$J$2,0))))</f>
        <v/>
      </c>
      <c r="H56" s="26" t="str">
        <f>IF(TKB_Nhap!H56="","",TKB_Nhap!H56&amp;CHAR(10)&amp;IF(T(INDEX(PhanCong!$B$3:$J$18,MATCH(TKB_Nhap!H56,PhanCong!$A$3:$A$18,0),MATCH($A56,PhanCong!$B$2:$J$2,0)))="","(chưa PC GV)","GV: "&amp;INDEX(PhanCong!$B$3:$J$18,MATCH(TKB_Nhap!H56,PhanCong!$A$3:$A$18,0),MATCH($A56,PhanCong!$B$2:$J$2,0))))</f>
        <v/>
      </c>
      <c r="I56" s="26" t="str">
        <f>IF(TKB_Nhap!I56="","",TKB_Nhap!I56&amp;CHAR(10)&amp;IF(T(INDEX(PhanCong!$B$3:$J$18,MATCH(TKB_Nhap!I56,PhanCong!$A$3:$A$18,0),MATCH($A56,PhanCong!$B$2:$J$2,0)))="","(chưa PC GV)","GV: "&amp;INDEX(PhanCong!$B$3:$J$18,MATCH(TKB_Nhap!I56,PhanCong!$A$3:$A$18,0),MATCH($A56,PhanCong!$B$2:$J$2,0))))</f>
        <v/>
      </c>
      <c r="J56" s="26" t="str">
        <f>IF(TKB_Nhap!J56="","",TKB_Nhap!J56&amp;CHAR(10)&amp;IF(T(INDEX(PhanCong!$B$3:$J$18,MATCH(TKB_Nhap!J56,PhanCong!$A$3:$A$18,0),MATCH($A56,PhanCong!$B$2:$J$2,0)))="","(chưa PC GV)","GV: "&amp;INDEX(PhanCong!$B$3:$J$18,MATCH(TKB_Nhap!J56,PhanCong!$A$3:$A$18,0),MATCH($A56,PhanCong!$B$2:$J$2,0))))</f>
        <v/>
      </c>
    </row>
    <row r="57" spans="1:10" ht="27.75" customHeight="1" x14ac:dyDescent="0.25">
      <c r="A57" s="30" t="str">
        <f>TKB_Nhap!A57</f>
        <v>8B</v>
      </c>
      <c r="B57" s="30" t="str">
        <f>TKB_Nhap!B57</f>
        <v>C</v>
      </c>
      <c r="C57" s="30" t="str">
        <f>TKB_Nhap!C57</f>
        <v>3</v>
      </c>
      <c r="D57" s="26" t="str">
        <f>IF(TKB_Nhap!D57="","",TKB_Nhap!D57&amp;CHAR(10)&amp;IF(T(INDEX(PhanCong!$B$3:$J$18,MATCH(TKB_Nhap!D57,PhanCong!$A$3:$A$18,0),MATCH($A57,PhanCong!$B$2:$J$2,0)))="","(chưa PC GV)","GV: "&amp;INDEX(PhanCong!$B$3:$J$18,MATCH(TKB_Nhap!D57,PhanCong!$A$3:$A$18,0),MATCH($A57,PhanCong!$B$2:$J$2,0))))</f>
        <v/>
      </c>
      <c r="E57" s="26" t="str">
        <f>IF(TKB_Nhap!E57="","",TKB_Nhap!E57&amp;CHAR(10)&amp;IF(T(INDEX(PhanCong!$B$3:$J$18,MATCH(TKB_Nhap!E57,PhanCong!$A$3:$A$18,0),MATCH($A57,PhanCong!$B$2:$J$2,0)))="","(chưa PC GV)","GV: "&amp;INDEX(PhanCong!$B$3:$J$18,MATCH(TKB_Nhap!E57,PhanCong!$A$3:$A$18,0),MATCH($A57,PhanCong!$B$2:$J$2,0))))</f>
        <v/>
      </c>
      <c r="F57" s="26" t="str">
        <f>IF(TKB_Nhap!F57="","",TKB_Nhap!F57&amp;CHAR(10)&amp;IF(T(INDEX(PhanCong!$B$3:$J$18,MATCH(TKB_Nhap!F57,PhanCong!$A$3:$A$18,0),MATCH($A57,PhanCong!$B$2:$J$2,0)))="","(chưa PC GV)","GV: "&amp;INDEX(PhanCong!$B$3:$J$18,MATCH(TKB_Nhap!F57,PhanCong!$A$3:$A$18,0),MATCH($A57,PhanCong!$B$2:$J$2,0))))</f>
        <v/>
      </c>
      <c r="G57" s="26" t="str">
        <f>IF(TKB_Nhap!G57="","",TKB_Nhap!G57&amp;CHAR(10)&amp;IF(T(INDEX(PhanCong!$B$3:$J$18,MATCH(TKB_Nhap!G57,PhanCong!$A$3:$A$18,0),MATCH($A57,PhanCong!$B$2:$J$2,0)))="","(chưa PC GV)","GV: "&amp;INDEX(PhanCong!$B$3:$J$18,MATCH(TKB_Nhap!G57,PhanCong!$A$3:$A$18,0),MATCH($A57,PhanCong!$B$2:$J$2,0))))</f>
        <v/>
      </c>
      <c r="H57" s="26" t="str">
        <f>IF(TKB_Nhap!H57="","",TKB_Nhap!H57&amp;CHAR(10)&amp;IF(T(INDEX(PhanCong!$B$3:$J$18,MATCH(TKB_Nhap!H57,PhanCong!$A$3:$A$18,0),MATCH($A57,PhanCong!$B$2:$J$2,0)))="","(chưa PC GV)","GV: "&amp;INDEX(PhanCong!$B$3:$J$18,MATCH(TKB_Nhap!H57,PhanCong!$A$3:$A$18,0),MATCH($A57,PhanCong!$B$2:$J$2,0))))</f>
        <v/>
      </c>
      <c r="I57" s="26" t="str">
        <f>IF(TKB_Nhap!I57="","",TKB_Nhap!I57&amp;CHAR(10)&amp;IF(T(INDEX(PhanCong!$B$3:$J$18,MATCH(TKB_Nhap!I57,PhanCong!$A$3:$A$18,0),MATCH($A57,PhanCong!$B$2:$J$2,0)))="","(chưa PC GV)","GV: "&amp;INDEX(PhanCong!$B$3:$J$18,MATCH(TKB_Nhap!I57,PhanCong!$A$3:$A$18,0),MATCH($A57,PhanCong!$B$2:$J$2,0))))</f>
        <v/>
      </c>
      <c r="J57" s="26" t="str">
        <f>IF(TKB_Nhap!J57="","",TKB_Nhap!J57&amp;CHAR(10)&amp;IF(T(INDEX(PhanCong!$B$3:$J$18,MATCH(TKB_Nhap!J57,PhanCong!$A$3:$A$18,0),MATCH($A57,PhanCong!$B$2:$J$2,0)))="","(chưa PC GV)","GV: "&amp;INDEX(PhanCong!$B$3:$J$18,MATCH(TKB_Nhap!J57,PhanCong!$A$3:$A$18,0),MATCH($A57,PhanCong!$B$2:$J$2,0))))</f>
        <v/>
      </c>
    </row>
    <row r="58" spans="1:10" ht="27.75" customHeight="1" x14ac:dyDescent="0.25">
      <c r="A58" s="36" t="str">
        <f>TKB_Nhap!A58</f>
        <v>9A</v>
      </c>
      <c r="B58" s="36" t="str">
        <f>TKB_Nhap!B58</f>
        <v>S</v>
      </c>
      <c r="C58" s="36" t="str">
        <f>TKB_Nhap!C58</f>
        <v>1</v>
      </c>
      <c r="D58" s="38" t="str">
        <f>IF(TKB_Nhap!D58="","",TKB_Nhap!D58&amp;CHAR(10)&amp;IF(T(INDEX(PhanCong!$B$3:$J$18,MATCH(TKB_Nhap!D58,PhanCong!$A$3:$A$18,0),MATCH($A58,PhanCong!$B$2:$J$2,0)))="","(chưa PC GV)","GV: "&amp;INDEX(PhanCong!$B$3:$J$18,MATCH(TKB_Nhap!D58,PhanCong!$A$3:$A$18,0),MATCH($A58,PhanCong!$B$2:$J$2,0))))</f>
        <v>Hoạt động trải nghiệm, hướng nghiệp
GV: Hoa</v>
      </c>
      <c r="E58" s="38" t="str">
        <f>IF(TKB_Nhap!E58="","",TKB_Nhap!E58&amp;CHAR(10)&amp;IF(T(INDEX(PhanCong!$B$3:$J$18,MATCH(TKB_Nhap!E58,PhanCong!$A$3:$A$18,0),MATCH($A58,PhanCong!$B$2:$J$2,0)))="","(chưa PC GV)","GV: "&amp;INDEX(PhanCong!$B$3:$J$18,MATCH(TKB_Nhap!E58,PhanCong!$A$3:$A$18,0),MATCH($A58,PhanCong!$B$2:$J$2,0))))</f>
        <v>Ngữ văn
GV: Hoa</v>
      </c>
      <c r="F58" s="38" t="str">
        <f>IF(TKB_Nhap!F58="","",TKB_Nhap!F58&amp;CHAR(10)&amp;IF(T(INDEX(PhanCong!$B$3:$J$18,MATCH(TKB_Nhap!F58,PhanCong!$A$3:$A$18,0),MATCH($A58,PhanCong!$B$2:$J$2,0)))="","(chưa PC GV)","GV: "&amp;INDEX(PhanCong!$B$3:$J$18,MATCH(TKB_Nhap!F58,PhanCong!$A$3:$A$18,0),MATCH($A58,PhanCong!$B$2:$J$2,0))))</f>
        <v>Giáo dục thể chất
GV: Hồng</v>
      </c>
      <c r="G58" s="38" t="str">
        <f>IF(TKB_Nhap!G58="","",TKB_Nhap!G58&amp;CHAR(10)&amp;IF(T(INDEX(PhanCong!$B$3:$J$18,MATCH(TKB_Nhap!G58,PhanCong!$A$3:$A$18,0),MATCH($A58,PhanCong!$B$2:$J$2,0)))="","(chưa PC GV)","GV: "&amp;INDEX(PhanCong!$B$3:$J$18,MATCH(TKB_Nhap!G58,PhanCong!$A$3:$A$18,0),MATCH($A58,PhanCong!$B$2:$J$2,0))))</f>
        <v>Giáo dục thể chất
GV: Hồng</v>
      </c>
      <c r="H58" s="38" t="str">
        <f>IF(TKB_Nhap!H58="","",TKB_Nhap!H58&amp;CHAR(10)&amp;IF(T(INDEX(PhanCong!$B$3:$J$18,MATCH(TKB_Nhap!H58,PhanCong!$A$3:$A$18,0),MATCH($A58,PhanCong!$B$2:$J$2,0)))="","(chưa PC GV)","GV: "&amp;INDEX(PhanCong!$B$3:$J$18,MATCH(TKB_Nhap!H58,PhanCong!$A$3:$A$18,0),MATCH($A58,PhanCong!$B$2:$J$2,0))))</f>
        <v>Lịch sử và địa lý (Địa lý)
GV: Huyền</v>
      </c>
      <c r="I58" s="38" t="str">
        <f>IF(TKB_Nhap!I58="","",TKB_Nhap!I58&amp;CHAR(10)&amp;IF(T(INDEX(PhanCong!$B$3:$J$18,MATCH(TKB_Nhap!I58,PhanCong!$A$3:$A$18,0),MATCH($A58,PhanCong!$B$2:$J$2,0)))="","(chưa PC GV)","GV: "&amp;INDEX(PhanCong!$B$3:$J$18,MATCH(TKB_Nhap!I58,PhanCong!$A$3:$A$18,0),MATCH($A58,PhanCong!$B$2:$J$2,0))))</f>
        <v>Toán học
GV: Huyền Ly</v>
      </c>
      <c r="J58" s="38" t="str">
        <f>IF(TKB_Nhap!J58="","",TKB_Nhap!J58&amp;CHAR(10)&amp;IF(T(INDEX(PhanCong!$B$3:$J$18,MATCH(TKB_Nhap!J58,PhanCong!$A$3:$A$18,0),MATCH($A58,PhanCong!$B$2:$J$2,0)))="","(chưa PC GV)","GV: "&amp;INDEX(PhanCong!$B$3:$J$18,MATCH(TKB_Nhap!J58,PhanCong!$A$3:$A$18,0),MATCH($A58,PhanCong!$B$2:$J$2,0))))</f>
        <v/>
      </c>
    </row>
    <row r="59" spans="1:10" ht="27.75" customHeight="1" x14ac:dyDescent="0.25">
      <c r="A59" s="36" t="str">
        <f>TKB_Nhap!A59</f>
        <v>9A</v>
      </c>
      <c r="B59" s="36" t="str">
        <f>TKB_Nhap!B59</f>
        <v>S</v>
      </c>
      <c r="C59" s="36" t="str">
        <f>TKB_Nhap!C59</f>
        <v>2</v>
      </c>
      <c r="D59" s="38" t="str">
        <f>IF(TKB_Nhap!D59="","",TKB_Nhap!D59&amp;CHAR(10)&amp;IF(T(INDEX(PhanCong!$B$3:$J$18,MATCH(TKB_Nhap!D59,PhanCong!$A$3:$A$18,0),MATCH($A59,PhanCong!$B$2:$J$2,0)))="","(chưa PC GV)","GV: "&amp;INDEX(PhanCong!$B$3:$J$18,MATCH(TKB_Nhap!D59,PhanCong!$A$3:$A$18,0),MATCH($A59,PhanCong!$B$2:$J$2,0))))</f>
        <v>Ngữ văn
GV: Hoa</v>
      </c>
      <c r="E59" s="38" t="str">
        <f>IF(TKB_Nhap!E59="","",TKB_Nhap!E59&amp;CHAR(10)&amp;IF(T(INDEX(PhanCong!$B$3:$J$18,MATCH(TKB_Nhap!E59,PhanCong!$A$3:$A$18,0),MATCH($A59,PhanCong!$B$2:$J$2,0)))="","(chưa PC GV)","GV: "&amp;INDEX(PhanCong!$B$3:$J$18,MATCH(TKB_Nhap!E59,PhanCong!$A$3:$A$18,0),MATCH($A59,PhanCong!$B$2:$J$2,0))))</f>
        <v>Ngữ văn
GV: Hoa</v>
      </c>
      <c r="F59" s="38" t="str">
        <f>IF(TKB_Nhap!F59="","",TKB_Nhap!F59&amp;CHAR(10)&amp;IF(T(INDEX(PhanCong!$B$3:$J$18,MATCH(TKB_Nhap!F59,PhanCong!$A$3:$A$18,0),MATCH($A59,PhanCong!$B$2:$J$2,0)))="","(chưa PC GV)","GV: "&amp;INDEX(PhanCong!$B$3:$J$18,MATCH(TKB_Nhap!F59,PhanCong!$A$3:$A$18,0),MATCH($A59,PhanCong!$B$2:$J$2,0))))</f>
        <v>Ngoại ngữ
GV: Giang</v>
      </c>
      <c r="G59" s="38" t="str">
        <f>IF(TKB_Nhap!G59="","",TKB_Nhap!G59&amp;CHAR(10)&amp;IF(T(INDEX(PhanCong!$B$3:$J$18,MATCH(TKB_Nhap!G59,PhanCong!$A$3:$A$18,0),MATCH($A59,PhanCong!$B$2:$J$2,0)))="","(chưa PC GV)","GV: "&amp;INDEX(PhanCong!$B$3:$J$18,MATCH(TKB_Nhap!G59,PhanCong!$A$3:$A$18,0),MATCH($A59,PhanCong!$B$2:$J$2,0))))</f>
        <v>Toán học
GV: Huyền Ly</v>
      </c>
      <c r="H59" s="38" t="str">
        <f>IF(TKB_Nhap!H59="","",TKB_Nhap!H59&amp;CHAR(10)&amp;IF(T(INDEX(PhanCong!$B$3:$J$18,MATCH(TKB_Nhap!H59,PhanCong!$A$3:$A$18,0),MATCH($A59,PhanCong!$B$2:$J$2,0)))="","(chưa PC GV)","GV: "&amp;INDEX(PhanCong!$B$3:$J$18,MATCH(TKB_Nhap!H59,PhanCong!$A$3:$A$18,0),MATCH($A59,PhanCong!$B$2:$J$2,0))))</f>
        <v>Tin
GV: Huyền Ly</v>
      </c>
      <c r="I59" s="38" t="str">
        <f>IF(TKB_Nhap!I59="","",TKB_Nhap!I59&amp;CHAR(10)&amp;IF(T(INDEX(PhanCong!$B$3:$J$18,MATCH(TKB_Nhap!I59,PhanCong!$A$3:$A$18,0),MATCH($A59,PhanCong!$B$2:$J$2,0)))="","(chưa PC GV)","GV: "&amp;INDEX(PhanCong!$B$3:$J$18,MATCH(TKB_Nhap!I59,PhanCong!$A$3:$A$18,0),MATCH($A59,PhanCong!$B$2:$J$2,0))))</f>
        <v>Hoạt động trải nghiệm, hướng nghiệp
GV: Hoa</v>
      </c>
      <c r="J59" s="38" t="str">
        <f>IF(TKB_Nhap!J59="","",TKB_Nhap!J59&amp;CHAR(10)&amp;IF(T(INDEX(PhanCong!$B$3:$J$18,MATCH(TKB_Nhap!J59,PhanCong!$A$3:$A$18,0),MATCH($A59,PhanCong!$B$2:$J$2,0)))="","(chưa PC GV)","GV: "&amp;INDEX(PhanCong!$B$3:$J$18,MATCH(TKB_Nhap!J59,PhanCong!$A$3:$A$18,0),MATCH($A59,PhanCong!$B$2:$J$2,0))))</f>
        <v/>
      </c>
    </row>
    <row r="60" spans="1:10" ht="27.75" customHeight="1" x14ac:dyDescent="0.25">
      <c r="A60" s="36" t="str">
        <f>TKB_Nhap!A60</f>
        <v>9A</v>
      </c>
      <c r="B60" s="36" t="str">
        <f>TKB_Nhap!B60</f>
        <v>S</v>
      </c>
      <c r="C60" s="36" t="str">
        <f>TKB_Nhap!C60</f>
        <v>3</v>
      </c>
      <c r="D60" s="38" t="str">
        <f>IF(TKB_Nhap!D60="","",TKB_Nhap!D60&amp;CHAR(10)&amp;IF(T(INDEX(PhanCong!$B$3:$J$18,MATCH(TKB_Nhap!D60,PhanCong!$A$3:$A$18,0),MATCH($A60,PhanCong!$B$2:$J$2,0)))="","(chưa PC GV)","GV: "&amp;INDEX(PhanCong!$B$3:$J$18,MATCH(TKB_Nhap!D60,PhanCong!$A$3:$A$18,0),MATCH($A60,PhanCong!$B$2:$J$2,0))))</f>
        <v>Toán học
GV: Huyền Ly</v>
      </c>
      <c r="E60" s="38" t="str">
        <f>IF(TKB_Nhap!E60="","",TKB_Nhap!E60&amp;CHAR(10)&amp;IF(T(INDEX(PhanCong!$B$3:$J$18,MATCH(TKB_Nhap!E60,PhanCong!$A$3:$A$18,0),MATCH($A60,PhanCong!$B$2:$J$2,0)))="","(chưa PC GV)","GV: "&amp;INDEX(PhanCong!$B$3:$J$18,MATCH(TKB_Nhap!E60,PhanCong!$A$3:$A$18,0),MATCH($A60,PhanCong!$B$2:$J$2,0))))</f>
        <v>Nghệ thuật (Mỹ thuật)
GV: Lan Ly</v>
      </c>
      <c r="F60" s="38" t="str">
        <f>IF(TKB_Nhap!F60="","",TKB_Nhap!F60&amp;CHAR(10)&amp;IF(T(INDEX(PhanCong!$B$3:$J$18,MATCH(TKB_Nhap!F60,PhanCong!$A$3:$A$18,0),MATCH($A60,PhanCong!$B$2:$J$2,0)))="","(chưa PC GV)","GV: "&amp;INDEX(PhanCong!$B$3:$J$18,MATCH(TKB_Nhap!F60,PhanCong!$A$3:$A$18,0),MATCH($A60,PhanCong!$B$2:$J$2,0))))</f>
        <v>Công nghệ
GV: Khu</v>
      </c>
      <c r="G60" s="38" t="str">
        <f>IF(TKB_Nhap!G60="","",TKB_Nhap!G60&amp;CHAR(10)&amp;IF(T(INDEX(PhanCong!$B$3:$J$18,MATCH(TKB_Nhap!G60,PhanCong!$A$3:$A$18,0),MATCH($A60,PhanCong!$B$2:$J$2,0)))="","(chưa PC GV)","GV: "&amp;INDEX(PhanCong!$B$3:$J$18,MATCH(TKB_Nhap!G60,PhanCong!$A$3:$A$18,0),MATCH($A60,PhanCong!$B$2:$J$2,0))))</f>
        <v>Ngoại ngữ
GV: Giang</v>
      </c>
      <c r="H60" s="38" t="str">
        <f>IF(TKB_Nhap!H60="","",TKB_Nhap!H60&amp;CHAR(10)&amp;IF(T(INDEX(PhanCong!$B$3:$J$18,MATCH(TKB_Nhap!H60,PhanCong!$A$3:$A$18,0),MATCH($A60,PhanCong!$B$2:$J$2,0)))="","(chưa PC GV)","GV: "&amp;INDEX(PhanCong!$B$3:$J$18,MATCH(TKB_Nhap!H60,PhanCong!$A$3:$A$18,0),MATCH($A60,PhanCong!$B$2:$J$2,0))))</f>
        <v>Khoa học tự nhiên (Sinh học)
GV: Sơn</v>
      </c>
      <c r="I60" s="38" t="str">
        <f>IF(TKB_Nhap!I60="","",TKB_Nhap!I60&amp;CHAR(10)&amp;IF(T(INDEX(PhanCong!$B$3:$J$18,MATCH(TKB_Nhap!I60,PhanCong!$A$3:$A$18,0),MATCH($A60,PhanCong!$B$2:$J$2,0)))="","(chưa PC GV)","GV: "&amp;INDEX(PhanCong!$B$3:$J$18,MATCH(TKB_Nhap!I60,PhanCong!$A$3:$A$18,0),MATCH($A60,PhanCong!$B$2:$J$2,0))))</f>
        <v>Khoa học tự nhiên (Hoá học)
GV: Khu</v>
      </c>
      <c r="J60" s="38" t="str">
        <f>IF(TKB_Nhap!J60="","",TKB_Nhap!J60&amp;CHAR(10)&amp;IF(T(INDEX(PhanCong!$B$3:$J$18,MATCH(TKB_Nhap!J60,PhanCong!$A$3:$A$18,0),MATCH($A60,PhanCong!$B$2:$J$2,0)))="","(chưa PC GV)","GV: "&amp;INDEX(PhanCong!$B$3:$J$18,MATCH(TKB_Nhap!J60,PhanCong!$A$3:$A$18,0),MATCH($A60,PhanCong!$B$2:$J$2,0))))</f>
        <v/>
      </c>
    </row>
    <row r="61" spans="1:10" ht="27.75" customHeight="1" x14ac:dyDescent="0.25">
      <c r="A61" s="36" t="str">
        <f>TKB_Nhap!A61</f>
        <v>9A</v>
      </c>
      <c r="B61" s="36" t="str">
        <f>TKB_Nhap!B61</f>
        <v>S</v>
      </c>
      <c r="C61" s="36" t="str">
        <f>TKB_Nhap!C61</f>
        <v>4</v>
      </c>
      <c r="D61" s="38" t="str">
        <f>IF(TKB_Nhap!D61="","",TKB_Nhap!D61&amp;CHAR(10)&amp;IF(T(INDEX(PhanCong!$B$3:$J$18,MATCH(TKB_Nhap!D61,PhanCong!$A$3:$A$18,0),MATCH($A61,PhanCong!$B$2:$J$2,0)))="","(chưa PC GV)","GV: "&amp;INDEX(PhanCong!$B$3:$J$18,MATCH(TKB_Nhap!D61,PhanCong!$A$3:$A$18,0),MATCH($A61,PhanCong!$B$2:$J$2,0))))</f>
        <v>Lịch sử và địa lý (Lịch sử)
GV: Huyền</v>
      </c>
      <c r="E61" s="38" t="str">
        <f>IF(TKB_Nhap!E61="","",TKB_Nhap!E61&amp;CHAR(10)&amp;IF(T(INDEX(PhanCong!$B$3:$J$18,MATCH(TKB_Nhap!E61,PhanCong!$A$3:$A$18,0),MATCH($A61,PhanCong!$B$2:$J$2,0)))="","(chưa PC GV)","GV: "&amp;INDEX(PhanCong!$B$3:$J$18,MATCH(TKB_Nhap!E61,PhanCong!$A$3:$A$18,0),MATCH($A61,PhanCong!$B$2:$J$2,0))))</f>
        <v>Hoạt động trải nghiệm, hướng nghiệp
GV: Hoa</v>
      </c>
      <c r="F61" s="38" t="str">
        <f>IF(TKB_Nhap!F61="","",TKB_Nhap!F61&amp;CHAR(10)&amp;IF(T(INDEX(PhanCong!$B$3:$J$18,MATCH(TKB_Nhap!F61,PhanCong!$A$3:$A$18,0),MATCH($A61,PhanCong!$B$2:$J$2,0)))="","(chưa PC GV)","GV: "&amp;INDEX(PhanCong!$B$3:$J$18,MATCH(TKB_Nhap!F61,PhanCong!$A$3:$A$18,0),MATCH($A61,PhanCong!$B$2:$J$2,0))))</f>
        <v>Giáo dục công dân
GV: Uyên</v>
      </c>
      <c r="G61" s="38" t="str">
        <f>IF(TKB_Nhap!G61="","",TKB_Nhap!G61&amp;CHAR(10)&amp;IF(T(INDEX(PhanCong!$B$3:$J$18,MATCH(TKB_Nhap!G61,PhanCong!$A$3:$A$18,0),MATCH($A61,PhanCong!$B$2:$J$2,0)))="","(chưa PC GV)","GV: "&amp;INDEX(PhanCong!$B$3:$J$18,MATCH(TKB_Nhap!G61,PhanCong!$A$3:$A$18,0),MATCH($A61,PhanCong!$B$2:$J$2,0))))</f>
        <v>Nghệ thuật (Nhạc)
GV: Hà</v>
      </c>
      <c r="H61" s="38" t="str">
        <f>IF(TKB_Nhap!H61="","",TKB_Nhap!H61&amp;CHAR(10)&amp;IF(T(INDEX(PhanCong!$B$3:$J$18,MATCH(TKB_Nhap!H61,PhanCong!$A$3:$A$18,0),MATCH($A61,PhanCong!$B$2:$J$2,0)))="","(chưa PC GV)","GV: "&amp;INDEX(PhanCong!$B$3:$J$18,MATCH(TKB_Nhap!H61,PhanCong!$A$3:$A$18,0),MATCH($A61,PhanCong!$B$2:$J$2,0))))</f>
        <v>Khoa học tự nhiên (Vật lý)
GV: Nguyễn Ly</v>
      </c>
      <c r="I61" s="38" t="str">
        <f>IF(TKB_Nhap!I61="","",TKB_Nhap!I61&amp;CHAR(10)&amp;IF(T(INDEX(PhanCong!$B$3:$J$18,MATCH(TKB_Nhap!I61,PhanCong!$A$3:$A$18,0),MATCH($A61,PhanCong!$B$2:$J$2,0)))="","(chưa PC GV)","GV: "&amp;INDEX(PhanCong!$B$3:$J$18,MATCH(TKB_Nhap!I61,PhanCong!$A$3:$A$18,0),MATCH($A61,PhanCong!$B$2:$J$2,0))))</f>
        <v>Ngữ văn
GV: Hoa</v>
      </c>
      <c r="J61" s="38" t="str">
        <f>IF(TKB_Nhap!J61="","",TKB_Nhap!J61&amp;CHAR(10)&amp;IF(T(INDEX(PhanCong!$B$3:$J$18,MATCH(TKB_Nhap!J61,PhanCong!$A$3:$A$18,0),MATCH($A61,PhanCong!$B$2:$J$2,0)))="","(chưa PC GV)","GV: "&amp;INDEX(PhanCong!$B$3:$J$18,MATCH(TKB_Nhap!J61,PhanCong!$A$3:$A$18,0),MATCH($A61,PhanCong!$B$2:$J$2,0))))</f>
        <v/>
      </c>
    </row>
    <row r="62" spans="1:10" ht="27.75" customHeight="1" x14ac:dyDescent="0.25">
      <c r="A62" s="36" t="str">
        <f>TKB_Nhap!A62</f>
        <v>9A</v>
      </c>
      <c r="B62" s="36" t="str">
        <f>TKB_Nhap!B62</f>
        <v>S</v>
      </c>
      <c r="C62" s="36" t="str">
        <f>TKB_Nhap!C62</f>
        <v>5</v>
      </c>
      <c r="D62" s="38" t="str">
        <f>IF(TKB_Nhap!D62="","",TKB_Nhap!D62&amp;CHAR(10)&amp;IF(T(INDEX(PhanCong!$B$3:$J$18,MATCH(TKB_Nhap!D62,PhanCong!$A$3:$A$18,0),MATCH($A62,PhanCong!$B$2:$J$2,0)))="","(chưa PC GV)","GV: "&amp;INDEX(PhanCong!$B$3:$J$18,MATCH(TKB_Nhap!D62,PhanCong!$A$3:$A$18,0),MATCH($A62,PhanCong!$B$2:$J$2,0))))</f>
        <v>Khoa học tự nhiên (Vật lý)
GV: Nguyễn Ly</v>
      </c>
      <c r="E62" s="38" t="str">
        <f>IF(TKB_Nhap!E62="","",TKB_Nhap!E62&amp;CHAR(10)&amp;IF(T(INDEX(PhanCong!$B$3:$J$18,MATCH(TKB_Nhap!E62,PhanCong!$A$3:$A$18,0),MATCH($A62,PhanCong!$B$2:$J$2,0)))="","(chưa PC GV)","GV: "&amp;INDEX(PhanCong!$B$3:$J$18,MATCH(TKB_Nhap!E62,PhanCong!$A$3:$A$18,0),MATCH($A62,PhanCong!$B$2:$J$2,0))))</f>
        <v>Toán học
GV: Huyền Ly</v>
      </c>
      <c r="F62" s="38" t="str">
        <f>IF(TKB_Nhap!F62="","",TKB_Nhap!F62&amp;CHAR(10)&amp;IF(T(INDEX(PhanCong!$B$3:$J$18,MATCH(TKB_Nhap!F62,PhanCong!$A$3:$A$18,0),MATCH($A62,PhanCong!$B$2:$J$2,0)))="","(chưa PC GV)","GV: "&amp;INDEX(PhanCong!$B$3:$J$18,MATCH(TKB_Nhap!F62,PhanCong!$A$3:$A$18,0),MATCH($A62,PhanCong!$B$2:$J$2,0))))</f>
        <v>Nội dung giáo dục của địa phương
GV: Vân</v>
      </c>
      <c r="G62" s="38" t="str">
        <f>IF(TKB_Nhap!G62="","",TKB_Nhap!G62&amp;CHAR(10)&amp;IF(T(INDEX(PhanCong!$B$3:$J$18,MATCH(TKB_Nhap!G62,PhanCong!$A$3:$A$18,0),MATCH($A62,PhanCong!$B$2:$J$2,0)))="","(chưa PC GV)","GV: "&amp;INDEX(PhanCong!$B$3:$J$18,MATCH(TKB_Nhap!G62,PhanCong!$A$3:$A$18,0),MATCH($A62,PhanCong!$B$2:$J$2,0))))</f>
        <v>Lịch sử và địa lý (Lịch sử)
GV: Huyền</v>
      </c>
      <c r="H62" s="38" t="str">
        <f>IF(TKB_Nhap!H62="","",TKB_Nhap!H62&amp;CHAR(10)&amp;IF(T(INDEX(PhanCong!$B$3:$J$18,MATCH(TKB_Nhap!H62,PhanCong!$A$3:$A$18,0),MATCH($A62,PhanCong!$B$2:$J$2,0)))="","(chưa PC GV)","GV: "&amp;INDEX(PhanCong!$B$3:$J$18,MATCH(TKB_Nhap!H62,PhanCong!$A$3:$A$18,0),MATCH($A62,PhanCong!$B$2:$J$2,0))))</f>
        <v>Ngoại ngữ
GV: Giang</v>
      </c>
      <c r="I62" s="38" t="str">
        <f>IF(TKB_Nhap!I62="","",TKB_Nhap!I62&amp;CHAR(10)&amp;IF(T(INDEX(PhanCong!$B$3:$J$18,MATCH(TKB_Nhap!I62,PhanCong!$A$3:$A$18,0),MATCH($A62,PhanCong!$B$2:$J$2,0)))="","(chưa PC GV)","GV: "&amp;INDEX(PhanCong!$B$3:$J$18,MATCH(TKB_Nhap!I62,PhanCong!$A$3:$A$18,0),MATCH($A62,PhanCong!$B$2:$J$2,0))))</f>
        <v/>
      </c>
      <c r="J62" s="38" t="str">
        <f>IF(TKB_Nhap!J62="","",TKB_Nhap!J62&amp;CHAR(10)&amp;IF(T(INDEX(PhanCong!$B$3:$J$18,MATCH(TKB_Nhap!J62,PhanCong!$A$3:$A$18,0),MATCH($A62,PhanCong!$B$2:$J$2,0)))="","(chưa PC GV)","GV: "&amp;INDEX(PhanCong!$B$3:$J$18,MATCH(TKB_Nhap!J62,PhanCong!$A$3:$A$18,0),MATCH($A62,PhanCong!$B$2:$J$2,0))))</f>
        <v/>
      </c>
    </row>
    <row r="63" spans="1:10" ht="27.75" customHeight="1" x14ac:dyDescent="0.25">
      <c r="A63" s="36" t="str">
        <f>TKB_Nhap!A63</f>
        <v>9A</v>
      </c>
      <c r="B63" s="36" t="str">
        <f>TKB_Nhap!B63</f>
        <v>C</v>
      </c>
      <c r="C63" s="36" t="str">
        <f>TKB_Nhap!C63</f>
        <v>1</v>
      </c>
      <c r="D63" s="38" t="str">
        <f>IF(TKB_Nhap!D63="","",TKB_Nhap!D63&amp;CHAR(10)&amp;IF(T(INDEX(PhanCong!$B$3:$J$18,MATCH(TKB_Nhap!D63,PhanCong!$A$3:$A$18,0),MATCH($A63,PhanCong!$B$2:$J$2,0)))="","(chưa PC GV)","GV: "&amp;INDEX(PhanCong!$B$3:$J$18,MATCH(TKB_Nhap!D63,PhanCong!$A$3:$A$18,0),MATCH($A63,PhanCong!$B$2:$J$2,0))))</f>
        <v/>
      </c>
      <c r="E63" s="38" t="str">
        <f>IF(TKB_Nhap!E63="","",TKB_Nhap!E63&amp;CHAR(10)&amp;IF(T(INDEX(PhanCong!$B$3:$J$18,MATCH(TKB_Nhap!E63,PhanCong!$A$3:$A$18,0),MATCH($A63,PhanCong!$B$2:$J$2,0)))="","(chưa PC GV)","GV: "&amp;INDEX(PhanCong!$B$3:$J$18,MATCH(TKB_Nhap!E63,PhanCong!$A$3:$A$18,0),MATCH($A63,PhanCong!$B$2:$J$2,0))))</f>
        <v/>
      </c>
      <c r="F63" s="38" t="str">
        <f>IF(TKB_Nhap!F63="","",TKB_Nhap!F63&amp;CHAR(10)&amp;IF(T(INDEX(PhanCong!$B$3:$J$18,MATCH(TKB_Nhap!F63,PhanCong!$A$3:$A$18,0),MATCH($A63,PhanCong!$B$2:$J$2,0)))="","(chưa PC GV)","GV: "&amp;INDEX(PhanCong!$B$3:$J$18,MATCH(TKB_Nhap!F63,PhanCong!$A$3:$A$18,0),MATCH($A63,PhanCong!$B$2:$J$2,0))))</f>
        <v/>
      </c>
      <c r="G63" s="38" t="str">
        <f>IF(TKB_Nhap!G63="","",TKB_Nhap!G63&amp;CHAR(10)&amp;IF(T(INDEX(PhanCong!$B$3:$J$18,MATCH(TKB_Nhap!G63,PhanCong!$A$3:$A$18,0),MATCH($A63,PhanCong!$B$2:$J$2,0)))="","(chưa PC GV)","GV: "&amp;INDEX(PhanCong!$B$3:$J$18,MATCH(TKB_Nhap!G63,PhanCong!$A$3:$A$18,0),MATCH($A63,PhanCong!$B$2:$J$2,0))))</f>
        <v/>
      </c>
      <c r="H63" s="38" t="str">
        <f>IF(TKB_Nhap!H63="","",TKB_Nhap!H63&amp;CHAR(10)&amp;IF(T(INDEX(PhanCong!$B$3:$J$18,MATCH(TKB_Nhap!H63,PhanCong!$A$3:$A$18,0),MATCH($A63,PhanCong!$B$2:$J$2,0)))="","(chưa PC GV)","GV: "&amp;INDEX(PhanCong!$B$3:$J$18,MATCH(TKB_Nhap!H63,PhanCong!$A$3:$A$18,0),MATCH($A63,PhanCong!$B$2:$J$2,0))))</f>
        <v/>
      </c>
      <c r="I63" s="38" t="str">
        <f>IF(TKB_Nhap!I63="","",TKB_Nhap!I63&amp;CHAR(10)&amp;IF(T(INDEX(PhanCong!$B$3:$J$18,MATCH(TKB_Nhap!I63,PhanCong!$A$3:$A$18,0),MATCH($A63,PhanCong!$B$2:$J$2,0)))="","(chưa PC GV)","GV: "&amp;INDEX(PhanCong!$B$3:$J$18,MATCH(TKB_Nhap!I63,PhanCong!$A$3:$A$18,0),MATCH($A63,PhanCong!$B$2:$J$2,0))))</f>
        <v/>
      </c>
      <c r="J63" s="38" t="str">
        <f>IF(TKB_Nhap!J63="","",TKB_Nhap!J63&amp;CHAR(10)&amp;IF(T(INDEX(PhanCong!$B$3:$J$18,MATCH(TKB_Nhap!J63,PhanCong!$A$3:$A$18,0),MATCH($A63,PhanCong!$B$2:$J$2,0)))="","(chưa PC GV)","GV: "&amp;INDEX(PhanCong!$B$3:$J$18,MATCH(TKB_Nhap!J63,PhanCong!$A$3:$A$18,0),MATCH($A63,PhanCong!$B$2:$J$2,0))))</f>
        <v/>
      </c>
    </row>
    <row r="64" spans="1:10" ht="27.75" customHeight="1" x14ac:dyDescent="0.25">
      <c r="A64" s="36" t="str">
        <f>TKB_Nhap!A64</f>
        <v>9A</v>
      </c>
      <c r="B64" s="36" t="str">
        <f>TKB_Nhap!B64</f>
        <v>C</v>
      </c>
      <c r="C64" s="36" t="str">
        <f>TKB_Nhap!C64</f>
        <v>2</v>
      </c>
      <c r="D64" s="38" t="str">
        <f>IF(TKB_Nhap!D64="","",TKB_Nhap!D64&amp;CHAR(10)&amp;IF(T(INDEX(PhanCong!$B$3:$J$18,MATCH(TKB_Nhap!D64,PhanCong!$A$3:$A$18,0),MATCH($A64,PhanCong!$B$2:$J$2,0)))="","(chưa PC GV)","GV: "&amp;INDEX(PhanCong!$B$3:$J$18,MATCH(TKB_Nhap!D64,PhanCong!$A$3:$A$18,0),MATCH($A64,PhanCong!$B$2:$J$2,0))))</f>
        <v/>
      </c>
      <c r="E64" s="38" t="str">
        <f>IF(TKB_Nhap!E64="","",TKB_Nhap!E64&amp;CHAR(10)&amp;IF(T(INDEX(PhanCong!$B$3:$J$18,MATCH(TKB_Nhap!E64,PhanCong!$A$3:$A$18,0),MATCH($A64,PhanCong!$B$2:$J$2,0)))="","(chưa PC GV)","GV: "&amp;INDEX(PhanCong!$B$3:$J$18,MATCH(TKB_Nhap!E64,PhanCong!$A$3:$A$18,0),MATCH($A64,PhanCong!$B$2:$J$2,0))))</f>
        <v/>
      </c>
      <c r="F64" s="38" t="str">
        <f>IF(TKB_Nhap!F64="","",TKB_Nhap!F64&amp;CHAR(10)&amp;IF(T(INDEX(PhanCong!$B$3:$J$18,MATCH(TKB_Nhap!F64,PhanCong!$A$3:$A$18,0),MATCH($A64,PhanCong!$B$2:$J$2,0)))="","(chưa PC GV)","GV: "&amp;INDEX(PhanCong!$B$3:$J$18,MATCH(TKB_Nhap!F64,PhanCong!$A$3:$A$18,0),MATCH($A64,PhanCong!$B$2:$J$2,0))))</f>
        <v/>
      </c>
      <c r="G64" s="38" t="str">
        <f>IF(TKB_Nhap!G64="","",TKB_Nhap!G64&amp;CHAR(10)&amp;IF(T(INDEX(PhanCong!$B$3:$J$18,MATCH(TKB_Nhap!G64,PhanCong!$A$3:$A$18,0),MATCH($A64,PhanCong!$B$2:$J$2,0)))="","(chưa PC GV)","GV: "&amp;INDEX(PhanCong!$B$3:$J$18,MATCH(TKB_Nhap!G64,PhanCong!$A$3:$A$18,0),MATCH($A64,PhanCong!$B$2:$J$2,0))))</f>
        <v/>
      </c>
      <c r="H64" s="38" t="str">
        <f>IF(TKB_Nhap!H64="","",TKB_Nhap!H64&amp;CHAR(10)&amp;IF(T(INDEX(PhanCong!$B$3:$J$18,MATCH(TKB_Nhap!H64,PhanCong!$A$3:$A$18,0),MATCH($A64,PhanCong!$B$2:$J$2,0)))="","(chưa PC GV)","GV: "&amp;INDEX(PhanCong!$B$3:$J$18,MATCH(TKB_Nhap!H64,PhanCong!$A$3:$A$18,0),MATCH($A64,PhanCong!$B$2:$J$2,0))))</f>
        <v/>
      </c>
      <c r="I64" s="38" t="str">
        <f>IF(TKB_Nhap!I64="","",TKB_Nhap!I64&amp;CHAR(10)&amp;IF(T(INDEX(PhanCong!$B$3:$J$18,MATCH(TKB_Nhap!I64,PhanCong!$A$3:$A$18,0),MATCH($A64,PhanCong!$B$2:$J$2,0)))="","(chưa PC GV)","GV: "&amp;INDEX(PhanCong!$B$3:$J$18,MATCH(TKB_Nhap!I64,PhanCong!$A$3:$A$18,0),MATCH($A64,PhanCong!$B$2:$J$2,0))))</f>
        <v/>
      </c>
      <c r="J64" s="38" t="str">
        <f>IF(TKB_Nhap!J64="","",TKB_Nhap!J64&amp;CHAR(10)&amp;IF(T(INDEX(PhanCong!$B$3:$J$18,MATCH(TKB_Nhap!J64,PhanCong!$A$3:$A$18,0),MATCH($A64,PhanCong!$B$2:$J$2,0)))="","(chưa PC GV)","GV: "&amp;INDEX(PhanCong!$B$3:$J$18,MATCH(TKB_Nhap!J64,PhanCong!$A$3:$A$18,0),MATCH($A64,PhanCong!$B$2:$J$2,0))))</f>
        <v/>
      </c>
    </row>
    <row r="65" spans="1:10" ht="27.75" customHeight="1" x14ac:dyDescent="0.25">
      <c r="A65" s="36" t="str">
        <f>TKB_Nhap!A65</f>
        <v>9A</v>
      </c>
      <c r="B65" s="36" t="str">
        <f>TKB_Nhap!B65</f>
        <v>C</v>
      </c>
      <c r="C65" s="36" t="str">
        <f>TKB_Nhap!C65</f>
        <v>3</v>
      </c>
      <c r="D65" s="38" t="str">
        <f>IF(TKB_Nhap!D65="","",TKB_Nhap!D65&amp;CHAR(10)&amp;IF(T(INDEX(PhanCong!$B$3:$J$18,MATCH(TKB_Nhap!D65,PhanCong!$A$3:$A$18,0),MATCH($A65,PhanCong!$B$2:$J$2,0)))="","(chưa PC GV)","GV: "&amp;INDEX(PhanCong!$B$3:$J$18,MATCH(TKB_Nhap!D65,PhanCong!$A$3:$A$18,0),MATCH($A65,PhanCong!$B$2:$J$2,0))))</f>
        <v/>
      </c>
      <c r="E65" s="38" t="str">
        <f>IF(TKB_Nhap!E65="","",TKB_Nhap!E65&amp;CHAR(10)&amp;IF(T(INDEX(PhanCong!$B$3:$J$18,MATCH(TKB_Nhap!E65,PhanCong!$A$3:$A$18,0),MATCH($A65,PhanCong!$B$2:$J$2,0)))="","(chưa PC GV)","GV: "&amp;INDEX(PhanCong!$B$3:$J$18,MATCH(TKB_Nhap!E65,PhanCong!$A$3:$A$18,0),MATCH($A65,PhanCong!$B$2:$J$2,0))))</f>
        <v/>
      </c>
      <c r="F65" s="38" t="str">
        <f>IF(TKB_Nhap!F65="","",TKB_Nhap!F65&amp;CHAR(10)&amp;IF(T(INDEX(PhanCong!$B$3:$J$18,MATCH(TKB_Nhap!F65,PhanCong!$A$3:$A$18,0),MATCH($A65,PhanCong!$B$2:$J$2,0)))="","(chưa PC GV)","GV: "&amp;INDEX(PhanCong!$B$3:$J$18,MATCH(TKB_Nhap!F65,PhanCong!$A$3:$A$18,0),MATCH($A65,PhanCong!$B$2:$J$2,0))))</f>
        <v/>
      </c>
      <c r="G65" s="38" t="str">
        <f>IF(TKB_Nhap!G65="","",TKB_Nhap!G65&amp;CHAR(10)&amp;IF(T(INDEX(PhanCong!$B$3:$J$18,MATCH(TKB_Nhap!G65,PhanCong!$A$3:$A$18,0),MATCH($A65,PhanCong!$B$2:$J$2,0)))="","(chưa PC GV)","GV: "&amp;INDEX(PhanCong!$B$3:$J$18,MATCH(TKB_Nhap!G65,PhanCong!$A$3:$A$18,0),MATCH($A65,PhanCong!$B$2:$J$2,0))))</f>
        <v/>
      </c>
      <c r="H65" s="38" t="str">
        <f>IF(TKB_Nhap!H65="","",TKB_Nhap!H65&amp;CHAR(10)&amp;IF(T(INDEX(PhanCong!$B$3:$J$18,MATCH(TKB_Nhap!H65,PhanCong!$A$3:$A$18,0),MATCH($A65,PhanCong!$B$2:$J$2,0)))="","(chưa PC GV)","GV: "&amp;INDEX(PhanCong!$B$3:$J$18,MATCH(TKB_Nhap!H65,PhanCong!$A$3:$A$18,0),MATCH($A65,PhanCong!$B$2:$J$2,0))))</f>
        <v/>
      </c>
      <c r="I65" s="38" t="str">
        <f>IF(TKB_Nhap!I65="","",TKB_Nhap!I65&amp;CHAR(10)&amp;IF(T(INDEX(PhanCong!$B$3:$J$18,MATCH(TKB_Nhap!I65,PhanCong!$A$3:$A$18,0),MATCH($A65,PhanCong!$B$2:$J$2,0)))="","(chưa PC GV)","GV: "&amp;INDEX(PhanCong!$B$3:$J$18,MATCH(TKB_Nhap!I65,PhanCong!$A$3:$A$18,0),MATCH($A65,PhanCong!$B$2:$J$2,0))))</f>
        <v/>
      </c>
      <c r="J65" s="38" t="str">
        <f>IF(TKB_Nhap!J65="","",TKB_Nhap!J65&amp;CHAR(10)&amp;IF(T(INDEX(PhanCong!$B$3:$J$18,MATCH(TKB_Nhap!J65,PhanCong!$A$3:$A$18,0),MATCH($A65,PhanCong!$B$2:$J$2,0)))="","(chưa PC GV)","GV: "&amp;INDEX(PhanCong!$B$3:$J$18,MATCH(TKB_Nhap!J65,PhanCong!$A$3:$A$18,0),MATCH($A65,PhanCong!$B$2:$J$2,0))))</f>
        <v/>
      </c>
    </row>
    <row r="66" spans="1:10" ht="27.75" customHeight="1" x14ac:dyDescent="0.25">
      <c r="A66" s="30" t="str">
        <f>TKB_Nhap!A66</f>
        <v>9B</v>
      </c>
      <c r="B66" s="30" t="str">
        <f>TKB_Nhap!B66</f>
        <v>S</v>
      </c>
      <c r="C66" s="30" t="str">
        <f>TKB_Nhap!C66</f>
        <v>1</v>
      </c>
      <c r="D66" s="26" t="str">
        <f>IF(TKB_Nhap!D66="","",TKB_Nhap!D66&amp;CHAR(10)&amp;IF(T(INDEX(PhanCong!$B$3:$J$18,MATCH(TKB_Nhap!D66,PhanCong!$A$3:$A$18,0),MATCH($A66,PhanCong!$B$2:$J$2,0)))="","(chưa PC GV)","GV: "&amp;INDEX(PhanCong!$B$3:$J$18,MATCH(TKB_Nhap!D66,PhanCong!$A$3:$A$18,0),MATCH($A66,PhanCong!$B$2:$J$2,0))))</f>
        <v>Hoạt động trải nghiệm, hướng nghiệp
GV: Giang</v>
      </c>
      <c r="E66" s="26" t="str">
        <f>IF(TKB_Nhap!E66="","",TKB_Nhap!E66&amp;CHAR(10)&amp;IF(T(INDEX(PhanCong!$B$3:$J$18,MATCH(TKB_Nhap!E66,PhanCong!$A$3:$A$18,0),MATCH($A66,PhanCong!$B$2:$J$2,0)))="","(chưa PC GV)","GV: "&amp;INDEX(PhanCong!$B$3:$J$18,MATCH(TKB_Nhap!E66,PhanCong!$A$3:$A$18,0),MATCH($A66,PhanCong!$B$2:$J$2,0))))</f>
        <v>Toán học
GV: Huyền Ly</v>
      </c>
      <c r="F66" s="26" t="str">
        <f>IF(TKB_Nhap!F66="","",TKB_Nhap!F66&amp;CHAR(10)&amp;IF(T(INDEX(PhanCong!$B$3:$J$18,MATCH(TKB_Nhap!F66,PhanCong!$A$3:$A$18,0),MATCH($A66,PhanCong!$B$2:$J$2,0)))="","(chưa PC GV)","GV: "&amp;INDEX(PhanCong!$B$3:$J$18,MATCH(TKB_Nhap!F66,PhanCong!$A$3:$A$18,0),MATCH($A66,PhanCong!$B$2:$J$2,0))))</f>
        <v>Ngoại ngữ
GV: Giang</v>
      </c>
      <c r="G66" s="26" t="str">
        <f>IF(TKB_Nhap!G66="","",TKB_Nhap!G66&amp;CHAR(10)&amp;IF(T(INDEX(PhanCong!$B$3:$J$18,MATCH(TKB_Nhap!G66,PhanCong!$A$3:$A$18,0),MATCH($A66,PhanCong!$B$2:$J$2,0)))="","(chưa PC GV)","GV: "&amp;INDEX(PhanCong!$B$3:$J$18,MATCH(TKB_Nhap!G66,PhanCong!$A$3:$A$18,0),MATCH($A66,PhanCong!$B$2:$J$2,0))))</f>
        <v>Ngoại ngữ
GV: Giang</v>
      </c>
      <c r="H66" s="26" t="str">
        <f>IF(TKB_Nhap!H66="","",TKB_Nhap!H66&amp;CHAR(10)&amp;IF(T(INDEX(PhanCong!$B$3:$J$18,MATCH(TKB_Nhap!H66,PhanCong!$A$3:$A$18,0),MATCH($A66,PhanCong!$B$2:$J$2,0)))="","(chưa PC GV)","GV: "&amp;INDEX(PhanCong!$B$3:$J$18,MATCH(TKB_Nhap!H66,PhanCong!$A$3:$A$18,0),MATCH($A66,PhanCong!$B$2:$J$2,0))))</f>
        <v>Nghệ thuật (Mỹ thuật)
GV: Lan Ly</v>
      </c>
      <c r="I66" s="26" t="str">
        <f>IF(TKB_Nhap!I66="","",TKB_Nhap!I66&amp;CHAR(10)&amp;IF(T(INDEX(PhanCong!$B$3:$J$18,MATCH(TKB_Nhap!I66,PhanCong!$A$3:$A$18,0),MATCH($A66,PhanCong!$B$2:$J$2,0)))="","(chưa PC GV)","GV: "&amp;INDEX(PhanCong!$B$3:$J$18,MATCH(TKB_Nhap!I66,PhanCong!$A$3:$A$18,0),MATCH($A66,PhanCong!$B$2:$J$2,0))))</f>
        <v>Nội dung giáo dục của địa phương
GV: Vân</v>
      </c>
      <c r="J66" s="26" t="str">
        <f>IF(TKB_Nhap!J66="","",TKB_Nhap!J66&amp;CHAR(10)&amp;IF(T(INDEX(PhanCong!$B$3:$J$18,MATCH(TKB_Nhap!J66,PhanCong!$A$3:$A$18,0),MATCH($A66,PhanCong!$B$2:$J$2,0)))="","(chưa PC GV)","GV: "&amp;INDEX(PhanCong!$B$3:$J$18,MATCH(TKB_Nhap!J66,PhanCong!$A$3:$A$18,0),MATCH($A66,PhanCong!$B$2:$J$2,0))))</f>
        <v/>
      </c>
    </row>
    <row r="67" spans="1:10" ht="27.75" customHeight="1" x14ac:dyDescent="0.25">
      <c r="A67" s="30" t="str">
        <f>TKB_Nhap!A67</f>
        <v>9B</v>
      </c>
      <c r="B67" s="30" t="str">
        <f>TKB_Nhap!B67</f>
        <v>S</v>
      </c>
      <c r="C67" s="30" t="str">
        <f>TKB_Nhap!C67</f>
        <v>2</v>
      </c>
      <c r="D67" s="26" t="str">
        <f>IF(TKB_Nhap!D67="","",TKB_Nhap!D67&amp;CHAR(10)&amp;IF(T(INDEX(PhanCong!$B$3:$J$18,MATCH(TKB_Nhap!D67,PhanCong!$A$3:$A$18,0),MATCH($A67,PhanCong!$B$2:$J$2,0)))="","(chưa PC GV)","GV: "&amp;INDEX(PhanCong!$B$3:$J$18,MATCH(TKB_Nhap!D67,PhanCong!$A$3:$A$18,0),MATCH($A67,PhanCong!$B$2:$J$2,0))))</f>
        <v>Toán học
GV: Huyền Ly</v>
      </c>
      <c r="E67" s="26" t="str">
        <f>IF(TKB_Nhap!E67="","",TKB_Nhap!E67&amp;CHAR(10)&amp;IF(T(INDEX(PhanCong!$B$3:$J$18,MATCH(TKB_Nhap!E67,PhanCong!$A$3:$A$18,0),MATCH($A67,PhanCong!$B$2:$J$2,0)))="","(chưa PC GV)","GV: "&amp;INDEX(PhanCong!$B$3:$J$18,MATCH(TKB_Nhap!E67,PhanCong!$A$3:$A$18,0),MATCH($A67,PhanCong!$B$2:$J$2,0))))</f>
        <v>Giáo dục thể chất
GV: Hồng</v>
      </c>
      <c r="F67" s="26" t="str">
        <f>IF(TKB_Nhap!F67="","",TKB_Nhap!F67&amp;CHAR(10)&amp;IF(T(INDEX(PhanCong!$B$3:$J$18,MATCH(TKB_Nhap!F67,PhanCong!$A$3:$A$18,0),MATCH($A67,PhanCong!$B$2:$J$2,0)))="","(chưa PC GV)","GV: "&amp;INDEX(PhanCong!$B$3:$J$18,MATCH(TKB_Nhap!F67,PhanCong!$A$3:$A$18,0),MATCH($A67,PhanCong!$B$2:$J$2,0))))</f>
        <v>Lịch sử và địa lý (Lịch sử)
GV: Huyền</v>
      </c>
      <c r="G67" s="26" t="str">
        <f>IF(TKB_Nhap!G67="","",TKB_Nhap!G67&amp;CHAR(10)&amp;IF(T(INDEX(PhanCong!$B$3:$J$18,MATCH(TKB_Nhap!G67,PhanCong!$A$3:$A$18,0),MATCH($A67,PhanCong!$B$2:$J$2,0)))="","(chưa PC GV)","GV: "&amp;INDEX(PhanCong!$B$3:$J$18,MATCH(TKB_Nhap!G67,PhanCong!$A$3:$A$18,0),MATCH($A67,PhanCong!$B$2:$J$2,0))))</f>
        <v>Giáo dục thể chất
GV: Hồng</v>
      </c>
      <c r="H67" s="26" t="str">
        <f>IF(TKB_Nhap!H67="","",TKB_Nhap!H67&amp;CHAR(10)&amp;IF(T(INDEX(PhanCong!$B$3:$J$18,MATCH(TKB_Nhap!H67,PhanCong!$A$3:$A$18,0),MATCH($A67,PhanCong!$B$2:$J$2,0)))="","(chưa PC GV)","GV: "&amp;INDEX(PhanCong!$B$3:$J$18,MATCH(TKB_Nhap!H67,PhanCong!$A$3:$A$18,0),MATCH($A67,PhanCong!$B$2:$J$2,0))))</f>
        <v>Nghệ thuật (Nhạc)
GV: Hà</v>
      </c>
      <c r="I67" s="26" t="str">
        <f>IF(TKB_Nhap!I67="","",TKB_Nhap!I67&amp;CHAR(10)&amp;IF(T(INDEX(PhanCong!$B$3:$J$18,MATCH(TKB_Nhap!I67,PhanCong!$A$3:$A$18,0),MATCH($A67,PhanCong!$B$2:$J$2,0)))="","(chưa PC GV)","GV: "&amp;INDEX(PhanCong!$B$3:$J$18,MATCH(TKB_Nhap!I67,PhanCong!$A$3:$A$18,0),MATCH($A67,PhanCong!$B$2:$J$2,0))))</f>
        <v>Lịch sử và địa lý (Địa lý)
GV: Huyền</v>
      </c>
      <c r="J67" s="26" t="str">
        <f>IF(TKB_Nhap!J67="","",TKB_Nhap!J67&amp;CHAR(10)&amp;IF(T(INDEX(PhanCong!$B$3:$J$18,MATCH(TKB_Nhap!J67,PhanCong!$A$3:$A$18,0),MATCH($A67,PhanCong!$B$2:$J$2,0)))="","(chưa PC GV)","GV: "&amp;INDEX(PhanCong!$B$3:$J$18,MATCH(TKB_Nhap!J67,PhanCong!$A$3:$A$18,0),MATCH($A67,PhanCong!$B$2:$J$2,0))))</f>
        <v/>
      </c>
    </row>
    <row r="68" spans="1:10" ht="27.75" customHeight="1" x14ac:dyDescent="0.25">
      <c r="A68" s="30" t="str">
        <f>TKB_Nhap!A68</f>
        <v>9B</v>
      </c>
      <c r="B68" s="30" t="str">
        <f>TKB_Nhap!B68</f>
        <v>S</v>
      </c>
      <c r="C68" s="30" t="str">
        <f>TKB_Nhap!C68</f>
        <v>3</v>
      </c>
      <c r="D68" s="26" t="str">
        <f>IF(TKB_Nhap!D68="","",TKB_Nhap!D68&amp;CHAR(10)&amp;IF(T(INDEX(PhanCong!$B$3:$J$18,MATCH(TKB_Nhap!D68,PhanCong!$A$3:$A$18,0),MATCH($A68,PhanCong!$B$2:$J$2,0)))="","(chưa PC GV)","GV: "&amp;INDEX(PhanCong!$B$3:$J$18,MATCH(TKB_Nhap!D68,PhanCong!$A$3:$A$18,0),MATCH($A68,PhanCong!$B$2:$J$2,0))))</f>
        <v>Ngữ văn
GV: Hoa</v>
      </c>
      <c r="E68" s="26" t="str">
        <f>IF(TKB_Nhap!E68="","",TKB_Nhap!E68&amp;CHAR(10)&amp;IF(T(INDEX(PhanCong!$B$3:$J$18,MATCH(TKB_Nhap!E68,PhanCong!$A$3:$A$18,0),MATCH($A68,PhanCong!$B$2:$J$2,0)))="","(chưa PC GV)","GV: "&amp;INDEX(PhanCong!$B$3:$J$18,MATCH(TKB_Nhap!E68,PhanCong!$A$3:$A$18,0),MATCH($A68,PhanCong!$B$2:$J$2,0))))</f>
        <v>Ngữ văn
GV: Hoa</v>
      </c>
      <c r="F68" s="26" t="str">
        <f>IF(TKB_Nhap!F68="","",TKB_Nhap!F68&amp;CHAR(10)&amp;IF(T(INDEX(PhanCong!$B$3:$J$18,MATCH(TKB_Nhap!F68,PhanCong!$A$3:$A$18,0),MATCH($A68,PhanCong!$B$2:$J$2,0)))="","(chưa PC GV)","GV: "&amp;INDEX(PhanCong!$B$3:$J$18,MATCH(TKB_Nhap!F68,PhanCong!$A$3:$A$18,0),MATCH($A68,PhanCong!$B$2:$J$2,0))))</f>
        <v>Khoa học tự nhiên (Sinh học)
GV: Sơn</v>
      </c>
      <c r="G68" s="26" t="str">
        <f>IF(TKB_Nhap!G68="","",TKB_Nhap!G68&amp;CHAR(10)&amp;IF(T(INDEX(PhanCong!$B$3:$J$18,MATCH(TKB_Nhap!G68,PhanCong!$A$3:$A$18,0),MATCH($A68,PhanCong!$B$2:$J$2,0)))="","(chưa PC GV)","GV: "&amp;INDEX(PhanCong!$B$3:$J$18,MATCH(TKB_Nhap!G68,PhanCong!$A$3:$A$18,0),MATCH($A68,PhanCong!$B$2:$J$2,0))))</f>
        <v>Lịch sử và địa lý (Lịch sử)
GV: Huyền</v>
      </c>
      <c r="H68" s="26" t="str">
        <f>IF(TKB_Nhap!H68="","",TKB_Nhap!H68&amp;CHAR(10)&amp;IF(T(INDEX(PhanCong!$B$3:$J$18,MATCH(TKB_Nhap!H68,PhanCong!$A$3:$A$18,0),MATCH($A68,PhanCong!$B$2:$J$2,0)))="","(chưa PC GV)","GV: "&amp;INDEX(PhanCong!$B$3:$J$18,MATCH(TKB_Nhap!H68,PhanCong!$A$3:$A$18,0),MATCH($A68,PhanCong!$B$2:$J$2,0))))</f>
        <v>Khoa học tự nhiên (Vật lý)
GV: Nguyễn Ly</v>
      </c>
      <c r="I68" s="26" t="str">
        <f>IF(TKB_Nhap!I68="","",TKB_Nhap!I68&amp;CHAR(10)&amp;IF(T(INDEX(PhanCong!$B$3:$J$18,MATCH(TKB_Nhap!I68,PhanCong!$A$3:$A$18,0),MATCH($A68,PhanCong!$B$2:$J$2,0)))="","(chưa PC GV)","GV: "&amp;INDEX(PhanCong!$B$3:$J$18,MATCH(TKB_Nhap!I68,PhanCong!$A$3:$A$18,0),MATCH($A68,PhanCong!$B$2:$J$2,0))))</f>
        <v>Ngữ văn
GV: Hoa</v>
      </c>
      <c r="J68" s="26" t="str">
        <f>IF(TKB_Nhap!J68="","",TKB_Nhap!J68&amp;CHAR(10)&amp;IF(T(INDEX(PhanCong!$B$3:$J$18,MATCH(TKB_Nhap!J68,PhanCong!$A$3:$A$18,0),MATCH($A68,PhanCong!$B$2:$J$2,0)))="","(chưa PC GV)","GV: "&amp;INDEX(PhanCong!$B$3:$J$18,MATCH(TKB_Nhap!J68,PhanCong!$A$3:$A$18,0),MATCH($A68,PhanCong!$B$2:$J$2,0))))</f>
        <v/>
      </c>
    </row>
    <row r="69" spans="1:10" ht="27.75" customHeight="1" x14ac:dyDescent="0.25">
      <c r="A69" s="30" t="str">
        <f>TKB_Nhap!A69</f>
        <v>9B</v>
      </c>
      <c r="B69" s="30" t="str">
        <f>TKB_Nhap!B69</f>
        <v>S</v>
      </c>
      <c r="C69" s="30" t="str">
        <f>TKB_Nhap!C69</f>
        <v>4</v>
      </c>
      <c r="D69" s="26" t="str">
        <f>IF(TKB_Nhap!D69="","",TKB_Nhap!D69&amp;CHAR(10)&amp;IF(T(INDEX(PhanCong!$B$3:$J$18,MATCH(TKB_Nhap!D69,PhanCong!$A$3:$A$18,0),MATCH($A69,PhanCong!$B$2:$J$2,0)))="","(chưa PC GV)","GV: "&amp;INDEX(PhanCong!$B$3:$J$18,MATCH(TKB_Nhap!D69,PhanCong!$A$3:$A$18,0),MATCH($A69,PhanCong!$B$2:$J$2,0))))</f>
        <v>Ngữ văn
GV: Hoa</v>
      </c>
      <c r="E69" s="26" t="str">
        <f>IF(TKB_Nhap!E69="","",TKB_Nhap!E69&amp;CHAR(10)&amp;IF(T(INDEX(PhanCong!$B$3:$J$18,MATCH(TKB_Nhap!E69,PhanCong!$A$3:$A$18,0),MATCH($A69,PhanCong!$B$2:$J$2,0)))="","(chưa PC GV)","GV: "&amp;INDEX(PhanCong!$B$3:$J$18,MATCH(TKB_Nhap!E69,PhanCong!$A$3:$A$18,0),MATCH($A69,PhanCong!$B$2:$J$2,0))))</f>
        <v>Tin
GV: Huyền Ly</v>
      </c>
      <c r="F69" s="26" t="str">
        <f>IF(TKB_Nhap!F69="","",TKB_Nhap!F69&amp;CHAR(10)&amp;IF(T(INDEX(PhanCong!$B$3:$J$18,MATCH(TKB_Nhap!F69,PhanCong!$A$3:$A$18,0),MATCH($A69,PhanCong!$B$2:$J$2,0)))="","(chưa PC GV)","GV: "&amp;INDEX(PhanCong!$B$3:$J$18,MATCH(TKB_Nhap!F69,PhanCong!$A$3:$A$18,0),MATCH($A69,PhanCong!$B$2:$J$2,0))))</f>
        <v>Khoa học tự nhiên (Vật lý)
GV: Nguyễn Ly</v>
      </c>
      <c r="G69" s="26" t="str">
        <f>IF(TKB_Nhap!G69="","",TKB_Nhap!G69&amp;CHAR(10)&amp;IF(T(INDEX(PhanCong!$B$3:$J$18,MATCH(TKB_Nhap!G69,PhanCong!$A$3:$A$18,0),MATCH($A69,PhanCong!$B$2:$J$2,0)))="","(chưa PC GV)","GV: "&amp;INDEX(PhanCong!$B$3:$J$18,MATCH(TKB_Nhap!G69,PhanCong!$A$3:$A$18,0),MATCH($A69,PhanCong!$B$2:$J$2,0))))</f>
        <v>Hoạt động trải nghiệm, hướng nghiệp
GV: Giang</v>
      </c>
      <c r="H69" s="26" t="str">
        <f>IF(TKB_Nhap!H69="","",TKB_Nhap!H69&amp;CHAR(10)&amp;IF(T(INDEX(PhanCong!$B$3:$J$18,MATCH(TKB_Nhap!H69,PhanCong!$A$3:$A$18,0),MATCH($A69,PhanCong!$B$2:$J$2,0)))="","(chưa PC GV)","GV: "&amp;INDEX(PhanCong!$B$3:$J$18,MATCH(TKB_Nhap!H69,PhanCong!$A$3:$A$18,0),MATCH($A69,PhanCong!$B$2:$J$2,0))))</f>
        <v>Toán học
GV: Huyền Ly</v>
      </c>
      <c r="I69" s="26" t="str">
        <f>IF(TKB_Nhap!I69="","",TKB_Nhap!I69&amp;CHAR(10)&amp;IF(T(INDEX(PhanCong!$B$3:$J$18,MATCH(TKB_Nhap!I69,PhanCong!$A$3:$A$18,0),MATCH($A69,PhanCong!$B$2:$J$2,0)))="","(chưa PC GV)","GV: "&amp;INDEX(PhanCong!$B$3:$J$18,MATCH(TKB_Nhap!I69,PhanCong!$A$3:$A$18,0),MATCH($A69,PhanCong!$B$2:$J$2,0))))</f>
        <v>Hoạt động trải nghiệm, hướng nghiệp
GV: Giang</v>
      </c>
      <c r="J69" s="26" t="str">
        <f>IF(TKB_Nhap!J69="","",TKB_Nhap!J69&amp;CHAR(10)&amp;IF(T(INDEX(PhanCong!$B$3:$J$18,MATCH(TKB_Nhap!J69,PhanCong!$A$3:$A$18,0),MATCH($A69,PhanCong!$B$2:$J$2,0)))="","(chưa PC GV)","GV: "&amp;INDEX(PhanCong!$B$3:$J$18,MATCH(TKB_Nhap!J69,PhanCong!$A$3:$A$18,0),MATCH($A69,PhanCong!$B$2:$J$2,0))))</f>
        <v/>
      </c>
    </row>
    <row r="70" spans="1:10" ht="27.75" customHeight="1" x14ac:dyDescent="0.25">
      <c r="A70" s="30" t="str">
        <f>TKB_Nhap!A70</f>
        <v>9B</v>
      </c>
      <c r="B70" s="30" t="str">
        <f>TKB_Nhap!B70</f>
        <v>S</v>
      </c>
      <c r="C70" s="30" t="str">
        <f>TKB_Nhap!C70</f>
        <v>5</v>
      </c>
      <c r="D70" s="26" t="str">
        <f>IF(TKB_Nhap!D70="","",TKB_Nhap!D70&amp;CHAR(10)&amp;IF(T(INDEX(PhanCong!$B$3:$J$18,MATCH(TKB_Nhap!D70,PhanCong!$A$3:$A$18,0),MATCH($A70,PhanCong!$B$2:$J$2,0)))="","(chưa PC GV)","GV: "&amp;INDEX(PhanCong!$B$3:$J$18,MATCH(TKB_Nhap!D70,PhanCong!$A$3:$A$18,0),MATCH($A70,PhanCong!$B$2:$J$2,0))))</f>
        <v>Ngoại ngữ
GV: Giang</v>
      </c>
      <c r="E70" s="26" t="str">
        <f>IF(TKB_Nhap!E70="","",TKB_Nhap!E70&amp;CHAR(10)&amp;IF(T(INDEX(PhanCong!$B$3:$J$18,MATCH(TKB_Nhap!E70,PhanCong!$A$3:$A$18,0),MATCH($A70,PhanCong!$B$2:$J$2,0)))="","(chưa PC GV)","GV: "&amp;INDEX(PhanCong!$B$3:$J$18,MATCH(TKB_Nhap!E70,PhanCong!$A$3:$A$18,0),MATCH($A70,PhanCong!$B$2:$J$2,0))))</f>
        <v>Công nghệ
GV: Khu</v>
      </c>
      <c r="F70" s="26" t="str">
        <f>IF(TKB_Nhap!F70="","",TKB_Nhap!F70&amp;CHAR(10)&amp;IF(T(INDEX(PhanCong!$B$3:$J$18,MATCH(TKB_Nhap!F70,PhanCong!$A$3:$A$18,0),MATCH($A70,PhanCong!$B$2:$J$2,0)))="","(chưa PC GV)","GV: "&amp;INDEX(PhanCong!$B$3:$J$18,MATCH(TKB_Nhap!F70,PhanCong!$A$3:$A$18,0),MATCH($A70,PhanCong!$B$2:$J$2,0))))</f>
        <v>Khoa học tự nhiên (Hoá học)
GV: Khu</v>
      </c>
      <c r="G70" s="26" t="str">
        <f>IF(TKB_Nhap!G70="","",TKB_Nhap!G70&amp;CHAR(10)&amp;IF(T(INDEX(PhanCong!$B$3:$J$18,MATCH(TKB_Nhap!G70,PhanCong!$A$3:$A$18,0),MATCH($A70,PhanCong!$B$2:$J$2,0)))="","(chưa PC GV)","GV: "&amp;INDEX(PhanCong!$B$3:$J$18,MATCH(TKB_Nhap!G70,PhanCong!$A$3:$A$18,0),MATCH($A70,PhanCong!$B$2:$J$2,0))))</f>
        <v>Toán học
GV: Huyền Ly</v>
      </c>
      <c r="H70" s="26" t="str">
        <f>IF(TKB_Nhap!H70="","",TKB_Nhap!H70&amp;CHAR(10)&amp;IF(T(INDEX(PhanCong!$B$3:$J$18,MATCH(TKB_Nhap!H70,PhanCong!$A$3:$A$18,0),MATCH($A70,PhanCong!$B$2:$J$2,0)))="","(chưa PC GV)","GV: "&amp;INDEX(PhanCong!$B$3:$J$18,MATCH(TKB_Nhap!H70,PhanCong!$A$3:$A$18,0),MATCH($A70,PhanCong!$B$2:$J$2,0))))</f>
        <v>Giáo dục công dân
GV: Uyên</v>
      </c>
      <c r="I70" s="26" t="str">
        <f>IF(TKB_Nhap!I70="","",TKB_Nhap!I70&amp;CHAR(10)&amp;IF(T(INDEX(PhanCong!$B$3:$J$18,MATCH(TKB_Nhap!I70,PhanCong!$A$3:$A$18,0),MATCH($A70,PhanCong!$B$2:$J$2,0)))="","(chưa PC GV)","GV: "&amp;INDEX(PhanCong!$B$3:$J$18,MATCH(TKB_Nhap!I70,PhanCong!$A$3:$A$18,0),MATCH($A70,PhanCong!$B$2:$J$2,0))))</f>
        <v/>
      </c>
      <c r="J70" s="26" t="str">
        <f>IF(TKB_Nhap!J70="","",TKB_Nhap!J70&amp;CHAR(10)&amp;IF(T(INDEX(PhanCong!$B$3:$J$18,MATCH(TKB_Nhap!J70,PhanCong!$A$3:$A$18,0),MATCH($A70,PhanCong!$B$2:$J$2,0)))="","(chưa PC GV)","GV: "&amp;INDEX(PhanCong!$B$3:$J$18,MATCH(TKB_Nhap!J70,PhanCong!$A$3:$A$18,0),MATCH($A70,PhanCong!$B$2:$J$2,0))))</f>
        <v/>
      </c>
    </row>
    <row r="71" spans="1:10" ht="27.75" customHeight="1" x14ac:dyDescent="0.25">
      <c r="A71" s="30" t="str">
        <f>TKB_Nhap!A71</f>
        <v>9B</v>
      </c>
      <c r="B71" s="30" t="str">
        <f>TKB_Nhap!B71</f>
        <v>C</v>
      </c>
      <c r="C71" s="30" t="str">
        <f>TKB_Nhap!C71</f>
        <v>1</v>
      </c>
      <c r="D71" s="26" t="str">
        <f>IF(TKB_Nhap!D71="","",TKB_Nhap!D71&amp;CHAR(10)&amp;IF(T(INDEX(PhanCong!$B$3:$J$18,MATCH(TKB_Nhap!D71,PhanCong!$A$3:$A$18,0),MATCH($A71,PhanCong!$B$2:$J$2,0)))="","(chưa PC GV)","GV: "&amp;INDEX(PhanCong!$B$3:$J$18,MATCH(TKB_Nhap!D71,PhanCong!$A$3:$A$18,0),MATCH($A71,PhanCong!$B$2:$J$2,0))))</f>
        <v/>
      </c>
      <c r="E71" s="26" t="str">
        <f>IF(TKB_Nhap!E71="","",TKB_Nhap!E71&amp;CHAR(10)&amp;IF(T(INDEX(PhanCong!$B$3:$J$18,MATCH(TKB_Nhap!E71,PhanCong!$A$3:$A$18,0),MATCH($A71,PhanCong!$B$2:$J$2,0)))="","(chưa PC GV)","GV: "&amp;INDEX(PhanCong!$B$3:$J$18,MATCH(TKB_Nhap!E71,PhanCong!$A$3:$A$18,0),MATCH($A71,PhanCong!$B$2:$J$2,0))))</f>
        <v/>
      </c>
      <c r="F71" s="26" t="str">
        <f>IF(TKB_Nhap!F71="","",TKB_Nhap!F71&amp;CHAR(10)&amp;IF(T(INDEX(PhanCong!$B$3:$J$18,MATCH(TKB_Nhap!F71,PhanCong!$A$3:$A$18,0),MATCH($A71,PhanCong!$B$2:$J$2,0)))="","(chưa PC GV)","GV: "&amp;INDEX(PhanCong!$B$3:$J$18,MATCH(TKB_Nhap!F71,PhanCong!$A$3:$A$18,0),MATCH($A71,PhanCong!$B$2:$J$2,0))))</f>
        <v/>
      </c>
      <c r="G71" s="26" t="str">
        <f>IF(TKB_Nhap!G71="","",TKB_Nhap!G71&amp;CHAR(10)&amp;IF(T(INDEX(PhanCong!$B$3:$J$18,MATCH(TKB_Nhap!G71,PhanCong!$A$3:$A$18,0),MATCH($A71,PhanCong!$B$2:$J$2,0)))="","(chưa PC GV)","GV: "&amp;INDEX(PhanCong!$B$3:$J$18,MATCH(TKB_Nhap!G71,PhanCong!$A$3:$A$18,0),MATCH($A71,PhanCong!$B$2:$J$2,0))))</f>
        <v/>
      </c>
      <c r="H71" s="26" t="str">
        <f>IF(TKB_Nhap!H71="","",TKB_Nhap!H71&amp;CHAR(10)&amp;IF(T(INDEX(PhanCong!$B$3:$J$18,MATCH(TKB_Nhap!H71,PhanCong!$A$3:$A$18,0),MATCH($A71,PhanCong!$B$2:$J$2,0)))="","(chưa PC GV)","GV: "&amp;INDEX(PhanCong!$B$3:$J$18,MATCH(TKB_Nhap!H71,PhanCong!$A$3:$A$18,0),MATCH($A71,PhanCong!$B$2:$J$2,0))))</f>
        <v/>
      </c>
      <c r="I71" s="26" t="str">
        <f>IF(TKB_Nhap!I71="","",TKB_Nhap!I71&amp;CHAR(10)&amp;IF(T(INDEX(PhanCong!$B$3:$J$18,MATCH(TKB_Nhap!I71,PhanCong!$A$3:$A$18,0),MATCH($A71,PhanCong!$B$2:$J$2,0)))="","(chưa PC GV)","GV: "&amp;INDEX(PhanCong!$B$3:$J$18,MATCH(TKB_Nhap!I71,PhanCong!$A$3:$A$18,0),MATCH($A71,PhanCong!$B$2:$J$2,0))))</f>
        <v/>
      </c>
      <c r="J71" s="26" t="str">
        <f>IF(TKB_Nhap!J71="","",TKB_Nhap!J71&amp;CHAR(10)&amp;IF(T(INDEX(PhanCong!$B$3:$J$18,MATCH(TKB_Nhap!J71,PhanCong!$A$3:$A$18,0),MATCH($A71,PhanCong!$B$2:$J$2,0)))="","(chưa PC GV)","GV: "&amp;INDEX(PhanCong!$B$3:$J$18,MATCH(TKB_Nhap!J71,PhanCong!$A$3:$A$18,0),MATCH($A71,PhanCong!$B$2:$J$2,0))))</f>
        <v/>
      </c>
    </row>
    <row r="72" spans="1:10" ht="27.75" customHeight="1" x14ac:dyDescent="0.25">
      <c r="A72" s="30" t="str">
        <f>TKB_Nhap!A72</f>
        <v>9B</v>
      </c>
      <c r="B72" s="30" t="str">
        <f>TKB_Nhap!B72</f>
        <v>C</v>
      </c>
      <c r="C72" s="30" t="str">
        <f>TKB_Nhap!C72</f>
        <v>2</v>
      </c>
      <c r="D72" s="26" t="str">
        <f>IF(TKB_Nhap!D72="","",TKB_Nhap!D72&amp;CHAR(10)&amp;IF(T(INDEX(PhanCong!$B$3:$J$18,MATCH(TKB_Nhap!D72,PhanCong!$A$3:$A$18,0),MATCH($A72,PhanCong!$B$2:$J$2,0)))="","(chưa PC GV)","GV: "&amp;INDEX(PhanCong!$B$3:$J$18,MATCH(TKB_Nhap!D72,PhanCong!$A$3:$A$18,0),MATCH($A72,PhanCong!$B$2:$J$2,0))))</f>
        <v/>
      </c>
      <c r="E72" s="26" t="str">
        <f>IF(TKB_Nhap!E72="","",TKB_Nhap!E72&amp;CHAR(10)&amp;IF(T(INDEX(PhanCong!$B$3:$J$18,MATCH(TKB_Nhap!E72,PhanCong!$A$3:$A$18,0),MATCH($A72,PhanCong!$B$2:$J$2,0)))="","(chưa PC GV)","GV: "&amp;INDEX(PhanCong!$B$3:$J$18,MATCH(TKB_Nhap!E72,PhanCong!$A$3:$A$18,0),MATCH($A72,PhanCong!$B$2:$J$2,0))))</f>
        <v/>
      </c>
      <c r="F72" s="26" t="str">
        <f>IF(TKB_Nhap!F72="","",TKB_Nhap!F72&amp;CHAR(10)&amp;IF(T(INDEX(PhanCong!$B$3:$J$18,MATCH(TKB_Nhap!F72,PhanCong!$A$3:$A$18,0),MATCH($A72,PhanCong!$B$2:$J$2,0)))="","(chưa PC GV)","GV: "&amp;INDEX(PhanCong!$B$3:$J$18,MATCH(TKB_Nhap!F72,PhanCong!$A$3:$A$18,0),MATCH($A72,PhanCong!$B$2:$J$2,0))))</f>
        <v/>
      </c>
      <c r="G72" s="26" t="str">
        <f>IF(TKB_Nhap!G72="","",TKB_Nhap!G72&amp;CHAR(10)&amp;IF(T(INDEX(PhanCong!$B$3:$J$18,MATCH(TKB_Nhap!G72,PhanCong!$A$3:$A$18,0),MATCH($A72,PhanCong!$B$2:$J$2,0)))="","(chưa PC GV)","GV: "&amp;INDEX(PhanCong!$B$3:$J$18,MATCH(TKB_Nhap!G72,PhanCong!$A$3:$A$18,0),MATCH($A72,PhanCong!$B$2:$J$2,0))))</f>
        <v/>
      </c>
      <c r="H72" s="26" t="str">
        <f>IF(TKB_Nhap!H72="","",TKB_Nhap!H72&amp;CHAR(10)&amp;IF(T(INDEX(PhanCong!$B$3:$J$18,MATCH(TKB_Nhap!H72,PhanCong!$A$3:$A$18,0),MATCH($A72,PhanCong!$B$2:$J$2,0)))="","(chưa PC GV)","GV: "&amp;INDEX(PhanCong!$B$3:$J$18,MATCH(TKB_Nhap!H72,PhanCong!$A$3:$A$18,0),MATCH($A72,PhanCong!$B$2:$J$2,0))))</f>
        <v/>
      </c>
      <c r="I72" s="26" t="str">
        <f>IF(TKB_Nhap!I72="","",TKB_Nhap!I72&amp;CHAR(10)&amp;IF(T(INDEX(PhanCong!$B$3:$J$18,MATCH(TKB_Nhap!I72,PhanCong!$A$3:$A$18,0),MATCH($A72,PhanCong!$B$2:$J$2,0)))="","(chưa PC GV)","GV: "&amp;INDEX(PhanCong!$B$3:$J$18,MATCH(TKB_Nhap!I72,PhanCong!$A$3:$A$18,0),MATCH($A72,PhanCong!$B$2:$J$2,0))))</f>
        <v/>
      </c>
      <c r="J72" s="26" t="str">
        <f>IF(TKB_Nhap!J72="","",TKB_Nhap!J72&amp;CHAR(10)&amp;IF(T(INDEX(PhanCong!$B$3:$J$18,MATCH(TKB_Nhap!J72,PhanCong!$A$3:$A$18,0),MATCH($A72,PhanCong!$B$2:$J$2,0)))="","(chưa PC GV)","GV: "&amp;INDEX(PhanCong!$B$3:$J$18,MATCH(TKB_Nhap!J72,PhanCong!$A$3:$A$18,0),MATCH($A72,PhanCong!$B$2:$J$2,0))))</f>
        <v/>
      </c>
    </row>
    <row r="73" spans="1:10" ht="27.75" customHeight="1" x14ac:dyDescent="0.25">
      <c r="A73" s="30" t="str">
        <f>TKB_Nhap!A73</f>
        <v>9B</v>
      </c>
      <c r="B73" s="30" t="str">
        <f>TKB_Nhap!B73</f>
        <v>C</v>
      </c>
      <c r="C73" s="30" t="str">
        <f>TKB_Nhap!C73</f>
        <v>3</v>
      </c>
      <c r="D73" s="26" t="str">
        <f>IF(TKB_Nhap!D73="","",TKB_Nhap!D73&amp;CHAR(10)&amp;IF(T(INDEX(PhanCong!$B$3:$J$18,MATCH(TKB_Nhap!D73,PhanCong!$A$3:$A$18,0),MATCH($A73,PhanCong!$B$2:$J$2,0)))="","(chưa PC GV)","GV: "&amp;INDEX(PhanCong!$B$3:$J$18,MATCH(TKB_Nhap!D73,PhanCong!$A$3:$A$18,0),MATCH($A73,PhanCong!$B$2:$J$2,0))))</f>
        <v/>
      </c>
      <c r="E73" s="26" t="str">
        <f>IF(TKB_Nhap!E73="","",TKB_Nhap!E73&amp;CHAR(10)&amp;IF(T(INDEX(PhanCong!$B$3:$J$18,MATCH(TKB_Nhap!E73,PhanCong!$A$3:$A$18,0),MATCH($A73,PhanCong!$B$2:$J$2,0)))="","(chưa PC GV)","GV: "&amp;INDEX(PhanCong!$B$3:$J$18,MATCH(TKB_Nhap!E73,PhanCong!$A$3:$A$18,0),MATCH($A73,PhanCong!$B$2:$J$2,0))))</f>
        <v/>
      </c>
      <c r="F73" s="26" t="str">
        <f>IF(TKB_Nhap!F73="","",TKB_Nhap!F73&amp;CHAR(10)&amp;IF(T(INDEX(PhanCong!$B$3:$J$18,MATCH(TKB_Nhap!F73,PhanCong!$A$3:$A$18,0),MATCH($A73,PhanCong!$B$2:$J$2,0)))="","(chưa PC GV)","GV: "&amp;INDEX(PhanCong!$B$3:$J$18,MATCH(TKB_Nhap!F73,PhanCong!$A$3:$A$18,0),MATCH($A73,PhanCong!$B$2:$J$2,0))))</f>
        <v/>
      </c>
      <c r="G73" s="26" t="str">
        <f>IF(TKB_Nhap!G73="","",TKB_Nhap!G73&amp;CHAR(10)&amp;IF(T(INDEX(PhanCong!$B$3:$J$18,MATCH(TKB_Nhap!G73,PhanCong!$A$3:$A$18,0),MATCH($A73,PhanCong!$B$2:$J$2,0)))="","(chưa PC GV)","GV: "&amp;INDEX(PhanCong!$B$3:$J$18,MATCH(TKB_Nhap!G73,PhanCong!$A$3:$A$18,0),MATCH($A73,PhanCong!$B$2:$J$2,0))))</f>
        <v/>
      </c>
      <c r="H73" s="26" t="str">
        <f>IF(TKB_Nhap!H73="","",TKB_Nhap!H73&amp;CHAR(10)&amp;IF(T(INDEX(PhanCong!$B$3:$J$18,MATCH(TKB_Nhap!H73,PhanCong!$A$3:$A$18,0),MATCH($A73,PhanCong!$B$2:$J$2,0)))="","(chưa PC GV)","GV: "&amp;INDEX(PhanCong!$B$3:$J$18,MATCH(TKB_Nhap!H73,PhanCong!$A$3:$A$18,0),MATCH($A73,PhanCong!$B$2:$J$2,0))))</f>
        <v/>
      </c>
      <c r="I73" s="26" t="str">
        <f>IF(TKB_Nhap!I73="","",TKB_Nhap!I73&amp;CHAR(10)&amp;IF(T(INDEX(PhanCong!$B$3:$J$18,MATCH(TKB_Nhap!I73,PhanCong!$A$3:$A$18,0),MATCH($A73,PhanCong!$B$2:$J$2,0)))="","(chưa PC GV)","GV: "&amp;INDEX(PhanCong!$B$3:$J$18,MATCH(TKB_Nhap!I73,PhanCong!$A$3:$A$18,0),MATCH($A73,PhanCong!$B$2:$J$2,0))))</f>
        <v/>
      </c>
      <c r="J73" s="26" t="str">
        <f>IF(TKB_Nhap!J73="","",TKB_Nhap!J73&amp;CHAR(10)&amp;IF(T(INDEX(PhanCong!$B$3:$J$18,MATCH(TKB_Nhap!J73,PhanCong!$A$3:$A$18,0),MATCH($A73,PhanCong!$B$2:$J$2,0)))="","(chưa PC GV)","GV: "&amp;INDEX(PhanCong!$B$3:$J$18,MATCH(TKB_Nhap!J73,PhanCong!$A$3:$A$18,0),MATCH($A73,PhanCong!$B$2:$J$2,0))))</f>
        <v/>
      </c>
    </row>
    <row r="74" spans="1:10" ht="15" customHeight="1" x14ac:dyDescent="0.25"/>
    <row r="75" spans="1:10" ht="15" customHeight="1" x14ac:dyDescent="0.25"/>
    <row r="76" spans="1:10" ht="15" customHeight="1" x14ac:dyDescent="0.25"/>
    <row r="77" spans="1:10" ht="15" customHeight="1" x14ac:dyDescent="0.25"/>
    <row r="78" spans="1:10" ht="15" customHeight="1" x14ac:dyDescent="0.25"/>
    <row r="79" spans="1:10" ht="15" customHeight="1" x14ac:dyDescent="0.25"/>
    <row r="80" spans="1:1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R90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/>
    </sheetView>
  </sheetViews>
  <sheetFormatPr defaultColWidth="8.7109375" defaultRowHeight="15" x14ac:dyDescent="0.25"/>
  <cols>
    <col min="1" max="1" width="9" customWidth="1"/>
    <col min="2" max="3" width="6" customWidth="1"/>
    <col min="4" max="10" width="22" customWidth="1"/>
    <col min="12" max="18" width="13" hidden="1" customWidth="1"/>
  </cols>
  <sheetData>
    <row r="1" spans="1:18" ht="24.75" customHeight="1" x14ac:dyDescent="0.25">
      <c r="A1" s="34" t="s">
        <v>171</v>
      </c>
      <c r="B1" s="34" t="s">
        <v>172</v>
      </c>
      <c r="C1" s="34" t="s">
        <v>173</v>
      </c>
      <c r="D1" s="34" t="s">
        <v>174</v>
      </c>
      <c r="E1" s="34" t="s">
        <v>175</v>
      </c>
      <c r="F1" s="34" t="s">
        <v>176</v>
      </c>
      <c r="G1" s="34" t="s">
        <v>177</v>
      </c>
      <c r="H1" s="34" t="s">
        <v>178</v>
      </c>
      <c r="I1" s="34" t="s">
        <v>179</v>
      </c>
      <c r="J1" s="34" t="s">
        <v>180</v>
      </c>
      <c r="L1" s="33" t="s">
        <v>188</v>
      </c>
    </row>
    <row r="2" spans="1:18" ht="15" customHeight="1" x14ac:dyDescent="0.25">
      <c r="A2" s="30" t="str">
        <f>TKB_Nhap!A2</f>
        <v>6A</v>
      </c>
      <c r="B2" s="30" t="str">
        <f>TKB_Nhap!B2</f>
        <v>S</v>
      </c>
      <c r="C2" s="30" t="str">
        <f>TKB_Nhap!C2</f>
        <v>1</v>
      </c>
      <c r="D2" s="30" t="str">
        <f>IF(TKB_Nhap!D2="","",IFERROR(T(INDEX(PhanCong!$B$3:$J$18,MATCH(TKB_Nhap!D2,PhanCong!$A$3:$A$18,0),MATCH($A2,PhanCong!$B$2:$J$2,0))),""))</f>
        <v>Lệ</v>
      </c>
      <c r="E2" s="30" t="str">
        <f>IF(TKB_Nhap!E2="","",IFERROR(T(INDEX(PhanCong!$B$3:$J$18,MATCH(TKB_Nhap!E2,PhanCong!$A$3:$A$18,0),MATCH($A2,PhanCong!$B$2:$J$2,0))),""))</f>
        <v>Lệ</v>
      </c>
      <c r="F2" s="30" t="str">
        <f>IF(TKB_Nhap!F2="","",IFERROR(T(INDEX(PhanCong!$B$3:$J$18,MATCH(TKB_Nhap!F2,PhanCong!$A$3:$A$18,0),MATCH($A2,PhanCong!$B$2:$J$2,0))),""))</f>
        <v>Sơn</v>
      </c>
      <c r="G2" s="30" t="str">
        <f>IF(TKB_Nhap!G2="","",IFERROR(T(INDEX(PhanCong!$B$3:$J$18,MATCH(TKB_Nhap!G2,PhanCong!$A$3:$A$18,0),MATCH($A2,PhanCong!$B$2:$J$2,0))),""))</f>
        <v>Lan</v>
      </c>
      <c r="H2" s="30" t="str">
        <f>IF(TKB_Nhap!H2="","",IFERROR(T(INDEX(PhanCong!$B$3:$J$18,MATCH(TKB_Nhap!H2,PhanCong!$A$3:$A$18,0),MATCH($A2,PhanCong!$B$2:$J$2,0))),""))</f>
        <v>GVHĐ 1</v>
      </c>
      <c r="I2" s="30" t="str">
        <f>IF(TKB_Nhap!I2="","",IFERROR(T(INDEX(PhanCong!$B$3:$J$18,MATCH(TKB_Nhap!I2,PhanCong!$A$3:$A$18,0),MATCH($A2,PhanCong!$B$2:$J$2,0))),""))</f>
        <v>Trung</v>
      </c>
      <c r="J2" s="30" t="str">
        <f>IF(TKB_Nhap!J2="","",IFERROR(T(INDEX(PhanCong!$B$3:$J$18,MATCH(TKB_Nhap!J2,PhanCong!$A$3:$A$18,0),MATCH($A2,PhanCong!$B$2:$J$2,0))),""))</f>
        <v/>
      </c>
      <c r="L2" s="39">
        <f t="shared" ref="L2:L33" si="0">IF(D2="",0,IF(COUNTIFS($B$2:$B$73,$B2,$C$2:$C$73,$C2,D$2:D$73,D2)&gt;1,1,0))</f>
        <v>0</v>
      </c>
      <c r="M2" s="39">
        <f t="shared" ref="M2:M33" si="1">IF(E2="",0,IF(COUNTIFS($B$2:$B$73,$B2,$C$2:$C$73,$C2,E$2:E$73,E2)&gt;1,1,0))</f>
        <v>0</v>
      </c>
      <c r="N2" s="39">
        <f t="shared" ref="N2:N33" si="2">IF(F2="",0,IF(COUNTIFS($B$2:$B$73,$B2,$C$2:$C$73,$C2,F$2:F$73,F2)&gt;1,1,0))</f>
        <v>0</v>
      </c>
      <c r="O2" s="39">
        <f t="shared" ref="O2:O33" si="3">IF(G2="",0,IF(COUNTIFS($B$2:$B$73,$B2,$C$2:$C$73,$C2,G$2:G$73,G2)&gt;1,1,0))</f>
        <v>0</v>
      </c>
      <c r="P2" s="39">
        <f t="shared" ref="P2:P33" si="4">IF(H2="",0,IF(COUNTIFS($B$2:$B$73,$B2,$C$2:$C$73,$C2,H$2:H$73,H2)&gt;1,1,0))</f>
        <v>0</v>
      </c>
      <c r="Q2" s="39">
        <f t="shared" ref="Q2:Q33" si="5">IF(I2="",0,IF(COUNTIFS($B$2:$B$73,$B2,$C$2:$C$73,$C2,I$2:I$73,I2)&gt;1,1,0))</f>
        <v>0</v>
      </c>
      <c r="R2" s="39">
        <f t="shared" ref="R2:R33" si="6">IF(J2="",0,IF(COUNTIFS($B$2:$B$73,$B2,$C$2:$C$73,$C2,J$2:J$73,J2)&gt;1,1,0))</f>
        <v>0</v>
      </c>
    </row>
    <row r="3" spans="1:18" ht="15" customHeight="1" x14ac:dyDescent="0.25">
      <c r="A3" s="30" t="str">
        <f>TKB_Nhap!A3</f>
        <v>6A</v>
      </c>
      <c r="B3" s="30" t="str">
        <f>TKB_Nhap!B3</f>
        <v>S</v>
      </c>
      <c r="C3" s="30" t="str">
        <f>TKB_Nhap!C3</f>
        <v>2</v>
      </c>
      <c r="D3" s="30" t="str">
        <f>IF(TKB_Nhap!D3="","",IFERROR(T(INDEX(PhanCong!$B$3:$J$18,MATCH(TKB_Nhap!D3,PhanCong!$A$3:$A$18,0),MATCH($A3,PhanCong!$B$2:$J$2,0))),""))</f>
        <v>Trung</v>
      </c>
      <c r="E3" s="30" t="str">
        <f>IF(TKB_Nhap!E3="","",IFERROR(T(INDEX(PhanCong!$B$3:$J$18,MATCH(TKB_Nhap!E3,PhanCong!$A$3:$A$18,0),MATCH($A3,PhanCong!$B$2:$J$2,0))),""))</f>
        <v>Lệ</v>
      </c>
      <c r="F3" s="30" t="str">
        <f>IF(TKB_Nhap!F3="","",IFERROR(T(INDEX(PhanCong!$B$3:$J$18,MATCH(TKB_Nhap!F3,PhanCong!$A$3:$A$18,0),MATCH($A3,PhanCong!$B$2:$J$2,0))),""))</f>
        <v>Lệ</v>
      </c>
      <c r="G3" s="30" t="str">
        <f>IF(TKB_Nhap!G3="","",IFERROR(T(INDEX(PhanCong!$B$3:$J$18,MATCH(TKB_Nhap!G3,PhanCong!$A$3:$A$18,0),MATCH($A3,PhanCong!$B$2:$J$2,0))),""))</f>
        <v>Lan</v>
      </c>
      <c r="H3" s="30" t="str">
        <f>IF(TKB_Nhap!H3="","",IFERROR(T(INDEX(PhanCong!$B$3:$J$18,MATCH(TKB_Nhap!H3,PhanCong!$A$3:$A$18,0),MATCH($A3,PhanCong!$B$2:$J$2,0))),""))</f>
        <v>Lan Ly</v>
      </c>
      <c r="I3" s="30" t="str">
        <f>IF(TKB_Nhap!I3="","",IFERROR(T(INDEX(PhanCong!$B$3:$J$18,MATCH(TKB_Nhap!I3,PhanCong!$A$3:$A$18,0),MATCH($A3,PhanCong!$B$2:$J$2,0))),""))</f>
        <v>Nhung</v>
      </c>
      <c r="J3" s="30" t="str">
        <f>IF(TKB_Nhap!J3="","",IFERROR(T(INDEX(PhanCong!$B$3:$J$18,MATCH(TKB_Nhap!J3,PhanCong!$A$3:$A$18,0),MATCH($A3,PhanCong!$B$2:$J$2,0))),""))</f>
        <v/>
      </c>
      <c r="L3" s="39">
        <f t="shared" si="0"/>
        <v>0</v>
      </c>
      <c r="M3" s="39">
        <f t="shared" si="1"/>
        <v>0</v>
      </c>
      <c r="N3" s="39">
        <f t="shared" si="2"/>
        <v>0</v>
      </c>
      <c r="O3" s="39">
        <f t="shared" si="3"/>
        <v>0</v>
      </c>
      <c r="P3" s="39">
        <f t="shared" si="4"/>
        <v>0</v>
      </c>
      <c r="Q3" s="39">
        <f t="shared" si="5"/>
        <v>0</v>
      </c>
      <c r="R3" s="39">
        <f t="shared" si="6"/>
        <v>0</v>
      </c>
    </row>
    <row r="4" spans="1:18" ht="15" customHeight="1" x14ac:dyDescent="0.25">
      <c r="A4" s="30" t="str">
        <f>TKB_Nhap!A4</f>
        <v>6A</v>
      </c>
      <c r="B4" s="30" t="str">
        <f>TKB_Nhap!B4</f>
        <v>S</v>
      </c>
      <c r="C4" s="30" t="str">
        <f>TKB_Nhap!C4</f>
        <v>3</v>
      </c>
      <c r="D4" s="30" t="str">
        <f>IF(TKB_Nhap!D4="","",IFERROR(T(INDEX(PhanCong!$B$3:$J$18,MATCH(TKB_Nhap!D4,PhanCong!$A$3:$A$18,0),MATCH($A4,PhanCong!$B$2:$J$2,0))),""))</f>
        <v>Hồng</v>
      </c>
      <c r="E4" s="30" t="str">
        <f>IF(TKB_Nhap!E4="","",IFERROR(T(INDEX(PhanCong!$B$3:$J$18,MATCH(TKB_Nhap!E4,PhanCong!$A$3:$A$18,0),MATCH($A4,PhanCong!$B$2:$J$2,0))),""))</f>
        <v>GVHĐ 1</v>
      </c>
      <c r="F4" s="30" t="str">
        <f>IF(TKB_Nhap!F4="","",IFERROR(T(INDEX(PhanCong!$B$3:$J$18,MATCH(TKB_Nhap!F4,PhanCong!$A$3:$A$18,0),MATCH($A4,PhanCong!$B$2:$J$2,0))),""))</f>
        <v>GVHĐ 1</v>
      </c>
      <c r="G4" s="30" t="str">
        <f>IF(TKB_Nhap!G4="","",IFERROR(T(INDEX(PhanCong!$B$3:$J$18,MATCH(TKB_Nhap!G4,PhanCong!$A$3:$A$18,0),MATCH($A4,PhanCong!$B$2:$J$2,0))),""))</f>
        <v>Sơn</v>
      </c>
      <c r="H4" s="30" t="str">
        <f>IF(TKB_Nhap!H4="","",IFERROR(T(INDEX(PhanCong!$B$3:$J$18,MATCH(TKB_Nhap!H4,PhanCong!$A$3:$A$18,0),MATCH($A4,PhanCong!$B$2:$J$2,0))),""))</f>
        <v>Hồng</v>
      </c>
      <c r="I4" s="30" t="str">
        <f>IF(TKB_Nhap!I4="","",IFERROR(T(INDEX(PhanCong!$B$3:$J$18,MATCH(TKB_Nhap!I4,PhanCong!$A$3:$A$18,0),MATCH($A4,PhanCong!$B$2:$J$2,0))),""))</f>
        <v>Lệ</v>
      </c>
      <c r="J4" s="30" t="str">
        <f>IF(TKB_Nhap!J4="","",IFERROR(T(INDEX(PhanCong!$B$3:$J$18,MATCH(TKB_Nhap!J4,PhanCong!$A$3:$A$18,0),MATCH($A4,PhanCong!$B$2:$J$2,0))),""))</f>
        <v/>
      </c>
      <c r="L4" s="39">
        <f t="shared" si="0"/>
        <v>0</v>
      </c>
      <c r="M4" s="39">
        <f t="shared" si="1"/>
        <v>0</v>
      </c>
      <c r="N4" s="39">
        <f t="shared" si="2"/>
        <v>0</v>
      </c>
      <c r="O4" s="39">
        <f t="shared" si="3"/>
        <v>0</v>
      </c>
      <c r="P4" s="39">
        <f t="shared" si="4"/>
        <v>0</v>
      </c>
      <c r="Q4" s="39">
        <f t="shared" si="5"/>
        <v>0</v>
      </c>
      <c r="R4" s="39">
        <f t="shared" si="6"/>
        <v>0</v>
      </c>
    </row>
    <row r="5" spans="1:18" ht="15" customHeight="1" x14ac:dyDescent="0.25">
      <c r="A5" s="30" t="str">
        <f>TKB_Nhap!A5</f>
        <v>6A</v>
      </c>
      <c r="B5" s="30" t="str">
        <f>TKB_Nhap!B5</f>
        <v>S</v>
      </c>
      <c r="C5" s="30" t="str">
        <f>TKB_Nhap!C5</f>
        <v>4</v>
      </c>
      <c r="D5" s="30" t="str">
        <f>IF(TKB_Nhap!D5="","",IFERROR(T(INDEX(PhanCong!$B$3:$J$18,MATCH(TKB_Nhap!D5,PhanCong!$A$3:$A$18,0),MATCH($A5,PhanCong!$B$2:$J$2,0))),""))</f>
        <v>Lệ</v>
      </c>
      <c r="E5" s="30" t="str">
        <f>IF(TKB_Nhap!E5="","",IFERROR(T(INDEX(PhanCong!$B$3:$J$18,MATCH(TKB_Nhap!E5,PhanCong!$A$3:$A$18,0),MATCH($A5,PhanCong!$B$2:$J$2,0))),""))</f>
        <v>Nhung</v>
      </c>
      <c r="F5" s="30" t="str">
        <f>IF(TKB_Nhap!F5="","",IFERROR(T(INDEX(PhanCong!$B$3:$J$18,MATCH(TKB_Nhap!F5,PhanCong!$A$3:$A$18,0),MATCH($A5,PhanCong!$B$2:$J$2,0))),""))</f>
        <v>GVHĐ 1</v>
      </c>
      <c r="G5" s="30" t="str">
        <f>IF(TKB_Nhap!G5="","",IFERROR(T(INDEX(PhanCong!$B$3:$J$18,MATCH(TKB_Nhap!G5,PhanCong!$A$3:$A$18,0),MATCH($A5,PhanCong!$B$2:$J$2,0))),""))</f>
        <v>Sơn</v>
      </c>
      <c r="H5" s="30" t="str">
        <f>IF(TKB_Nhap!H5="","",IFERROR(T(INDEX(PhanCong!$B$3:$J$18,MATCH(TKB_Nhap!H5,PhanCong!$A$3:$A$18,0),MATCH($A5,PhanCong!$B$2:$J$2,0))),""))</f>
        <v>Sơn</v>
      </c>
      <c r="I5" s="30" t="str">
        <f>IF(TKB_Nhap!I5="","",IFERROR(T(INDEX(PhanCong!$B$3:$J$18,MATCH(TKB_Nhap!I5,PhanCong!$A$3:$A$18,0),MATCH($A5,PhanCong!$B$2:$J$2,0))),""))</f>
        <v>GVHĐ 1</v>
      </c>
      <c r="J5" s="30" t="str">
        <f>IF(TKB_Nhap!J5="","",IFERROR(T(INDEX(PhanCong!$B$3:$J$18,MATCH(TKB_Nhap!J5,PhanCong!$A$3:$A$18,0),MATCH($A5,PhanCong!$B$2:$J$2,0))),""))</f>
        <v/>
      </c>
      <c r="L5" s="39">
        <f t="shared" si="0"/>
        <v>0</v>
      </c>
      <c r="M5" s="39">
        <f t="shared" si="1"/>
        <v>0</v>
      </c>
      <c r="N5" s="39">
        <f t="shared" si="2"/>
        <v>0</v>
      </c>
      <c r="O5" s="39">
        <f t="shared" si="3"/>
        <v>0</v>
      </c>
      <c r="P5" s="39">
        <f t="shared" si="4"/>
        <v>0</v>
      </c>
      <c r="Q5" s="39">
        <f t="shared" si="5"/>
        <v>0</v>
      </c>
      <c r="R5" s="39">
        <f t="shared" si="6"/>
        <v>0</v>
      </c>
    </row>
    <row r="6" spans="1:18" ht="15" customHeight="1" x14ac:dyDescent="0.25">
      <c r="A6" s="30" t="str">
        <f>TKB_Nhap!A6</f>
        <v>6A</v>
      </c>
      <c r="B6" s="30" t="str">
        <f>TKB_Nhap!B6</f>
        <v>S</v>
      </c>
      <c r="C6" s="30" t="str">
        <f>TKB_Nhap!C6</f>
        <v>5</v>
      </c>
      <c r="D6" s="30" t="str">
        <f>IF(TKB_Nhap!D6="","",IFERROR(T(INDEX(PhanCong!$B$3:$J$18,MATCH(TKB_Nhap!D6,PhanCong!$A$3:$A$18,0),MATCH($A6,PhanCong!$B$2:$J$2,0))),""))</f>
        <v>Hoà</v>
      </c>
      <c r="E6" s="30" t="str">
        <f>IF(TKB_Nhap!E6="","",IFERROR(T(INDEX(PhanCong!$B$3:$J$18,MATCH(TKB_Nhap!E6,PhanCong!$A$3:$A$18,0),MATCH($A6,PhanCong!$B$2:$J$2,0))),""))</f>
        <v/>
      </c>
      <c r="F6" s="30" t="str">
        <f>IF(TKB_Nhap!F6="","",IFERROR(T(INDEX(PhanCong!$B$3:$J$18,MATCH(TKB_Nhap!F6,PhanCong!$A$3:$A$18,0),MATCH($A6,PhanCong!$B$2:$J$2,0))),""))</f>
        <v>Nhung</v>
      </c>
      <c r="G6" s="30" t="str">
        <f>IF(TKB_Nhap!G6="","",IFERROR(T(INDEX(PhanCong!$B$3:$J$18,MATCH(TKB_Nhap!G6,PhanCong!$A$3:$A$18,0),MATCH($A6,PhanCong!$B$2:$J$2,0))),""))</f>
        <v>Trung</v>
      </c>
      <c r="H6" s="30" t="str">
        <f>IF(TKB_Nhap!H6="","",IFERROR(T(INDEX(PhanCong!$B$3:$J$18,MATCH(TKB_Nhap!H6,PhanCong!$A$3:$A$18,0),MATCH($A6,PhanCong!$B$2:$J$2,0))),""))</f>
        <v>GVHĐ 1</v>
      </c>
      <c r="I6" s="30" t="str">
        <f>IF(TKB_Nhap!I6="","",IFERROR(T(INDEX(PhanCong!$B$3:$J$18,MATCH(TKB_Nhap!I6,PhanCong!$A$3:$A$18,0),MATCH($A6,PhanCong!$B$2:$J$2,0))),""))</f>
        <v>Lệ</v>
      </c>
      <c r="J6" s="30" t="str">
        <f>IF(TKB_Nhap!J6="","",IFERROR(T(INDEX(PhanCong!$B$3:$J$18,MATCH(TKB_Nhap!J6,PhanCong!$A$3:$A$18,0),MATCH($A6,PhanCong!$B$2:$J$2,0))),""))</f>
        <v/>
      </c>
      <c r="L6" s="39">
        <f t="shared" si="0"/>
        <v>0</v>
      </c>
      <c r="M6" s="39">
        <f t="shared" si="1"/>
        <v>0</v>
      </c>
      <c r="N6" s="39">
        <f t="shared" si="2"/>
        <v>0</v>
      </c>
      <c r="O6" s="39">
        <f t="shared" si="3"/>
        <v>0</v>
      </c>
      <c r="P6" s="39">
        <f t="shared" si="4"/>
        <v>0</v>
      </c>
      <c r="Q6" s="39">
        <f t="shared" si="5"/>
        <v>0</v>
      </c>
      <c r="R6" s="39">
        <f t="shared" si="6"/>
        <v>0</v>
      </c>
    </row>
    <row r="7" spans="1:18" ht="15" customHeight="1" x14ac:dyDescent="0.25">
      <c r="A7" s="30" t="str">
        <f>TKB_Nhap!A7</f>
        <v>6A</v>
      </c>
      <c r="B7" s="30" t="str">
        <f>TKB_Nhap!B7</f>
        <v>C</v>
      </c>
      <c r="C7" s="30" t="str">
        <f>TKB_Nhap!C7</f>
        <v>1</v>
      </c>
      <c r="D7" s="30" t="str">
        <f>IF(TKB_Nhap!D7="","",IFERROR(T(INDEX(PhanCong!$B$3:$J$18,MATCH(TKB_Nhap!D7,PhanCong!$A$3:$A$18,0),MATCH($A7,PhanCong!$B$2:$J$2,0))),""))</f>
        <v/>
      </c>
      <c r="E7" s="30" t="str">
        <f>IF(TKB_Nhap!E7="","",IFERROR(T(INDEX(PhanCong!$B$3:$J$18,MATCH(TKB_Nhap!E7,PhanCong!$A$3:$A$18,0),MATCH($A7,PhanCong!$B$2:$J$2,0))),""))</f>
        <v/>
      </c>
      <c r="F7" s="30" t="str">
        <f>IF(TKB_Nhap!F7="","",IFERROR(T(INDEX(PhanCong!$B$3:$J$18,MATCH(TKB_Nhap!F7,PhanCong!$A$3:$A$18,0),MATCH($A7,PhanCong!$B$2:$J$2,0))),""))</f>
        <v/>
      </c>
      <c r="G7" s="30" t="str">
        <f>IF(TKB_Nhap!G7="","",IFERROR(T(INDEX(PhanCong!$B$3:$J$18,MATCH(TKB_Nhap!G7,PhanCong!$A$3:$A$18,0),MATCH($A7,PhanCong!$B$2:$J$2,0))),""))</f>
        <v/>
      </c>
      <c r="H7" s="30" t="str">
        <f>IF(TKB_Nhap!H7="","",IFERROR(T(INDEX(PhanCong!$B$3:$J$18,MATCH(TKB_Nhap!H7,PhanCong!$A$3:$A$18,0),MATCH($A7,PhanCong!$B$2:$J$2,0))),""))</f>
        <v/>
      </c>
      <c r="I7" s="30" t="str">
        <f>IF(TKB_Nhap!I7="","",IFERROR(T(INDEX(PhanCong!$B$3:$J$18,MATCH(TKB_Nhap!I7,PhanCong!$A$3:$A$18,0),MATCH($A7,PhanCong!$B$2:$J$2,0))),""))</f>
        <v/>
      </c>
      <c r="J7" s="30" t="str">
        <f>IF(TKB_Nhap!J7="","",IFERROR(T(INDEX(PhanCong!$B$3:$J$18,MATCH(TKB_Nhap!J7,PhanCong!$A$3:$A$18,0),MATCH($A7,PhanCong!$B$2:$J$2,0))),""))</f>
        <v/>
      </c>
      <c r="L7" s="39">
        <f t="shared" si="0"/>
        <v>0</v>
      </c>
      <c r="M7" s="39">
        <f t="shared" si="1"/>
        <v>0</v>
      </c>
      <c r="N7" s="39">
        <f t="shared" si="2"/>
        <v>0</v>
      </c>
      <c r="O7" s="39">
        <f t="shared" si="3"/>
        <v>0</v>
      </c>
      <c r="P7" s="39">
        <f t="shared" si="4"/>
        <v>0</v>
      </c>
      <c r="Q7" s="39">
        <f t="shared" si="5"/>
        <v>0</v>
      </c>
      <c r="R7" s="39">
        <f t="shared" si="6"/>
        <v>0</v>
      </c>
    </row>
    <row r="8" spans="1:18" ht="15" customHeight="1" x14ac:dyDescent="0.25">
      <c r="A8" s="30" t="str">
        <f>TKB_Nhap!A8</f>
        <v>6A</v>
      </c>
      <c r="B8" s="30" t="str">
        <f>TKB_Nhap!B8</f>
        <v>C</v>
      </c>
      <c r="C8" s="30" t="str">
        <f>TKB_Nhap!C8</f>
        <v>2</v>
      </c>
      <c r="D8" s="30" t="str">
        <f>IF(TKB_Nhap!D8="","",IFERROR(T(INDEX(PhanCong!$B$3:$J$18,MATCH(TKB_Nhap!D8,PhanCong!$A$3:$A$18,0),MATCH($A8,PhanCong!$B$2:$J$2,0))),""))</f>
        <v/>
      </c>
      <c r="E8" s="30" t="str">
        <f>IF(TKB_Nhap!E8="","",IFERROR(T(INDEX(PhanCong!$B$3:$J$18,MATCH(TKB_Nhap!E8,PhanCong!$A$3:$A$18,0),MATCH($A8,PhanCong!$B$2:$J$2,0))),""))</f>
        <v/>
      </c>
      <c r="F8" s="30" t="str">
        <f>IF(TKB_Nhap!F8="","",IFERROR(T(INDEX(PhanCong!$B$3:$J$18,MATCH(TKB_Nhap!F8,PhanCong!$A$3:$A$18,0),MATCH($A8,PhanCong!$B$2:$J$2,0))),""))</f>
        <v/>
      </c>
      <c r="G8" s="30" t="str">
        <f>IF(TKB_Nhap!G8="","",IFERROR(T(INDEX(PhanCong!$B$3:$J$18,MATCH(TKB_Nhap!G8,PhanCong!$A$3:$A$18,0),MATCH($A8,PhanCong!$B$2:$J$2,0))),""))</f>
        <v/>
      </c>
      <c r="H8" s="30" t="str">
        <f>IF(TKB_Nhap!H8="","",IFERROR(T(INDEX(PhanCong!$B$3:$J$18,MATCH(TKB_Nhap!H8,PhanCong!$A$3:$A$18,0),MATCH($A8,PhanCong!$B$2:$J$2,0))),""))</f>
        <v/>
      </c>
      <c r="I8" s="30" t="str">
        <f>IF(TKB_Nhap!I8="","",IFERROR(T(INDEX(PhanCong!$B$3:$J$18,MATCH(TKB_Nhap!I8,PhanCong!$A$3:$A$18,0),MATCH($A8,PhanCong!$B$2:$J$2,0))),""))</f>
        <v/>
      </c>
      <c r="J8" s="30" t="str">
        <f>IF(TKB_Nhap!J8="","",IFERROR(T(INDEX(PhanCong!$B$3:$J$18,MATCH(TKB_Nhap!J8,PhanCong!$A$3:$A$18,0),MATCH($A8,PhanCong!$B$2:$J$2,0))),""))</f>
        <v/>
      </c>
      <c r="L8" s="39">
        <f t="shared" si="0"/>
        <v>0</v>
      </c>
      <c r="M8" s="39">
        <f t="shared" si="1"/>
        <v>0</v>
      </c>
      <c r="N8" s="39">
        <f t="shared" si="2"/>
        <v>0</v>
      </c>
      <c r="O8" s="39">
        <f t="shared" si="3"/>
        <v>0</v>
      </c>
      <c r="P8" s="39">
        <f t="shared" si="4"/>
        <v>0</v>
      </c>
      <c r="Q8" s="39">
        <f t="shared" si="5"/>
        <v>0</v>
      </c>
      <c r="R8" s="39">
        <f t="shared" si="6"/>
        <v>0</v>
      </c>
    </row>
    <row r="9" spans="1:18" ht="15" customHeight="1" x14ac:dyDescent="0.25">
      <c r="A9" s="30" t="str">
        <f>TKB_Nhap!A9</f>
        <v>6A</v>
      </c>
      <c r="B9" s="30" t="str">
        <f>TKB_Nhap!B9</f>
        <v>C</v>
      </c>
      <c r="C9" s="30" t="str">
        <f>TKB_Nhap!C9</f>
        <v>3</v>
      </c>
      <c r="D9" s="30" t="str">
        <f>IF(TKB_Nhap!D9="","",IFERROR(T(INDEX(PhanCong!$B$3:$J$18,MATCH(TKB_Nhap!D9,PhanCong!$A$3:$A$18,0),MATCH($A9,PhanCong!$B$2:$J$2,0))),""))</f>
        <v/>
      </c>
      <c r="E9" s="30" t="str">
        <f>IF(TKB_Nhap!E9="","",IFERROR(T(INDEX(PhanCong!$B$3:$J$18,MATCH(TKB_Nhap!E9,PhanCong!$A$3:$A$18,0),MATCH($A9,PhanCong!$B$2:$J$2,0))),""))</f>
        <v/>
      </c>
      <c r="F9" s="30" t="str">
        <f>IF(TKB_Nhap!F9="","",IFERROR(T(INDEX(PhanCong!$B$3:$J$18,MATCH(TKB_Nhap!F9,PhanCong!$A$3:$A$18,0),MATCH($A9,PhanCong!$B$2:$J$2,0))),""))</f>
        <v/>
      </c>
      <c r="G9" s="30" t="str">
        <f>IF(TKB_Nhap!G9="","",IFERROR(T(INDEX(PhanCong!$B$3:$J$18,MATCH(TKB_Nhap!G9,PhanCong!$A$3:$A$18,0),MATCH($A9,PhanCong!$B$2:$J$2,0))),""))</f>
        <v/>
      </c>
      <c r="H9" s="30" t="str">
        <f>IF(TKB_Nhap!H9="","",IFERROR(T(INDEX(PhanCong!$B$3:$J$18,MATCH(TKB_Nhap!H9,PhanCong!$A$3:$A$18,0),MATCH($A9,PhanCong!$B$2:$J$2,0))),""))</f>
        <v/>
      </c>
      <c r="I9" s="30" t="str">
        <f>IF(TKB_Nhap!I9="","",IFERROR(T(INDEX(PhanCong!$B$3:$J$18,MATCH(TKB_Nhap!I9,PhanCong!$A$3:$A$18,0),MATCH($A9,PhanCong!$B$2:$J$2,0))),""))</f>
        <v/>
      </c>
      <c r="J9" s="30" t="str">
        <f>IF(TKB_Nhap!J9="","",IFERROR(T(INDEX(PhanCong!$B$3:$J$18,MATCH(TKB_Nhap!J9,PhanCong!$A$3:$A$18,0),MATCH($A9,PhanCong!$B$2:$J$2,0))),""))</f>
        <v/>
      </c>
      <c r="L9" s="39">
        <f t="shared" si="0"/>
        <v>0</v>
      </c>
      <c r="M9" s="39">
        <f t="shared" si="1"/>
        <v>0</v>
      </c>
      <c r="N9" s="39">
        <f t="shared" si="2"/>
        <v>0</v>
      </c>
      <c r="O9" s="39">
        <f t="shared" si="3"/>
        <v>0</v>
      </c>
      <c r="P9" s="39">
        <f t="shared" si="4"/>
        <v>0</v>
      </c>
      <c r="Q9" s="39">
        <f t="shared" si="5"/>
        <v>0</v>
      </c>
      <c r="R9" s="39">
        <f t="shared" si="6"/>
        <v>0</v>
      </c>
    </row>
    <row r="10" spans="1:18" ht="15" customHeight="1" x14ac:dyDescent="0.25">
      <c r="A10" s="36" t="str">
        <f>TKB_Nhap!A10</f>
        <v>6B</v>
      </c>
      <c r="B10" s="36" t="str">
        <f>TKB_Nhap!B10</f>
        <v>S</v>
      </c>
      <c r="C10" s="36" t="str">
        <f>TKB_Nhap!C10</f>
        <v>1</v>
      </c>
      <c r="D10" s="36" t="str">
        <f>IF(TKB_Nhap!D10="","",IFERROR(T(INDEX(PhanCong!$B$3:$J$18,MATCH(TKB_Nhap!D10,PhanCong!$A$3:$A$18,0),MATCH($A10,PhanCong!$B$2:$J$2,0))),""))</f>
        <v>Nhung</v>
      </c>
      <c r="E10" s="36" t="str">
        <f>IF(TKB_Nhap!E10="","",IFERROR(T(INDEX(PhanCong!$B$3:$J$18,MATCH(TKB_Nhap!E10,PhanCong!$A$3:$A$18,0),MATCH($A10,PhanCong!$B$2:$J$2,0))),""))</f>
        <v>GVHĐ 1</v>
      </c>
      <c r="F10" s="36" t="str">
        <f>IF(TKB_Nhap!F10="","",IFERROR(T(INDEX(PhanCong!$B$3:$J$18,MATCH(TKB_Nhap!F10,PhanCong!$A$3:$A$18,0),MATCH($A10,PhanCong!$B$2:$J$2,0))),""))</f>
        <v>Lệ</v>
      </c>
      <c r="G10" s="36" t="str">
        <f>IF(TKB_Nhap!G10="","",IFERROR(T(INDEX(PhanCong!$B$3:$J$18,MATCH(TKB_Nhap!G10,PhanCong!$A$3:$A$18,0),MATCH($A10,PhanCong!$B$2:$J$2,0))),""))</f>
        <v>GVHĐ 1</v>
      </c>
      <c r="H10" s="36" t="str">
        <f>IF(TKB_Nhap!H10="","",IFERROR(T(INDEX(PhanCong!$B$3:$J$18,MATCH(TKB_Nhap!H10,PhanCong!$A$3:$A$18,0),MATCH($A10,PhanCong!$B$2:$J$2,0))),""))</f>
        <v>Nhung</v>
      </c>
      <c r="I10" s="36" t="str">
        <f>IF(TKB_Nhap!I10="","",IFERROR(T(INDEX(PhanCong!$B$3:$J$18,MATCH(TKB_Nhap!I10,PhanCong!$A$3:$A$18,0),MATCH($A10,PhanCong!$B$2:$J$2,0))),""))</f>
        <v>GVHĐ 1</v>
      </c>
      <c r="J10" s="36" t="str">
        <f>IF(TKB_Nhap!J10="","",IFERROR(T(INDEX(PhanCong!$B$3:$J$18,MATCH(TKB_Nhap!J10,PhanCong!$A$3:$A$18,0),MATCH($A10,PhanCong!$B$2:$J$2,0))),""))</f>
        <v/>
      </c>
      <c r="L10" s="39">
        <f t="shared" si="0"/>
        <v>0</v>
      </c>
      <c r="M10" s="39">
        <f t="shared" si="1"/>
        <v>0</v>
      </c>
      <c r="N10" s="39">
        <f t="shared" si="2"/>
        <v>0</v>
      </c>
      <c r="O10" s="39">
        <f t="shared" si="3"/>
        <v>0</v>
      </c>
      <c r="P10" s="39">
        <f t="shared" si="4"/>
        <v>0</v>
      </c>
      <c r="Q10" s="39">
        <f t="shared" si="5"/>
        <v>0</v>
      </c>
      <c r="R10" s="39">
        <f t="shared" si="6"/>
        <v>0</v>
      </c>
    </row>
    <row r="11" spans="1:18" ht="15" customHeight="1" x14ac:dyDescent="0.25">
      <c r="A11" s="36" t="str">
        <f>TKB_Nhap!A11</f>
        <v>6B</v>
      </c>
      <c r="B11" s="36" t="str">
        <f>TKB_Nhap!B11</f>
        <v>S</v>
      </c>
      <c r="C11" s="36" t="str">
        <f>TKB_Nhap!C11</f>
        <v>2</v>
      </c>
      <c r="D11" s="36" t="str">
        <f>IF(TKB_Nhap!D11="","",IFERROR(T(INDEX(PhanCong!$B$3:$J$18,MATCH(TKB_Nhap!D11,PhanCong!$A$3:$A$18,0),MATCH($A11,PhanCong!$B$2:$J$2,0))),""))</f>
        <v>Nhung</v>
      </c>
      <c r="E11" s="36" t="str">
        <f>IF(TKB_Nhap!E11="","",IFERROR(T(INDEX(PhanCong!$B$3:$J$18,MATCH(TKB_Nhap!E11,PhanCong!$A$3:$A$18,0),MATCH($A11,PhanCong!$B$2:$J$2,0))),""))</f>
        <v>GVHĐ 1</v>
      </c>
      <c r="F11" s="36" t="str">
        <f>IF(TKB_Nhap!F11="","",IFERROR(T(INDEX(PhanCong!$B$3:$J$18,MATCH(TKB_Nhap!F11,PhanCong!$A$3:$A$18,0),MATCH($A11,PhanCong!$B$2:$J$2,0))),""))</f>
        <v>GVHĐ 1</v>
      </c>
      <c r="G11" s="36" t="str">
        <f>IF(TKB_Nhap!G11="","",IFERROR(T(INDEX(PhanCong!$B$3:$J$18,MATCH(TKB_Nhap!G11,PhanCong!$A$3:$A$18,0),MATCH($A11,PhanCong!$B$2:$J$2,0))),""))</f>
        <v>Sơn</v>
      </c>
      <c r="H11" s="36" t="str">
        <f>IF(TKB_Nhap!H11="","",IFERROR(T(INDEX(PhanCong!$B$3:$J$18,MATCH(TKB_Nhap!H11,PhanCong!$A$3:$A$18,0),MATCH($A11,PhanCong!$B$2:$J$2,0))),""))</f>
        <v>Nhung</v>
      </c>
      <c r="I11" s="36" t="str">
        <f>IF(TKB_Nhap!I11="","",IFERROR(T(INDEX(PhanCong!$B$3:$J$18,MATCH(TKB_Nhap!I11,PhanCong!$A$3:$A$18,0),MATCH($A11,PhanCong!$B$2:$J$2,0))),""))</f>
        <v>Sơn</v>
      </c>
      <c r="J11" s="36" t="str">
        <f>IF(TKB_Nhap!J11="","",IFERROR(T(INDEX(PhanCong!$B$3:$J$18,MATCH(TKB_Nhap!J11,PhanCong!$A$3:$A$18,0),MATCH($A11,PhanCong!$B$2:$J$2,0))),""))</f>
        <v/>
      </c>
      <c r="L11" s="39">
        <f t="shared" si="0"/>
        <v>0</v>
      </c>
      <c r="M11" s="39">
        <f t="shared" si="1"/>
        <v>0</v>
      </c>
      <c r="N11" s="39">
        <f t="shared" si="2"/>
        <v>0</v>
      </c>
      <c r="O11" s="39">
        <f t="shared" si="3"/>
        <v>0</v>
      </c>
      <c r="P11" s="39">
        <f t="shared" si="4"/>
        <v>0</v>
      </c>
      <c r="Q11" s="39">
        <f t="shared" si="5"/>
        <v>0</v>
      </c>
      <c r="R11" s="39">
        <f t="shared" si="6"/>
        <v>0</v>
      </c>
    </row>
    <row r="12" spans="1:18" ht="15" customHeight="1" x14ac:dyDescent="0.25">
      <c r="A12" s="36" t="str">
        <f>TKB_Nhap!A12</f>
        <v>6B</v>
      </c>
      <c r="B12" s="36" t="str">
        <f>TKB_Nhap!B12</f>
        <v>S</v>
      </c>
      <c r="C12" s="36" t="str">
        <f>TKB_Nhap!C12</f>
        <v>3</v>
      </c>
      <c r="D12" s="36" t="str">
        <f>IF(TKB_Nhap!D12="","",IFERROR(T(INDEX(PhanCong!$B$3:$J$18,MATCH(TKB_Nhap!D12,PhanCong!$A$3:$A$18,0),MATCH($A12,PhanCong!$B$2:$J$2,0))),""))</f>
        <v>Lệ</v>
      </c>
      <c r="E12" s="36" t="str">
        <f>IF(TKB_Nhap!E12="","",IFERROR(T(INDEX(PhanCong!$B$3:$J$18,MATCH(TKB_Nhap!E12,PhanCong!$A$3:$A$18,0),MATCH($A12,PhanCong!$B$2:$J$2,0))),""))</f>
        <v>Lệ</v>
      </c>
      <c r="F12" s="36" t="str">
        <f>IF(TKB_Nhap!F12="","",IFERROR(T(INDEX(PhanCong!$B$3:$J$18,MATCH(TKB_Nhap!F12,PhanCong!$A$3:$A$18,0),MATCH($A12,PhanCong!$B$2:$J$2,0))),""))</f>
        <v>Hồng</v>
      </c>
      <c r="G12" s="36" t="str">
        <f>IF(TKB_Nhap!G12="","",IFERROR(T(INDEX(PhanCong!$B$3:$J$18,MATCH(TKB_Nhap!G12,PhanCong!$A$3:$A$18,0),MATCH($A12,PhanCong!$B$2:$J$2,0))),""))</f>
        <v>Trung</v>
      </c>
      <c r="H12" s="36" t="str">
        <f>IF(TKB_Nhap!H12="","",IFERROR(T(INDEX(PhanCong!$B$3:$J$18,MATCH(TKB_Nhap!H12,PhanCong!$A$3:$A$18,0),MATCH($A12,PhanCong!$B$2:$J$2,0))),""))</f>
        <v>GVHĐ 1</v>
      </c>
      <c r="I12" s="36" t="str">
        <f>IF(TKB_Nhap!I12="","",IFERROR(T(INDEX(PhanCong!$B$3:$J$18,MATCH(TKB_Nhap!I12,PhanCong!$A$3:$A$18,0),MATCH($A12,PhanCong!$B$2:$J$2,0))),""))</f>
        <v>Trung</v>
      </c>
      <c r="J12" s="36" t="str">
        <f>IF(TKB_Nhap!J12="","",IFERROR(T(INDEX(PhanCong!$B$3:$J$18,MATCH(TKB_Nhap!J12,PhanCong!$A$3:$A$18,0),MATCH($A12,PhanCong!$B$2:$J$2,0))),""))</f>
        <v/>
      </c>
      <c r="L12" s="39">
        <f t="shared" si="0"/>
        <v>0</v>
      </c>
      <c r="M12" s="39">
        <f t="shared" si="1"/>
        <v>0</v>
      </c>
      <c r="N12" s="39">
        <f t="shared" si="2"/>
        <v>0</v>
      </c>
      <c r="O12" s="39">
        <f t="shared" si="3"/>
        <v>0</v>
      </c>
      <c r="P12" s="39">
        <f t="shared" si="4"/>
        <v>0</v>
      </c>
      <c r="Q12" s="39">
        <f t="shared" si="5"/>
        <v>0</v>
      </c>
      <c r="R12" s="39">
        <f t="shared" si="6"/>
        <v>0</v>
      </c>
    </row>
    <row r="13" spans="1:18" ht="15" customHeight="1" x14ac:dyDescent="0.25">
      <c r="A13" s="36" t="str">
        <f>TKB_Nhap!A13</f>
        <v>6B</v>
      </c>
      <c r="B13" s="36" t="str">
        <f>TKB_Nhap!B13</f>
        <v>S</v>
      </c>
      <c r="C13" s="36" t="str">
        <f>TKB_Nhap!C13</f>
        <v>4</v>
      </c>
      <c r="D13" s="36" t="str">
        <f>IF(TKB_Nhap!D13="","",IFERROR(T(INDEX(PhanCong!$B$3:$J$18,MATCH(TKB_Nhap!D13,PhanCong!$A$3:$A$18,0),MATCH($A13,PhanCong!$B$2:$J$2,0))),""))</f>
        <v>Trung</v>
      </c>
      <c r="E13" s="36" t="str">
        <f>IF(TKB_Nhap!E13="","",IFERROR(T(INDEX(PhanCong!$B$3:$J$18,MATCH(TKB_Nhap!E13,PhanCong!$A$3:$A$18,0),MATCH($A13,PhanCong!$B$2:$J$2,0))),""))</f>
        <v>Lan Ly</v>
      </c>
      <c r="F13" s="36" t="str">
        <f>IF(TKB_Nhap!F13="","",IFERROR(T(INDEX(PhanCong!$B$3:$J$18,MATCH(TKB_Nhap!F13,PhanCong!$A$3:$A$18,0),MATCH($A13,PhanCong!$B$2:$J$2,0))),""))</f>
        <v>Sơn</v>
      </c>
      <c r="G13" s="36" t="str">
        <f>IF(TKB_Nhap!G13="","",IFERROR(T(INDEX(PhanCong!$B$3:$J$18,MATCH(TKB_Nhap!G13,PhanCong!$A$3:$A$18,0),MATCH($A13,PhanCong!$B$2:$J$2,0))),""))</f>
        <v>Hồng</v>
      </c>
      <c r="H13" s="36" t="str">
        <f>IF(TKB_Nhap!H13="","",IFERROR(T(INDEX(PhanCong!$B$3:$J$18,MATCH(TKB_Nhap!H13,PhanCong!$A$3:$A$18,0),MATCH($A13,PhanCong!$B$2:$J$2,0))),""))</f>
        <v>Lệ</v>
      </c>
      <c r="I13" s="36" t="str">
        <f>IF(TKB_Nhap!I13="","",IFERROR(T(INDEX(PhanCong!$B$3:$J$18,MATCH(TKB_Nhap!I13,PhanCong!$A$3:$A$18,0),MATCH($A13,PhanCong!$B$2:$J$2,0))),""))</f>
        <v>Nhung</v>
      </c>
      <c r="J13" s="36" t="str">
        <f>IF(TKB_Nhap!J13="","",IFERROR(T(INDEX(PhanCong!$B$3:$J$18,MATCH(TKB_Nhap!J13,PhanCong!$A$3:$A$18,0),MATCH($A13,PhanCong!$B$2:$J$2,0))),""))</f>
        <v/>
      </c>
      <c r="L13" s="39">
        <f t="shared" si="0"/>
        <v>0</v>
      </c>
      <c r="M13" s="39">
        <f t="shared" si="1"/>
        <v>0</v>
      </c>
      <c r="N13" s="39">
        <f t="shared" si="2"/>
        <v>0</v>
      </c>
      <c r="O13" s="39">
        <f t="shared" si="3"/>
        <v>0</v>
      </c>
      <c r="P13" s="39">
        <f t="shared" si="4"/>
        <v>0</v>
      </c>
      <c r="Q13" s="39">
        <f t="shared" si="5"/>
        <v>0</v>
      </c>
      <c r="R13" s="39">
        <f t="shared" si="6"/>
        <v>0</v>
      </c>
    </row>
    <row r="14" spans="1:18" ht="15" customHeight="1" x14ac:dyDescent="0.25">
      <c r="A14" s="36" t="str">
        <f>TKB_Nhap!A14</f>
        <v>6B</v>
      </c>
      <c r="B14" s="36" t="str">
        <f>TKB_Nhap!B14</f>
        <v>S</v>
      </c>
      <c r="C14" s="36" t="str">
        <f>TKB_Nhap!C14</f>
        <v>5</v>
      </c>
      <c r="D14" s="36" t="str">
        <f>IF(TKB_Nhap!D14="","",IFERROR(T(INDEX(PhanCong!$B$3:$J$18,MATCH(TKB_Nhap!D14,PhanCong!$A$3:$A$18,0),MATCH($A14,PhanCong!$B$2:$J$2,0))),""))</f>
        <v>Sơn</v>
      </c>
      <c r="E14" s="36" t="str">
        <f>IF(TKB_Nhap!E14="","",IFERROR(T(INDEX(PhanCong!$B$3:$J$18,MATCH(TKB_Nhap!E14,PhanCong!$A$3:$A$18,0),MATCH($A14,PhanCong!$B$2:$J$2,0))),""))</f>
        <v/>
      </c>
      <c r="F14" s="36" t="str">
        <f>IF(TKB_Nhap!F14="","",IFERROR(T(INDEX(PhanCong!$B$3:$J$18,MATCH(TKB_Nhap!F14,PhanCong!$A$3:$A$18,0),MATCH($A14,PhanCong!$B$2:$J$2,0))),""))</f>
        <v>Lan</v>
      </c>
      <c r="G14" s="36" t="str">
        <f>IF(TKB_Nhap!G14="","",IFERROR(T(INDEX(PhanCong!$B$3:$J$18,MATCH(TKB_Nhap!G14,PhanCong!$A$3:$A$18,0),MATCH($A14,PhanCong!$B$2:$J$2,0))),""))</f>
        <v>Lan</v>
      </c>
      <c r="H14" s="36" t="str">
        <f>IF(TKB_Nhap!H14="","",IFERROR(T(INDEX(PhanCong!$B$3:$J$18,MATCH(TKB_Nhap!H14,PhanCong!$A$3:$A$18,0),MATCH($A14,PhanCong!$B$2:$J$2,0))),""))</f>
        <v>Hoà</v>
      </c>
      <c r="I14" s="36" t="str">
        <f>IF(TKB_Nhap!I14="","",IFERROR(T(INDEX(PhanCong!$B$3:$J$18,MATCH(TKB_Nhap!I14,PhanCong!$A$3:$A$18,0),MATCH($A14,PhanCong!$B$2:$J$2,0))),""))</f>
        <v>Nhung</v>
      </c>
      <c r="J14" s="36" t="str">
        <f>IF(TKB_Nhap!J14="","",IFERROR(T(INDEX(PhanCong!$B$3:$J$18,MATCH(TKB_Nhap!J14,PhanCong!$A$3:$A$18,0),MATCH($A14,PhanCong!$B$2:$J$2,0))),""))</f>
        <v/>
      </c>
      <c r="L14" s="39">
        <f t="shared" si="0"/>
        <v>0</v>
      </c>
      <c r="M14" s="39">
        <f t="shared" si="1"/>
        <v>0</v>
      </c>
      <c r="N14" s="39">
        <f t="shared" si="2"/>
        <v>0</v>
      </c>
      <c r="O14" s="39">
        <f t="shared" si="3"/>
        <v>0</v>
      </c>
      <c r="P14" s="39">
        <f t="shared" si="4"/>
        <v>0</v>
      </c>
      <c r="Q14" s="39">
        <f t="shared" si="5"/>
        <v>0</v>
      </c>
      <c r="R14" s="39">
        <f t="shared" si="6"/>
        <v>0</v>
      </c>
    </row>
    <row r="15" spans="1:18" ht="15" customHeight="1" x14ac:dyDescent="0.25">
      <c r="A15" s="36" t="str">
        <f>TKB_Nhap!A15</f>
        <v>6B</v>
      </c>
      <c r="B15" s="36" t="str">
        <f>TKB_Nhap!B15</f>
        <v>C</v>
      </c>
      <c r="C15" s="36" t="str">
        <f>TKB_Nhap!C15</f>
        <v>1</v>
      </c>
      <c r="D15" s="36" t="str">
        <f>IF(TKB_Nhap!D15="","",IFERROR(T(INDEX(PhanCong!$B$3:$J$18,MATCH(TKB_Nhap!D15,PhanCong!$A$3:$A$18,0),MATCH($A15,PhanCong!$B$2:$J$2,0))),""))</f>
        <v/>
      </c>
      <c r="E15" s="36" t="str">
        <f>IF(TKB_Nhap!E15="","",IFERROR(T(INDEX(PhanCong!$B$3:$J$18,MATCH(TKB_Nhap!E15,PhanCong!$A$3:$A$18,0),MATCH($A15,PhanCong!$B$2:$J$2,0))),""))</f>
        <v/>
      </c>
      <c r="F15" s="36" t="str">
        <f>IF(TKB_Nhap!F15="","",IFERROR(T(INDEX(PhanCong!$B$3:$J$18,MATCH(TKB_Nhap!F15,PhanCong!$A$3:$A$18,0),MATCH($A15,PhanCong!$B$2:$J$2,0))),""))</f>
        <v/>
      </c>
      <c r="G15" s="36" t="str">
        <f>IF(TKB_Nhap!G15="","",IFERROR(T(INDEX(PhanCong!$B$3:$J$18,MATCH(TKB_Nhap!G15,PhanCong!$A$3:$A$18,0),MATCH($A15,PhanCong!$B$2:$J$2,0))),""))</f>
        <v/>
      </c>
      <c r="H15" s="36" t="str">
        <f>IF(TKB_Nhap!H15="","",IFERROR(T(INDEX(PhanCong!$B$3:$J$18,MATCH(TKB_Nhap!H15,PhanCong!$A$3:$A$18,0),MATCH($A15,PhanCong!$B$2:$J$2,0))),""))</f>
        <v/>
      </c>
      <c r="I15" s="36" t="str">
        <f>IF(TKB_Nhap!I15="","",IFERROR(T(INDEX(PhanCong!$B$3:$J$18,MATCH(TKB_Nhap!I15,PhanCong!$A$3:$A$18,0),MATCH($A15,PhanCong!$B$2:$J$2,0))),""))</f>
        <v/>
      </c>
      <c r="J15" s="36" t="str">
        <f>IF(TKB_Nhap!J15="","",IFERROR(T(INDEX(PhanCong!$B$3:$J$18,MATCH(TKB_Nhap!J15,PhanCong!$A$3:$A$18,0),MATCH($A15,PhanCong!$B$2:$J$2,0))),""))</f>
        <v/>
      </c>
      <c r="L15" s="39">
        <f t="shared" si="0"/>
        <v>0</v>
      </c>
      <c r="M15" s="39">
        <f t="shared" si="1"/>
        <v>0</v>
      </c>
      <c r="N15" s="39">
        <f t="shared" si="2"/>
        <v>0</v>
      </c>
      <c r="O15" s="39">
        <f t="shared" si="3"/>
        <v>0</v>
      </c>
      <c r="P15" s="39">
        <f t="shared" si="4"/>
        <v>0</v>
      </c>
      <c r="Q15" s="39">
        <f t="shared" si="5"/>
        <v>0</v>
      </c>
      <c r="R15" s="39">
        <f t="shared" si="6"/>
        <v>0</v>
      </c>
    </row>
    <row r="16" spans="1:18" ht="15" customHeight="1" x14ac:dyDescent="0.25">
      <c r="A16" s="36" t="str">
        <f>TKB_Nhap!A16</f>
        <v>6B</v>
      </c>
      <c r="B16" s="36" t="str">
        <f>TKB_Nhap!B16</f>
        <v>C</v>
      </c>
      <c r="C16" s="36" t="str">
        <f>TKB_Nhap!C16</f>
        <v>2</v>
      </c>
      <c r="D16" s="36" t="str">
        <f>IF(TKB_Nhap!D16="","",IFERROR(T(INDEX(PhanCong!$B$3:$J$18,MATCH(TKB_Nhap!D16,PhanCong!$A$3:$A$18,0),MATCH($A16,PhanCong!$B$2:$J$2,0))),""))</f>
        <v/>
      </c>
      <c r="E16" s="36" t="str">
        <f>IF(TKB_Nhap!E16="","",IFERROR(T(INDEX(PhanCong!$B$3:$J$18,MATCH(TKB_Nhap!E16,PhanCong!$A$3:$A$18,0),MATCH($A16,PhanCong!$B$2:$J$2,0))),""))</f>
        <v/>
      </c>
      <c r="F16" s="36" t="str">
        <f>IF(TKB_Nhap!F16="","",IFERROR(T(INDEX(PhanCong!$B$3:$J$18,MATCH(TKB_Nhap!F16,PhanCong!$A$3:$A$18,0),MATCH($A16,PhanCong!$B$2:$J$2,0))),""))</f>
        <v/>
      </c>
      <c r="G16" s="36" t="str">
        <f>IF(TKB_Nhap!G16="","",IFERROR(T(INDEX(PhanCong!$B$3:$J$18,MATCH(TKB_Nhap!G16,PhanCong!$A$3:$A$18,0),MATCH($A16,PhanCong!$B$2:$J$2,0))),""))</f>
        <v/>
      </c>
      <c r="H16" s="36" t="str">
        <f>IF(TKB_Nhap!H16="","",IFERROR(T(INDEX(PhanCong!$B$3:$J$18,MATCH(TKB_Nhap!H16,PhanCong!$A$3:$A$18,0),MATCH($A16,PhanCong!$B$2:$J$2,0))),""))</f>
        <v/>
      </c>
      <c r="I16" s="36" t="str">
        <f>IF(TKB_Nhap!I16="","",IFERROR(T(INDEX(PhanCong!$B$3:$J$18,MATCH(TKB_Nhap!I16,PhanCong!$A$3:$A$18,0),MATCH($A16,PhanCong!$B$2:$J$2,0))),""))</f>
        <v/>
      </c>
      <c r="J16" s="36" t="str">
        <f>IF(TKB_Nhap!J16="","",IFERROR(T(INDEX(PhanCong!$B$3:$J$18,MATCH(TKB_Nhap!J16,PhanCong!$A$3:$A$18,0),MATCH($A16,PhanCong!$B$2:$J$2,0))),""))</f>
        <v/>
      </c>
      <c r="L16" s="39">
        <f t="shared" si="0"/>
        <v>0</v>
      </c>
      <c r="M16" s="39">
        <f t="shared" si="1"/>
        <v>0</v>
      </c>
      <c r="N16" s="39">
        <f t="shared" si="2"/>
        <v>0</v>
      </c>
      <c r="O16" s="39">
        <f t="shared" si="3"/>
        <v>0</v>
      </c>
      <c r="P16" s="39">
        <f t="shared" si="4"/>
        <v>0</v>
      </c>
      <c r="Q16" s="39">
        <f t="shared" si="5"/>
        <v>0</v>
      </c>
      <c r="R16" s="39">
        <f t="shared" si="6"/>
        <v>0</v>
      </c>
    </row>
    <row r="17" spans="1:18" ht="15" customHeight="1" x14ac:dyDescent="0.25">
      <c r="A17" s="36" t="str">
        <f>TKB_Nhap!A17</f>
        <v>6B</v>
      </c>
      <c r="B17" s="36" t="str">
        <f>TKB_Nhap!B17</f>
        <v>C</v>
      </c>
      <c r="C17" s="36" t="str">
        <f>TKB_Nhap!C17</f>
        <v>3</v>
      </c>
      <c r="D17" s="36" t="str">
        <f>IF(TKB_Nhap!D17="","",IFERROR(T(INDEX(PhanCong!$B$3:$J$18,MATCH(TKB_Nhap!D17,PhanCong!$A$3:$A$18,0),MATCH($A17,PhanCong!$B$2:$J$2,0))),""))</f>
        <v/>
      </c>
      <c r="E17" s="36" t="str">
        <f>IF(TKB_Nhap!E17="","",IFERROR(T(INDEX(PhanCong!$B$3:$J$18,MATCH(TKB_Nhap!E17,PhanCong!$A$3:$A$18,0),MATCH($A17,PhanCong!$B$2:$J$2,0))),""))</f>
        <v/>
      </c>
      <c r="F17" s="36" t="str">
        <f>IF(TKB_Nhap!F17="","",IFERROR(T(INDEX(PhanCong!$B$3:$J$18,MATCH(TKB_Nhap!F17,PhanCong!$A$3:$A$18,0),MATCH($A17,PhanCong!$B$2:$J$2,0))),""))</f>
        <v/>
      </c>
      <c r="G17" s="36" t="str">
        <f>IF(TKB_Nhap!G17="","",IFERROR(T(INDEX(PhanCong!$B$3:$J$18,MATCH(TKB_Nhap!G17,PhanCong!$A$3:$A$18,0),MATCH($A17,PhanCong!$B$2:$J$2,0))),""))</f>
        <v/>
      </c>
      <c r="H17" s="36" t="str">
        <f>IF(TKB_Nhap!H17="","",IFERROR(T(INDEX(PhanCong!$B$3:$J$18,MATCH(TKB_Nhap!H17,PhanCong!$A$3:$A$18,0),MATCH($A17,PhanCong!$B$2:$J$2,0))),""))</f>
        <v/>
      </c>
      <c r="I17" s="36" t="str">
        <f>IF(TKB_Nhap!I17="","",IFERROR(T(INDEX(PhanCong!$B$3:$J$18,MATCH(TKB_Nhap!I17,PhanCong!$A$3:$A$18,0),MATCH($A17,PhanCong!$B$2:$J$2,0))),""))</f>
        <v/>
      </c>
      <c r="J17" s="36" t="str">
        <f>IF(TKB_Nhap!J17="","",IFERROR(T(INDEX(PhanCong!$B$3:$J$18,MATCH(TKB_Nhap!J17,PhanCong!$A$3:$A$18,0),MATCH($A17,PhanCong!$B$2:$J$2,0))),""))</f>
        <v/>
      </c>
      <c r="L17" s="39">
        <f t="shared" si="0"/>
        <v>0</v>
      </c>
      <c r="M17" s="39">
        <f t="shared" si="1"/>
        <v>0</v>
      </c>
      <c r="N17" s="39">
        <f t="shared" si="2"/>
        <v>0</v>
      </c>
      <c r="O17" s="39">
        <f t="shared" si="3"/>
        <v>0</v>
      </c>
      <c r="P17" s="39">
        <f t="shared" si="4"/>
        <v>0</v>
      </c>
      <c r="Q17" s="39">
        <f t="shared" si="5"/>
        <v>0</v>
      </c>
      <c r="R17" s="39">
        <f t="shared" si="6"/>
        <v>0</v>
      </c>
    </row>
    <row r="18" spans="1:18" ht="15" customHeight="1" x14ac:dyDescent="0.25">
      <c r="A18" s="30" t="str">
        <f>TKB_Nhap!A18</f>
        <v>6C</v>
      </c>
      <c r="B18" s="30" t="str">
        <f>TKB_Nhap!B18</f>
        <v>S</v>
      </c>
      <c r="C18" s="30" t="str">
        <f>TKB_Nhap!C18</f>
        <v>1</v>
      </c>
      <c r="D18" s="30" t="str">
        <f>IF(TKB_Nhap!D18="","",IFERROR(T(INDEX(PhanCong!$B$3:$J$18,MATCH(TKB_Nhap!D18,PhanCong!$A$3:$A$18,0),MATCH($A18,PhanCong!$B$2:$J$2,0))),""))</f>
        <v>Uyên</v>
      </c>
      <c r="E18" s="30" t="str">
        <f>IF(TKB_Nhap!E18="","",IFERROR(T(INDEX(PhanCong!$B$3:$J$18,MATCH(TKB_Nhap!E18,PhanCong!$A$3:$A$18,0),MATCH($A18,PhanCong!$B$2:$J$2,0))),""))</f>
        <v>Nhung</v>
      </c>
      <c r="F18" s="30" t="str">
        <f>IF(TKB_Nhap!F18="","",IFERROR(T(INDEX(PhanCong!$B$3:$J$18,MATCH(TKB_Nhap!F18,PhanCong!$A$3:$A$18,0),MATCH($A18,PhanCong!$B$2:$J$2,0))),""))</f>
        <v>GVHĐ 1</v>
      </c>
      <c r="G18" s="30" t="str">
        <f>IF(TKB_Nhap!G18="","",IFERROR(T(INDEX(PhanCong!$B$3:$J$18,MATCH(TKB_Nhap!G18,PhanCong!$A$3:$A$18,0),MATCH($A18,PhanCong!$B$2:$J$2,0))),""))</f>
        <v>Uyên</v>
      </c>
      <c r="H18" s="30" t="str">
        <f>IF(TKB_Nhap!H18="","",IFERROR(T(INDEX(PhanCong!$B$3:$J$18,MATCH(TKB_Nhap!H18,PhanCong!$A$3:$A$18,0),MATCH($A18,PhanCong!$B$2:$J$2,0))),""))</f>
        <v>Trung</v>
      </c>
      <c r="I18" s="30" t="str">
        <f>IF(TKB_Nhap!I18="","",IFERROR(T(INDEX(PhanCong!$B$3:$J$18,MATCH(TKB_Nhap!I18,PhanCong!$A$3:$A$18,0),MATCH($A18,PhanCong!$B$2:$J$2,0))),""))</f>
        <v>Sơn</v>
      </c>
      <c r="J18" s="30" t="str">
        <f>IF(TKB_Nhap!J18="","",IFERROR(T(INDEX(PhanCong!$B$3:$J$18,MATCH(TKB_Nhap!J18,PhanCong!$A$3:$A$18,0),MATCH($A18,PhanCong!$B$2:$J$2,0))),""))</f>
        <v/>
      </c>
      <c r="L18" s="39">
        <f t="shared" si="0"/>
        <v>0</v>
      </c>
      <c r="M18" s="39">
        <f t="shared" si="1"/>
        <v>0</v>
      </c>
      <c r="N18" s="39">
        <f t="shared" si="2"/>
        <v>0</v>
      </c>
      <c r="O18" s="39">
        <f t="shared" si="3"/>
        <v>0</v>
      </c>
      <c r="P18" s="39">
        <f t="shared" si="4"/>
        <v>0</v>
      </c>
      <c r="Q18" s="39">
        <f t="shared" si="5"/>
        <v>0</v>
      </c>
      <c r="R18" s="39">
        <f t="shared" si="6"/>
        <v>0</v>
      </c>
    </row>
    <row r="19" spans="1:18" ht="15" customHeight="1" x14ac:dyDescent="0.25">
      <c r="A19" s="30" t="str">
        <f>TKB_Nhap!A19</f>
        <v>6C</v>
      </c>
      <c r="B19" s="30" t="str">
        <f>TKB_Nhap!B19</f>
        <v>S</v>
      </c>
      <c r="C19" s="30" t="str">
        <f>TKB_Nhap!C19</f>
        <v>2</v>
      </c>
      <c r="D19" s="30" t="str">
        <f>IF(TKB_Nhap!D19="","",IFERROR(T(INDEX(PhanCong!$B$3:$J$18,MATCH(TKB_Nhap!D19,PhanCong!$A$3:$A$18,0),MATCH($A19,PhanCong!$B$2:$J$2,0))),""))</f>
        <v>Lệ</v>
      </c>
      <c r="E19" s="30" t="str">
        <f>IF(TKB_Nhap!E19="","",IFERROR(T(INDEX(PhanCong!$B$3:$J$18,MATCH(TKB_Nhap!E19,PhanCong!$A$3:$A$18,0),MATCH($A19,PhanCong!$B$2:$J$2,0))),""))</f>
        <v>Lan Ly</v>
      </c>
      <c r="F19" s="30" t="str">
        <f>IF(TKB_Nhap!F19="","",IFERROR(T(INDEX(PhanCong!$B$3:$J$18,MATCH(TKB_Nhap!F19,PhanCong!$A$3:$A$18,0),MATCH($A19,PhanCong!$B$2:$J$2,0))),""))</f>
        <v>Hồng</v>
      </c>
      <c r="G19" s="30" t="str">
        <f>IF(TKB_Nhap!G19="","",IFERROR(T(INDEX(PhanCong!$B$3:$J$18,MATCH(TKB_Nhap!G19,PhanCong!$A$3:$A$18,0),MATCH($A19,PhanCong!$B$2:$J$2,0))),""))</f>
        <v>GVHĐ 1</v>
      </c>
      <c r="H19" s="30" t="str">
        <f>IF(TKB_Nhap!H19="","",IFERROR(T(INDEX(PhanCong!$B$3:$J$18,MATCH(TKB_Nhap!H19,PhanCong!$A$3:$A$18,0),MATCH($A19,PhanCong!$B$2:$J$2,0))),""))</f>
        <v>Sơn</v>
      </c>
      <c r="I19" s="30" t="str">
        <f>IF(TKB_Nhap!I19="","",IFERROR(T(INDEX(PhanCong!$B$3:$J$18,MATCH(TKB_Nhap!I19,PhanCong!$A$3:$A$18,0),MATCH($A19,PhanCong!$B$2:$J$2,0))),""))</f>
        <v>GVHĐ 1</v>
      </c>
      <c r="J19" s="30" t="str">
        <f>IF(TKB_Nhap!J19="","",IFERROR(T(INDEX(PhanCong!$B$3:$J$18,MATCH(TKB_Nhap!J19,PhanCong!$A$3:$A$18,0),MATCH($A19,PhanCong!$B$2:$J$2,0))),""))</f>
        <v/>
      </c>
      <c r="L19" s="39">
        <f t="shared" si="0"/>
        <v>0</v>
      </c>
      <c r="M19" s="39">
        <f t="shared" si="1"/>
        <v>0</v>
      </c>
      <c r="N19" s="39">
        <f t="shared" si="2"/>
        <v>0</v>
      </c>
      <c r="O19" s="39">
        <f t="shared" si="3"/>
        <v>0</v>
      </c>
      <c r="P19" s="39">
        <f t="shared" si="4"/>
        <v>0</v>
      </c>
      <c r="Q19" s="39">
        <f t="shared" si="5"/>
        <v>0</v>
      </c>
      <c r="R19" s="39">
        <f t="shared" si="6"/>
        <v>0</v>
      </c>
    </row>
    <row r="20" spans="1:18" ht="15" customHeight="1" x14ac:dyDescent="0.25">
      <c r="A20" s="30" t="str">
        <f>TKB_Nhap!A20</f>
        <v>6C</v>
      </c>
      <c r="B20" s="30" t="str">
        <f>TKB_Nhap!B20</f>
        <v>S</v>
      </c>
      <c r="C20" s="30" t="str">
        <f>TKB_Nhap!C20</f>
        <v>3</v>
      </c>
      <c r="D20" s="30" t="str">
        <f>IF(TKB_Nhap!D20="","",IFERROR(T(INDEX(PhanCong!$B$3:$J$18,MATCH(TKB_Nhap!D20,PhanCong!$A$3:$A$18,0),MATCH($A20,PhanCong!$B$2:$J$2,0))),""))</f>
        <v>Trung</v>
      </c>
      <c r="E20" s="30" t="str">
        <f>IF(TKB_Nhap!E20="","",IFERROR(T(INDEX(PhanCong!$B$3:$J$18,MATCH(TKB_Nhap!E20,PhanCong!$A$3:$A$18,0),MATCH($A20,PhanCong!$B$2:$J$2,0))),""))</f>
        <v>Lan</v>
      </c>
      <c r="F20" s="30" t="str">
        <f>IF(TKB_Nhap!F20="","",IFERROR(T(INDEX(PhanCong!$B$3:$J$18,MATCH(TKB_Nhap!F20,PhanCong!$A$3:$A$18,0),MATCH($A20,PhanCong!$B$2:$J$2,0))),""))</f>
        <v>Lệ</v>
      </c>
      <c r="G20" s="30" t="str">
        <f>IF(TKB_Nhap!G20="","",IFERROR(T(INDEX(PhanCong!$B$3:$J$18,MATCH(TKB_Nhap!G20,PhanCong!$A$3:$A$18,0),MATCH($A20,PhanCong!$B$2:$J$2,0))),""))</f>
        <v>GVHĐ 1</v>
      </c>
      <c r="H20" s="30" t="str">
        <f>IF(TKB_Nhap!H20="","",IFERROR(T(INDEX(PhanCong!$B$3:$J$18,MATCH(TKB_Nhap!H20,PhanCong!$A$3:$A$18,0),MATCH($A20,PhanCong!$B$2:$J$2,0))),""))</f>
        <v>Nhung</v>
      </c>
      <c r="I20" s="30" t="str">
        <f>IF(TKB_Nhap!I20="","",IFERROR(T(INDEX(PhanCong!$B$3:$J$18,MATCH(TKB_Nhap!I20,PhanCong!$A$3:$A$18,0),MATCH($A20,PhanCong!$B$2:$J$2,0))),""))</f>
        <v>Hoà</v>
      </c>
      <c r="J20" s="30" t="str">
        <f>IF(TKB_Nhap!J20="","",IFERROR(T(INDEX(PhanCong!$B$3:$J$18,MATCH(TKB_Nhap!J20,PhanCong!$A$3:$A$18,0),MATCH($A20,PhanCong!$B$2:$J$2,0))),""))</f>
        <v/>
      </c>
      <c r="L20" s="39">
        <f t="shared" si="0"/>
        <v>0</v>
      </c>
      <c r="M20" s="39">
        <f t="shared" si="1"/>
        <v>0</v>
      </c>
      <c r="N20" s="39">
        <f t="shared" si="2"/>
        <v>0</v>
      </c>
      <c r="O20" s="39">
        <f t="shared" si="3"/>
        <v>0</v>
      </c>
      <c r="P20" s="39">
        <f t="shared" si="4"/>
        <v>0</v>
      </c>
      <c r="Q20" s="39">
        <f t="shared" si="5"/>
        <v>0</v>
      </c>
      <c r="R20" s="39">
        <f t="shared" si="6"/>
        <v>0</v>
      </c>
    </row>
    <row r="21" spans="1:18" ht="15" customHeight="1" x14ac:dyDescent="0.25">
      <c r="A21" s="30" t="str">
        <f>TKB_Nhap!A21</f>
        <v>6C</v>
      </c>
      <c r="B21" s="30" t="str">
        <f>TKB_Nhap!B21</f>
        <v>S</v>
      </c>
      <c r="C21" s="30" t="str">
        <f>TKB_Nhap!C21</f>
        <v>4</v>
      </c>
      <c r="D21" s="30" t="str">
        <f>IF(TKB_Nhap!D21="","",IFERROR(T(INDEX(PhanCong!$B$3:$J$18,MATCH(TKB_Nhap!D21,PhanCong!$A$3:$A$18,0),MATCH($A21,PhanCong!$B$2:$J$2,0))),""))</f>
        <v>Sơn</v>
      </c>
      <c r="E21" s="30" t="str">
        <f>IF(TKB_Nhap!E21="","",IFERROR(T(INDEX(PhanCong!$B$3:$J$18,MATCH(TKB_Nhap!E21,PhanCong!$A$3:$A$18,0),MATCH($A21,PhanCong!$B$2:$J$2,0))),""))</f>
        <v>Lệ</v>
      </c>
      <c r="F21" s="30" t="str">
        <f>IF(TKB_Nhap!F21="","",IFERROR(T(INDEX(PhanCong!$B$3:$J$18,MATCH(TKB_Nhap!F21,PhanCong!$A$3:$A$18,0),MATCH($A21,PhanCong!$B$2:$J$2,0))),""))</f>
        <v>Lan</v>
      </c>
      <c r="G21" s="30" t="str">
        <f>IF(TKB_Nhap!G21="","",IFERROR(T(INDEX(PhanCong!$B$3:$J$18,MATCH(TKB_Nhap!G21,PhanCong!$A$3:$A$18,0),MATCH($A21,PhanCong!$B$2:$J$2,0))),""))</f>
        <v>GVHĐ 1</v>
      </c>
      <c r="H21" s="30" t="str">
        <f>IF(TKB_Nhap!H21="","",IFERROR(T(INDEX(PhanCong!$B$3:$J$18,MATCH(TKB_Nhap!H21,PhanCong!$A$3:$A$18,0),MATCH($A21,PhanCong!$B$2:$J$2,0))),""))</f>
        <v>Hồng</v>
      </c>
      <c r="I21" s="30" t="str">
        <f>IF(TKB_Nhap!I21="","",IFERROR(T(INDEX(PhanCong!$B$3:$J$18,MATCH(TKB_Nhap!I21,PhanCong!$A$3:$A$18,0),MATCH($A21,PhanCong!$B$2:$J$2,0))),""))</f>
        <v>Uyên</v>
      </c>
      <c r="J21" s="30" t="str">
        <f>IF(TKB_Nhap!J21="","",IFERROR(T(INDEX(PhanCong!$B$3:$J$18,MATCH(TKB_Nhap!J21,PhanCong!$A$3:$A$18,0),MATCH($A21,PhanCong!$B$2:$J$2,0))),""))</f>
        <v/>
      </c>
      <c r="L21" s="39">
        <f t="shared" si="0"/>
        <v>0</v>
      </c>
      <c r="M21" s="39">
        <f t="shared" si="1"/>
        <v>0</v>
      </c>
      <c r="N21" s="39">
        <f t="shared" si="2"/>
        <v>0</v>
      </c>
      <c r="O21" s="39">
        <f t="shared" si="3"/>
        <v>0</v>
      </c>
      <c r="P21" s="39">
        <f t="shared" si="4"/>
        <v>0</v>
      </c>
      <c r="Q21" s="39">
        <f t="shared" si="5"/>
        <v>0</v>
      </c>
      <c r="R21" s="39">
        <f t="shared" si="6"/>
        <v>0</v>
      </c>
    </row>
    <row r="22" spans="1:18" ht="15" customHeight="1" x14ac:dyDescent="0.25">
      <c r="A22" s="30" t="str">
        <f>TKB_Nhap!A22</f>
        <v>6C</v>
      </c>
      <c r="B22" s="30" t="str">
        <f>TKB_Nhap!B22</f>
        <v>S</v>
      </c>
      <c r="C22" s="30" t="str">
        <f>TKB_Nhap!C22</f>
        <v>5</v>
      </c>
      <c r="D22" s="30" t="str">
        <f>IF(TKB_Nhap!D22="","",IFERROR(T(INDEX(PhanCong!$B$3:$J$18,MATCH(TKB_Nhap!D22,PhanCong!$A$3:$A$18,0),MATCH($A22,PhanCong!$B$2:$J$2,0))),""))</f>
        <v>Nhung</v>
      </c>
      <c r="E22" s="30" t="str">
        <f>IF(TKB_Nhap!E22="","",IFERROR(T(INDEX(PhanCong!$B$3:$J$18,MATCH(TKB_Nhap!E22,PhanCong!$A$3:$A$18,0),MATCH($A22,PhanCong!$B$2:$J$2,0))),""))</f>
        <v>GVHĐ 1</v>
      </c>
      <c r="F22" s="30" t="str">
        <f>IF(TKB_Nhap!F22="","",IFERROR(T(INDEX(PhanCong!$B$3:$J$18,MATCH(TKB_Nhap!F22,PhanCong!$A$3:$A$18,0),MATCH($A22,PhanCong!$B$2:$J$2,0))),""))</f>
        <v>Trung</v>
      </c>
      <c r="G22" s="30" t="str">
        <f>IF(TKB_Nhap!G22="","",IFERROR(T(INDEX(PhanCong!$B$3:$J$18,MATCH(TKB_Nhap!G22,PhanCong!$A$3:$A$18,0),MATCH($A22,PhanCong!$B$2:$J$2,0))),""))</f>
        <v/>
      </c>
      <c r="H22" s="30" t="str">
        <f>IF(TKB_Nhap!H22="","",IFERROR(T(INDEX(PhanCong!$B$3:$J$18,MATCH(TKB_Nhap!H22,PhanCong!$A$3:$A$18,0),MATCH($A22,PhanCong!$B$2:$J$2,0))),""))</f>
        <v>Lệ</v>
      </c>
      <c r="I22" s="30" t="str">
        <f>IF(TKB_Nhap!I22="","",IFERROR(T(INDEX(PhanCong!$B$3:$J$18,MATCH(TKB_Nhap!I22,PhanCong!$A$3:$A$18,0),MATCH($A22,PhanCong!$B$2:$J$2,0))),""))</f>
        <v>Sơn</v>
      </c>
      <c r="J22" s="30" t="str">
        <f>IF(TKB_Nhap!J22="","",IFERROR(T(INDEX(PhanCong!$B$3:$J$18,MATCH(TKB_Nhap!J22,PhanCong!$A$3:$A$18,0),MATCH($A22,PhanCong!$B$2:$J$2,0))),""))</f>
        <v/>
      </c>
      <c r="L22" s="39">
        <f t="shared" si="0"/>
        <v>0</v>
      </c>
      <c r="M22" s="39">
        <f t="shared" si="1"/>
        <v>0</v>
      </c>
      <c r="N22" s="39">
        <f t="shared" si="2"/>
        <v>0</v>
      </c>
      <c r="O22" s="39">
        <f t="shared" si="3"/>
        <v>0</v>
      </c>
      <c r="P22" s="39">
        <f t="shared" si="4"/>
        <v>0</v>
      </c>
      <c r="Q22" s="39">
        <f t="shared" si="5"/>
        <v>0</v>
      </c>
      <c r="R22" s="39">
        <f t="shared" si="6"/>
        <v>0</v>
      </c>
    </row>
    <row r="23" spans="1:18" ht="15" customHeight="1" x14ac:dyDescent="0.25">
      <c r="A23" s="30" t="str">
        <f>TKB_Nhap!A23</f>
        <v>6C</v>
      </c>
      <c r="B23" s="30" t="str">
        <f>TKB_Nhap!B23</f>
        <v>C</v>
      </c>
      <c r="C23" s="30" t="str">
        <f>TKB_Nhap!C23</f>
        <v>1</v>
      </c>
      <c r="D23" s="30" t="str">
        <f>IF(TKB_Nhap!D23="","",IFERROR(T(INDEX(PhanCong!$B$3:$J$18,MATCH(TKB_Nhap!D23,PhanCong!$A$3:$A$18,0),MATCH($A23,PhanCong!$B$2:$J$2,0))),""))</f>
        <v/>
      </c>
      <c r="E23" s="30" t="str">
        <f>IF(TKB_Nhap!E23="","",IFERROR(T(INDEX(PhanCong!$B$3:$J$18,MATCH(TKB_Nhap!E23,PhanCong!$A$3:$A$18,0),MATCH($A23,PhanCong!$B$2:$J$2,0))),""))</f>
        <v/>
      </c>
      <c r="F23" s="30" t="str">
        <f>IF(TKB_Nhap!F23="","",IFERROR(T(INDEX(PhanCong!$B$3:$J$18,MATCH(TKB_Nhap!F23,PhanCong!$A$3:$A$18,0),MATCH($A23,PhanCong!$B$2:$J$2,0))),""))</f>
        <v/>
      </c>
      <c r="G23" s="30" t="str">
        <f>IF(TKB_Nhap!G23="","",IFERROR(T(INDEX(PhanCong!$B$3:$J$18,MATCH(TKB_Nhap!G23,PhanCong!$A$3:$A$18,0),MATCH($A23,PhanCong!$B$2:$J$2,0))),""))</f>
        <v/>
      </c>
      <c r="H23" s="30" t="str">
        <f>IF(TKB_Nhap!H23="","",IFERROR(T(INDEX(PhanCong!$B$3:$J$18,MATCH(TKB_Nhap!H23,PhanCong!$A$3:$A$18,0),MATCH($A23,PhanCong!$B$2:$J$2,0))),""))</f>
        <v/>
      </c>
      <c r="I23" s="30" t="str">
        <f>IF(TKB_Nhap!I23="","",IFERROR(T(INDEX(PhanCong!$B$3:$J$18,MATCH(TKB_Nhap!I23,PhanCong!$A$3:$A$18,0),MATCH($A23,PhanCong!$B$2:$J$2,0))),""))</f>
        <v/>
      </c>
      <c r="J23" s="30" t="str">
        <f>IF(TKB_Nhap!J23="","",IFERROR(T(INDEX(PhanCong!$B$3:$J$18,MATCH(TKB_Nhap!J23,PhanCong!$A$3:$A$18,0),MATCH($A23,PhanCong!$B$2:$J$2,0))),""))</f>
        <v/>
      </c>
      <c r="L23" s="39">
        <f t="shared" si="0"/>
        <v>0</v>
      </c>
      <c r="M23" s="39">
        <f t="shared" si="1"/>
        <v>0</v>
      </c>
      <c r="N23" s="39">
        <f t="shared" si="2"/>
        <v>0</v>
      </c>
      <c r="O23" s="39">
        <f t="shared" si="3"/>
        <v>0</v>
      </c>
      <c r="P23" s="39">
        <f t="shared" si="4"/>
        <v>0</v>
      </c>
      <c r="Q23" s="39">
        <f t="shared" si="5"/>
        <v>0</v>
      </c>
      <c r="R23" s="39">
        <f t="shared" si="6"/>
        <v>0</v>
      </c>
    </row>
    <row r="24" spans="1:18" ht="15" customHeight="1" x14ac:dyDescent="0.25">
      <c r="A24" s="30" t="str">
        <f>TKB_Nhap!A24</f>
        <v>6C</v>
      </c>
      <c r="B24" s="30" t="str">
        <f>TKB_Nhap!B24</f>
        <v>C</v>
      </c>
      <c r="C24" s="30" t="str">
        <f>TKB_Nhap!C24</f>
        <v>2</v>
      </c>
      <c r="D24" s="30" t="str">
        <f>IF(TKB_Nhap!D24="","",IFERROR(T(INDEX(PhanCong!$B$3:$J$18,MATCH(TKB_Nhap!D24,PhanCong!$A$3:$A$18,0),MATCH($A24,PhanCong!$B$2:$J$2,0))),""))</f>
        <v/>
      </c>
      <c r="E24" s="30" t="str">
        <f>IF(TKB_Nhap!E24="","",IFERROR(T(INDEX(PhanCong!$B$3:$J$18,MATCH(TKB_Nhap!E24,PhanCong!$A$3:$A$18,0),MATCH($A24,PhanCong!$B$2:$J$2,0))),""))</f>
        <v/>
      </c>
      <c r="F24" s="30" t="str">
        <f>IF(TKB_Nhap!F24="","",IFERROR(T(INDEX(PhanCong!$B$3:$J$18,MATCH(TKB_Nhap!F24,PhanCong!$A$3:$A$18,0),MATCH($A24,PhanCong!$B$2:$J$2,0))),""))</f>
        <v/>
      </c>
      <c r="G24" s="30" t="str">
        <f>IF(TKB_Nhap!G24="","",IFERROR(T(INDEX(PhanCong!$B$3:$J$18,MATCH(TKB_Nhap!G24,PhanCong!$A$3:$A$18,0),MATCH($A24,PhanCong!$B$2:$J$2,0))),""))</f>
        <v/>
      </c>
      <c r="H24" s="30" t="str">
        <f>IF(TKB_Nhap!H24="","",IFERROR(T(INDEX(PhanCong!$B$3:$J$18,MATCH(TKB_Nhap!H24,PhanCong!$A$3:$A$18,0),MATCH($A24,PhanCong!$B$2:$J$2,0))),""))</f>
        <v/>
      </c>
      <c r="I24" s="30" t="str">
        <f>IF(TKB_Nhap!I24="","",IFERROR(T(INDEX(PhanCong!$B$3:$J$18,MATCH(TKB_Nhap!I24,PhanCong!$A$3:$A$18,0),MATCH($A24,PhanCong!$B$2:$J$2,0))),""))</f>
        <v/>
      </c>
      <c r="J24" s="30" t="str">
        <f>IF(TKB_Nhap!J24="","",IFERROR(T(INDEX(PhanCong!$B$3:$J$18,MATCH(TKB_Nhap!J24,PhanCong!$A$3:$A$18,0),MATCH($A24,PhanCong!$B$2:$J$2,0))),""))</f>
        <v/>
      </c>
      <c r="L24" s="39">
        <f t="shared" si="0"/>
        <v>0</v>
      </c>
      <c r="M24" s="39">
        <f t="shared" si="1"/>
        <v>0</v>
      </c>
      <c r="N24" s="39">
        <f t="shared" si="2"/>
        <v>0</v>
      </c>
      <c r="O24" s="39">
        <f t="shared" si="3"/>
        <v>0</v>
      </c>
      <c r="P24" s="39">
        <f t="shared" si="4"/>
        <v>0</v>
      </c>
      <c r="Q24" s="39">
        <f t="shared" si="5"/>
        <v>0</v>
      </c>
      <c r="R24" s="39">
        <f t="shared" si="6"/>
        <v>0</v>
      </c>
    </row>
    <row r="25" spans="1:18" ht="15" customHeight="1" x14ac:dyDescent="0.25">
      <c r="A25" s="30" t="str">
        <f>TKB_Nhap!A25</f>
        <v>6C</v>
      </c>
      <c r="B25" s="30" t="str">
        <f>TKB_Nhap!B25</f>
        <v>C</v>
      </c>
      <c r="C25" s="30" t="str">
        <f>TKB_Nhap!C25</f>
        <v>3</v>
      </c>
      <c r="D25" s="30" t="str">
        <f>IF(TKB_Nhap!D25="","",IFERROR(T(INDEX(PhanCong!$B$3:$J$18,MATCH(TKB_Nhap!D25,PhanCong!$A$3:$A$18,0),MATCH($A25,PhanCong!$B$2:$J$2,0))),""))</f>
        <v/>
      </c>
      <c r="E25" s="30" t="str">
        <f>IF(TKB_Nhap!E25="","",IFERROR(T(INDEX(PhanCong!$B$3:$J$18,MATCH(TKB_Nhap!E25,PhanCong!$A$3:$A$18,0),MATCH($A25,PhanCong!$B$2:$J$2,0))),""))</f>
        <v/>
      </c>
      <c r="F25" s="30" t="str">
        <f>IF(TKB_Nhap!F25="","",IFERROR(T(INDEX(PhanCong!$B$3:$J$18,MATCH(TKB_Nhap!F25,PhanCong!$A$3:$A$18,0),MATCH($A25,PhanCong!$B$2:$J$2,0))),""))</f>
        <v/>
      </c>
      <c r="G25" s="30" t="str">
        <f>IF(TKB_Nhap!G25="","",IFERROR(T(INDEX(PhanCong!$B$3:$J$18,MATCH(TKB_Nhap!G25,PhanCong!$A$3:$A$18,0),MATCH($A25,PhanCong!$B$2:$J$2,0))),""))</f>
        <v/>
      </c>
      <c r="H25" s="30" t="str">
        <f>IF(TKB_Nhap!H25="","",IFERROR(T(INDEX(PhanCong!$B$3:$J$18,MATCH(TKB_Nhap!H25,PhanCong!$A$3:$A$18,0),MATCH($A25,PhanCong!$B$2:$J$2,0))),""))</f>
        <v/>
      </c>
      <c r="I25" s="30" t="str">
        <f>IF(TKB_Nhap!I25="","",IFERROR(T(INDEX(PhanCong!$B$3:$J$18,MATCH(TKB_Nhap!I25,PhanCong!$A$3:$A$18,0),MATCH($A25,PhanCong!$B$2:$J$2,0))),""))</f>
        <v/>
      </c>
      <c r="J25" s="30" t="str">
        <f>IF(TKB_Nhap!J25="","",IFERROR(T(INDEX(PhanCong!$B$3:$J$18,MATCH(TKB_Nhap!J25,PhanCong!$A$3:$A$18,0),MATCH($A25,PhanCong!$B$2:$J$2,0))),""))</f>
        <v/>
      </c>
      <c r="L25" s="39">
        <f t="shared" si="0"/>
        <v>0</v>
      </c>
      <c r="M25" s="39">
        <f t="shared" si="1"/>
        <v>0</v>
      </c>
      <c r="N25" s="39">
        <f t="shared" si="2"/>
        <v>0</v>
      </c>
      <c r="O25" s="39">
        <f t="shared" si="3"/>
        <v>0</v>
      </c>
      <c r="P25" s="39">
        <f t="shared" si="4"/>
        <v>0</v>
      </c>
      <c r="Q25" s="39">
        <f t="shared" si="5"/>
        <v>0</v>
      </c>
      <c r="R25" s="39">
        <f t="shared" si="6"/>
        <v>0</v>
      </c>
    </row>
    <row r="26" spans="1:18" ht="15" customHeight="1" x14ac:dyDescent="0.25">
      <c r="A26" s="36" t="str">
        <f>TKB_Nhap!A26</f>
        <v>7A</v>
      </c>
      <c r="B26" s="36" t="str">
        <f>TKB_Nhap!B26</f>
        <v>S</v>
      </c>
      <c r="C26" s="36" t="str">
        <f>TKB_Nhap!C26</f>
        <v>1</v>
      </c>
      <c r="D26" s="36" t="str">
        <f>IF(TKB_Nhap!D26="","",IFERROR(T(INDEX(PhanCong!$B$3:$J$18,MATCH(TKB_Nhap!D26,PhanCong!$A$3:$A$18,0),MATCH($A26,PhanCong!$B$2:$J$2,0))),""))</f>
        <v>Minh Anh</v>
      </c>
      <c r="E26" s="36" t="str">
        <f>IF(TKB_Nhap!E26="","",IFERROR(T(INDEX(PhanCong!$B$3:$J$18,MATCH(TKB_Nhap!E26,PhanCong!$A$3:$A$18,0),MATCH($A26,PhanCong!$B$2:$J$2,0))),""))</f>
        <v>Minh Anh</v>
      </c>
      <c r="F26" s="36" t="str">
        <f>IF(TKB_Nhap!F26="","",IFERROR(T(INDEX(PhanCong!$B$3:$J$18,MATCH(TKB_Nhap!F26,PhanCong!$A$3:$A$18,0),MATCH($A26,PhanCong!$B$2:$J$2,0))),""))</f>
        <v>Hoà</v>
      </c>
      <c r="G26" s="36" t="str">
        <f>IF(TKB_Nhap!G26="","",IFERROR(T(INDEX(PhanCong!$B$3:$J$18,MATCH(TKB_Nhap!G26,PhanCong!$A$3:$A$18,0),MATCH($A26,PhanCong!$B$2:$J$2,0))),""))</f>
        <v>Sơn</v>
      </c>
      <c r="H26" s="36" t="str">
        <f>IF(TKB_Nhap!H26="","",IFERROR(T(INDEX(PhanCong!$B$3:$J$18,MATCH(TKB_Nhap!H26,PhanCong!$A$3:$A$18,0),MATCH($A26,PhanCong!$B$2:$J$2,0))),""))</f>
        <v>Giang</v>
      </c>
      <c r="I26" s="36" t="str">
        <f>IF(TKB_Nhap!I26="","",IFERROR(T(INDEX(PhanCong!$B$3:$J$18,MATCH(TKB_Nhap!I26,PhanCong!$A$3:$A$18,0),MATCH($A26,PhanCong!$B$2:$J$2,0))),""))</f>
        <v>Minh Anh</v>
      </c>
      <c r="J26" s="36" t="str">
        <f>IF(TKB_Nhap!J26="","",IFERROR(T(INDEX(PhanCong!$B$3:$J$18,MATCH(TKB_Nhap!J26,PhanCong!$A$3:$A$18,0),MATCH($A26,PhanCong!$B$2:$J$2,0))),""))</f>
        <v/>
      </c>
      <c r="L26" s="39">
        <f t="shared" si="0"/>
        <v>0</v>
      </c>
      <c r="M26" s="39">
        <f t="shared" si="1"/>
        <v>0</v>
      </c>
      <c r="N26" s="39">
        <f t="shared" si="2"/>
        <v>0</v>
      </c>
      <c r="O26" s="39">
        <f t="shared" si="3"/>
        <v>0</v>
      </c>
      <c r="P26" s="39">
        <f t="shared" si="4"/>
        <v>0</v>
      </c>
      <c r="Q26" s="39">
        <f t="shared" si="5"/>
        <v>0</v>
      </c>
      <c r="R26" s="39">
        <f t="shared" si="6"/>
        <v>0</v>
      </c>
    </row>
    <row r="27" spans="1:18" ht="15" customHeight="1" x14ac:dyDescent="0.25">
      <c r="A27" s="36" t="str">
        <f>TKB_Nhap!A27</f>
        <v>7A</v>
      </c>
      <c r="B27" s="36" t="str">
        <f>TKB_Nhap!B27</f>
        <v>S</v>
      </c>
      <c r="C27" s="36" t="str">
        <f>TKB_Nhap!C27</f>
        <v>2</v>
      </c>
      <c r="D27" s="36" t="str">
        <f>IF(TKB_Nhap!D27="","",IFERROR(T(INDEX(PhanCong!$B$3:$J$18,MATCH(TKB_Nhap!D27,PhanCong!$A$3:$A$18,0),MATCH($A27,PhanCong!$B$2:$J$2,0))),""))</f>
        <v>Minh Anh</v>
      </c>
      <c r="E27" s="36" t="str">
        <f>IF(TKB_Nhap!E27="","",IFERROR(T(INDEX(PhanCong!$B$3:$J$18,MATCH(TKB_Nhap!E27,PhanCong!$A$3:$A$18,0),MATCH($A27,PhanCong!$B$2:$J$2,0))),""))</f>
        <v>Nhung</v>
      </c>
      <c r="F27" s="36" t="str">
        <f>IF(TKB_Nhap!F27="","",IFERROR(T(INDEX(PhanCong!$B$3:$J$18,MATCH(TKB_Nhap!F27,PhanCong!$A$3:$A$18,0),MATCH($A27,PhanCong!$B$2:$J$2,0))),""))</f>
        <v>Uyên</v>
      </c>
      <c r="G27" s="36" t="str">
        <f>IF(TKB_Nhap!G27="","",IFERROR(T(INDEX(PhanCong!$B$3:$J$18,MATCH(TKB_Nhap!G27,PhanCong!$A$3:$A$18,0),MATCH($A27,PhanCong!$B$2:$J$2,0))),""))</f>
        <v>Khu</v>
      </c>
      <c r="H27" s="36" t="str">
        <f>IF(TKB_Nhap!H27="","",IFERROR(T(INDEX(PhanCong!$B$3:$J$18,MATCH(TKB_Nhap!H27,PhanCong!$A$3:$A$18,0),MATCH($A27,PhanCong!$B$2:$J$2,0))),""))</f>
        <v>Huyền</v>
      </c>
      <c r="I27" s="36" t="str">
        <f>IF(TKB_Nhap!I27="","",IFERROR(T(INDEX(PhanCong!$B$3:$J$18,MATCH(TKB_Nhap!I27,PhanCong!$A$3:$A$18,0),MATCH($A27,PhanCong!$B$2:$J$2,0))),""))</f>
        <v>Minh Anh</v>
      </c>
      <c r="J27" s="36" t="str">
        <f>IF(TKB_Nhap!J27="","",IFERROR(T(INDEX(PhanCong!$B$3:$J$18,MATCH(TKB_Nhap!J27,PhanCong!$A$3:$A$18,0),MATCH($A27,PhanCong!$B$2:$J$2,0))),""))</f>
        <v/>
      </c>
      <c r="L27" s="39">
        <f t="shared" si="0"/>
        <v>0</v>
      </c>
      <c r="M27" s="39">
        <f t="shared" si="1"/>
        <v>0</v>
      </c>
      <c r="N27" s="39">
        <f t="shared" si="2"/>
        <v>0</v>
      </c>
      <c r="O27" s="39">
        <f t="shared" si="3"/>
        <v>0</v>
      </c>
      <c r="P27" s="39">
        <f t="shared" si="4"/>
        <v>0</v>
      </c>
      <c r="Q27" s="39">
        <f t="shared" si="5"/>
        <v>0</v>
      </c>
      <c r="R27" s="39">
        <f t="shared" si="6"/>
        <v>0</v>
      </c>
    </row>
    <row r="28" spans="1:18" ht="15" customHeight="1" x14ac:dyDescent="0.25">
      <c r="A28" s="36" t="str">
        <f>TKB_Nhap!A28</f>
        <v>7A</v>
      </c>
      <c r="B28" s="36" t="str">
        <f>TKB_Nhap!B28</f>
        <v>S</v>
      </c>
      <c r="C28" s="36" t="str">
        <f>TKB_Nhap!C28</f>
        <v>3</v>
      </c>
      <c r="D28" s="36" t="str">
        <f>IF(TKB_Nhap!D28="","",IFERROR(T(INDEX(PhanCong!$B$3:$J$18,MATCH(TKB_Nhap!D28,PhanCong!$A$3:$A$18,0),MATCH($A28,PhanCong!$B$2:$J$2,0))),""))</f>
        <v>Uyên</v>
      </c>
      <c r="E28" s="36" t="str">
        <f>IF(TKB_Nhap!E28="","",IFERROR(T(INDEX(PhanCong!$B$3:$J$18,MATCH(TKB_Nhap!E28,PhanCong!$A$3:$A$18,0),MATCH($A28,PhanCong!$B$2:$J$2,0))),""))</f>
        <v>Hoà</v>
      </c>
      <c r="F28" s="36" t="str">
        <f>IF(TKB_Nhap!F28="","",IFERROR(T(INDEX(PhanCong!$B$3:$J$18,MATCH(TKB_Nhap!F28,PhanCong!$A$3:$A$18,0),MATCH($A28,PhanCong!$B$2:$J$2,0))),""))</f>
        <v>Uyên</v>
      </c>
      <c r="G28" s="36" t="str">
        <f>IF(TKB_Nhap!G28="","",IFERROR(T(INDEX(PhanCong!$B$3:$J$18,MATCH(TKB_Nhap!G28,PhanCong!$A$3:$A$18,0),MATCH($A28,PhanCong!$B$2:$J$2,0))),""))</f>
        <v>Hoa</v>
      </c>
      <c r="H28" s="36" t="str">
        <f>IF(TKB_Nhap!H28="","",IFERROR(T(INDEX(PhanCong!$B$3:$J$18,MATCH(TKB_Nhap!H28,PhanCong!$A$3:$A$18,0),MATCH($A28,PhanCong!$B$2:$J$2,0))),""))</f>
        <v>Lan Ly</v>
      </c>
      <c r="I28" s="36" t="str">
        <f>IF(TKB_Nhap!I28="","",IFERROR(T(INDEX(PhanCong!$B$3:$J$18,MATCH(TKB_Nhap!I28,PhanCong!$A$3:$A$18,0),MATCH($A28,PhanCong!$B$2:$J$2,0))),""))</f>
        <v>Nhung</v>
      </c>
      <c r="J28" s="36" t="str">
        <f>IF(TKB_Nhap!J28="","",IFERROR(T(INDEX(PhanCong!$B$3:$J$18,MATCH(TKB_Nhap!J28,PhanCong!$A$3:$A$18,0),MATCH($A28,PhanCong!$B$2:$J$2,0))),""))</f>
        <v/>
      </c>
      <c r="L28" s="39">
        <f t="shared" si="0"/>
        <v>0</v>
      </c>
      <c r="M28" s="39">
        <f t="shared" si="1"/>
        <v>0</v>
      </c>
      <c r="N28" s="39">
        <f t="shared" si="2"/>
        <v>0</v>
      </c>
      <c r="O28" s="39">
        <f t="shared" si="3"/>
        <v>0</v>
      </c>
      <c r="P28" s="39">
        <f t="shared" si="4"/>
        <v>0</v>
      </c>
      <c r="Q28" s="39">
        <f t="shared" si="5"/>
        <v>0</v>
      </c>
      <c r="R28" s="39">
        <f t="shared" si="6"/>
        <v>0</v>
      </c>
    </row>
    <row r="29" spans="1:18" ht="15" customHeight="1" x14ac:dyDescent="0.25">
      <c r="A29" s="36" t="str">
        <f>TKB_Nhap!A29</f>
        <v>7A</v>
      </c>
      <c r="B29" s="36" t="str">
        <f>TKB_Nhap!B29</f>
        <v>S</v>
      </c>
      <c r="C29" s="36" t="str">
        <f>TKB_Nhap!C29</f>
        <v>4</v>
      </c>
      <c r="D29" s="36" t="str">
        <f>IF(TKB_Nhap!D29="","",IFERROR(T(INDEX(PhanCong!$B$3:$J$18,MATCH(TKB_Nhap!D29,PhanCong!$A$3:$A$18,0),MATCH($A29,PhanCong!$B$2:$J$2,0))),""))</f>
        <v>Giang</v>
      </c>
      <c r="E29" s="36" t="str">
        <f>IF(TKB_Nhap!E29="","",IFERROR(T(INDEX(PhanCong!$B$3:$J$18,MATCH(TKB_Nhap!E29,PhanCong!$A$3:$A$18,0),MATCH($A29,PhanCong!$B$2:$J$2,0))),""))</f>
        <v>Hồng</v>
      </c>
      <c r="F29" s="36" t="str">
        <f>IF(TKB_Nhap!F29="","",IFERROR(T(INDEX(PhanCong!$B$3:$J$18,MATCH(TKB_Nhap!F29,PhanCong!$A$3:$A$18,0),MATCH($A29,PhanCong!$B$2:$J$2,0))),""))</f>
        <v>Hồng</v>
      </c>
      <c r="G29" s="36" t="str">
        <f>IF(TKB_Nhap!G29="","",IFERROR(T(INDEX(PhanCong!$B$3:$J$18,MATCH(TKB_Nhap!G29,PhanCong!$A$3:$A$18,0),MATCH($A29,PhanCong!$B$2:$J$2,0))),""))</f>
        <v>Huyền Ly</v>
      </c>
      <c r="H29" s="36" t="str">
        <f>IF(TKB_Nhap!H29="","",IFERROR(T(INDEX(PhanCong!$B$3:$J$18,MATCH(TKB_Nhap!H29,PhanCong!$A$3:$A$18,0),MATCH($A29,PhanCong!$B$2:$J$2,0))),""))</f>
        <v>Uyên</v>
      </c>
      <c r="I29" s="36" t="str">
        <f>IF(TKB_Nhap!I29="","",IFERROR(T(INDEX(PhanCong!$B$3:$J$18,MATCH(TKB_Nhap!I29,PhanCong!$A$3:$A$18,0),MATCH($A29,PhanCong!$B$2:$J$2,0))),""))</f>
        <v>Huyền</v>
      </c>
      <c r="J29" s="36" t="str">
        <f>IF(TKB_Nhap!J29="","",IFERROR(T(INDEX(PhanCong!$B$3:$J$18,MATCH(TKB_Nhap!J29,PhanCong!$A$3:$A$18,0),MATCH($A29,PhanCong!$B$2:$J$2,0))),""))</f>
        <v/>
      </c>
      <c r="L29" s="39">
        <f t="shared" si="0"/>
        <v>0</v>
      </c>
      <c r="M29" s="39">
        <f t="shared" si="1"/>
        <v>0</v>
      </c>
      <c r="N29" s="39">
        <f t="shared" si="2"/>
        <v>0</v>
      </c>
      <c r="O29" s="39">
        <f t="shared" si="3"/>
        <v>0</v>
      </c>
      <c r="P29" s="39">
        <f t="shared" si="4"/>
        <v>0</v>
      </c>
      <c r="Q29" s="39">
        <f t="shared" si="5"/>
        <v>0</v>
      </c>
      <c r="R29" s="39">
        <f t="shared" si="6"/>
        <v>0</v>
      </c>
    </row>
    <row r="30" spans="1:18" ht="15" customHeight="1" x14ac:dyDescent="0.25">
      <c r="A30" s="36" t="str">
        <f>TKB_Nhap!A30</f>
        <v>7A</v>
      </c>
      <c r="B30" s="36" t="str">
        <f>TKB_Nhap!B30</f>
        <v>S</v>
      </c>
      <c r="C30" s="36" t="str">
        <f>TKB_Nhap!C30</f>
        <v>5</v>
      </c>
      <c r="D30" s="36" t="str">
        <f>IF(TKB_Nhap!D30="","",IFERROR(T(INDEX(PhanCong!$B$3:$J$18,MATCH(TKB_Nhap!D30,PhanCong!$A$3:$A$18,0),MATCH($A30,PhanCong!$B$2:$J$2,0))),""))</f>
        <v>Huyền</v>
      </c>
      <c r="E30" s="36" t="str">
        <f>IF(TKB_Nhap!E30="","",IFERROR(T(INDEX(PhanCong!$B$3:$J$18,MATCH(TKB_Nhap!E30,PhanCong!$A$3:$A$18,0),MATCH($A30,PhanCong!$B$2:$J$2,0))),""))</f>
        <v>Minh Anh</v>
      </c>
      <c r="F30" s="36" t="str">
        <f>IF(TKB_Nhap!F30="","",IFERROR(T(INDEX(PhanCong!$B$3:$J$18,MATCH(TKB_Nhap!F30,PhanCong!$A$3:$A$18,0),MATCH($A30,PhanCong!$B$2:$J$2,0))),""))</f>
        <v>Giang</v>
      </c>
      <c r="G30" s="36" t="str">
        <f>IF(TKB_Nhap!G30="","",IFERROR(T(INDEX(PhanCong!$B$3:$J$18,MATCH(TKB_Nhap!G30,PhanCong!$A$3:$A$18,0),MATCH($A30,PhanCong!$B$2:$J$2,0))),""))</f>
        <v>Minh Anh</v>
      </c>
      <c r="H30" s="36" t="str">
        <f>IF(TKB_Nhap!H30="","",IFERROR(T(INDEX(PhanCong!$B$3:$J$18,MATCH(TKB_Nhap!H30,PhanCong!$A$3:$A$18,0),MATCH($A30,PhanCong!$B$2:$J$2,0))),""))</f>
        <v/>
      </c>
      <c r="I30" s="36" t="str">
        <f>IF(TKB_Nhap!I30="","",IFERROR(T(INDEX(PhanCong!$B$3:$J$18,MATCH(TKB_Nhap!I30,PhanCong!$A$3:$A$18,0),MATCH($A30,PhanCong!$B$2:$J$2,0))),""))</f>
        <v>Minh Anh</v>
      </c>
      <c r="J30" s="36" t="str">
        <f>IF(TKB_Nhap!J30="","",IFERROR(T(INDEX(PhanCong!$B$3:$J$18,MATCH(TKB_Nhap!J30,PhanCong!$A$3:$A$18,0),MATCH($A30,PhanCong!$B$2:$J$2,0))),""))</f>
        <v/>
      </c>
      <c r="L30" s="39">
        <f t="shared" si="0"/>
        <v>0</v>
      </c>
      <c r="M30" s="39">
        <f t="shared" si="1"/>
        <v>0</v>
      </c>
      <c r="N30" s="39">
        <f t="shared" si="2"/>
        <v>0</v>
      </c>
      <c r="O30" s="39">
        <f t="shared" si="3"/>
        <v>0</v>
      </c>
      <c r="P30" s="39">
        <f t="shared" si="4"/>
        <v>0</v>
      </c>
      <c r="Q30" s="39">
        <f t="shared" si="5"/>
        <v>0</v>
      </c>
      <c r="R30" s="39">
        <f t="shared" si="6"/>
        <v>0</v>
      </c>
    </row>
    <row r="31" spans="1:18" ht="15" customHeight="1" x14ac:dyDescent="0.25">
      <c r="A31" s="36" t="str">
        <f>TKB_Nhap!A31</f>
        <v>7A</v>
      </c>
      <c r="B31" s="36" t="str">
        <f>TKB_Nhap!B31</f>
        <v>C</v>
      </c>
      <c r="C31" s="36" t="str">
        <f>TKB_Nhap!C31</f>
        <v>1</v>
      </c>
      <c r="D31" s="36" t="str">
        <f>IF(TKB_Nhap!D31="","",IFERROR(T(INDEX(PhanCong!$B$3:$J$18,MATCH(TKB_Nhap!D31,PhanCong!$A$3:$A$18,0),MATCH($A31,PhanCong!$B$2:$J$2,0))),""))</f>
        <v/>
      </c>
      <c r="E31" s="36" t="str">
        <f>IF(TKB_Nhap!E31="","",IFERROR(T(INDEX(PhanCong!$B$3:$J$18,MATCH(TKB_Nhap!E31,PhanCong!$A$3:$A$18,0),MATCH($A31,PhanCong!$B$2:$J$2,0))),""))</f>
        <v/>
      </c>
      <c r="F31" s="36" t="str">
        <f>IF(TKB_Nhap!F31="","",IFERROR(T(INDEX(PhanCong!$B$3:$J$18,MATCH(TKB_Nhap!F31,PhanCong!$A$3:$A$18,0),MATCH($A31,PhanCong!$B$2:$J$2,0))),""))</f>
        <v/>
      </c>
      <c r="G31" s="36" t="str">
        <f>IF(TKB_Nhap!G31="","",IFERROR(T(INDEX(PhanCong!$B$3:$J$18,MATCH(TKB_Nhap!G31,PhanCong!$A$3:$A$18,0),MATCH($A31,PhanCong!$B$2:$J$2,0))),""))</f>
        <v/>
      </c>
      <c r="H31" s="36" t="str">
        <f>IF(TKB_Nhap!H31="","",IFERROR(T(INDEX(PhanCong!$B$3:$J$18,MATCH(TKB_Nhap!H31,PhanCong!$A$3:$A$18,0),MATCH($A31,PhanCong!$B$2:$J$2,0))),""))</f>
        <v/>
      </c>
      <c r="I31" s="36" t="str">
        <f>IF(TKB_Nhap!I31="","",IFERROR(T(INDEX(PhanCong!$B$3:$J$18,MATCH(TKB_Nhap!I31,PhanCong!$A$3:$A$18,0),MATCH($A31,PhanCong!$B$2:$J$2,0))),""))</f>
        <v/>
      </c>
      <c r="J31" s="36" t="str">
        <f>IF(TKB_Nhap!J31="","",IFERROR(T(INDEX(PhanCong!$B$3:$J$18,MATCH(TKB_Nhap!J31,PhanCong!$A$3:$A$18,0),MATCH($A31,PhanCong!$B$2:$J$2,0))),""))</f>
        <v/>
      </c>
      <c r="L31" s="39">
        <f t="shared" si="0"/>
        <v>0</v>
      </c>
      <c r="M31" s="39">
        <f t="shared" si="1"/>
        <v>0</v>
      </c>
      <c r="N31" s="39">
        <f t="shared" si="2"/>
        <v>0</v>
      </c>
      <c r="O31" s="39">
        <f t="shared" si="3"/>
        <v>0</v>
      </c>
      <c r="P31" s="39">
        <f t="shared" si="4"/>
        <v>0</v>
      </c>
      <c r="Q31" s="39">
        <f t="shared" si="5"/>
        <v>0</v>
      </c>
      <c r="R31" s="39">
        <f t="shared" si="6"/>
        <v>0</v>
      </c>
    </row>
    <row r="32" spans="1:18" ht="15" customHeight="1" x14ac:dyDescent="0.25">
      <c r="A32" s="36" t="str">
        <f>TKB_Nhap!A32</f>
        <v>7A</v>
      </c>
      <c r="B32" s="36" t="str">
        <f>TKB_Nhap!B32</f>
        <v>C</v>
      </c>
      <c r="C32" s="36" t="str">
        <f>TKB_Nhap!C32</f>
        <v>2</v>
      </c>
      <c r="D32" s="36" t="str">
        <f>IF(TKB_Nhap!D32="","",IFERROR(T(INDEX(PhanCong!$B$3:$J$18,MATCH(TKB_Nhap!D32,PhanCong!$A$3:$A$18,0),MATCH($A32,PhanCong!$B$2:$J$2,0))),""))</f>
        <v/>
      </c>
      <c r="E32" s="36" t="str">
        <f>IF(TKB_Nhap!E32="","",IFERROR(T(INDEX(PhanCong!$B$3:$J$18,MATCH(TKB_Nhap!E32,PhanCong!$A$3:$A$18,0),MATCH($A32,PhanCong!$B$2:$J$2,0))),""))</f>
        <v/>
      </c>
      <c r="F32" s="36" t="str">
        <f>IF(TKB_Nhap!F32="","",IFERROR(T(INDEX(PhanCong!$B$3:$J$18,MATCH(TKB_Nhap!F32,PhanCong!$A$3:$A$18,0),MATCH($A32,PhanCong!$B$2:$J$2,0))),""))</f>
        <v/>
      </c>
      <c r="G32" s="36" t="str">
        <f>IF(TKB_Nhap!G32="","",IFERROR(T(INDEX(PhanCong!$B$3:$J$18,MATCH(TKB_Nhap!G32,PhanCong!$A$3:$A$18,0),MATCH($A32,PhanCong!$B$2:$J$2,0))),""))</f>
        <v/>
      </c>
      <c r="H32" s="36" t="str">
        <f>IF(TKB_Nhap!H32="","",IFERROR(T(INDEX(PhanCong!$B$3:$J$18,MATCH(TKB_Nhap!H32,PhanCong!$A$3:$A$18,0),MATCH($A32,PhanCong!$B$2:$J$2,0))),""))</f>
        <v/>
      </c>
      <c r="I32" s="36" t="str">
        <f>IF(TKB_Nhap!I32="","",IFERROR(T(INDEX(PhanCong!$B$3:$J$18,MATCH(TKB_Nhap!I32,PhanCong!$A$3:$A$18,0),MATCH($A32,PhanCong!$B$2:$J$2,0))),""))</f>
        <v/>
      </c>
      <c r="J32" s="36" t="str">
        <f>IF(TKB_Nhap!J32="","",IFERROR(T(INDEX(PhanCong!$B$3:$J$18,MATCH(TKB_Nhap!J32,PhanCong!$A$3:$A$18,0),MATCH($A32,PhanCong!$B$2:$J$2,0))),""))</f>
        <v/>
      </c>
      <c r="L32" s="39">
        <f t="shared" si="0"/>
        <v>0</v>
      </c>
      <c r="M32" s="39">
        <f t="shared" si="1"/>
        <v>0</v>
      </c>
      <c r="N32" s="39">
        <f t="shared" si="2"/>
        <v>0</v>
      </c>
      <c r="O32" s="39">
        <f t="shared" si="3"/>
        <v>0</v>
      </c>
      <c r="P32" s="39">
        <f t="shared" si="4"/>
        <v>0</v>
      </c>
      <c r="Q32" s="39">
        <f t="shared" si="5"/>
        <v>0</v>
      </c>
      <c r="R32" s="39">
        <f t="shared" si="6"/>
        <v>0</v>
      </c>
    </row>
    <row r="33" spans="1:18" ht="15" customHeight="1" x14ac:dyDescent="0.25">
      <c r="A33" s="36" t="str">
        <f>TKB_Nhap!A33</f>
        <v>7A</v>
      </c>
      <c r="B33" s="36" t="str">
        <f>TKB_Nhap!B33</f>
        <v>C</v>
      </c>
      <c r="C33" s="36" t="str">
        <f>TKB_Nhap!C33</f>
        <v>3</v>
      </c>
      <c r="D33" s="36" t="str">
        <f>IF(TKB_Nhap!D33="","",IFERROR(T(INDEX(PhanCong!$B$3:$J$18,MATCH(TKB_Nhap!D33,PhanCong!$A$3:$A$18,0),MATCH($A33,PhanCong!$B$2:$J$2,0))),""))</f>
        <v/>
      </c>
      <c r="E33" s="36" t="str">
        <f>IF(TKB_Nhap!E33="","",IFERROR(T(INDEX(PhanCong!$B$3:$J$18,MATCH(TKB_Nhap!E33,PhanCong!$A$3:$A$18,0),MATCH($A33,PhanCong!$B$2:$J$2,0))),""))</f>
        <v/>
      </c>
      <c r="F33" s="36" t="str">
        <f>IF(TKB_Nhap!F33="","",IFERROR(T(INDEX(PhanCong!$B$3:$J$18,MATCH(TKB_Nhap!F33,PhanCong!$A$3:$A$18,0),MATCH($A33,PhanCong!$B$2:$J$2,0))),""))</f>
        <v/>
      </c>
      <c r="G33" s="36" t="str">
        <f>IF(TKB_Nhap!G33="","",IFERROR(T(INDEX(PhanCong!$B$3:$J$18,MATCH(TKB_Nhap!G33,PhanCong!$A$3:$A$18,0),MATCH($A33,PhanCong!$B$2:$J$2,0))),""))</f>
        <v/>
      </c>
      <c r="H33" s="36" t="str">
        <f>IF(TKB_Nhap!H33="","",IFERROR(T(INDEX(PhanCong!$B$3:$J$18,MATCH(TKB_Nhap!H33,PhanCong!$A$3:$A$18,0),MATCH($A33,PhanCong!$B$2:$J$2,0))),""))</f>
        <v/>
      </c>
      <c r="I33" s="36" t="str">
        <f>IF(TKB_Nhap!I33="","",IFERROR(T(INDEX(PhanCong!$B$3:$J$18,MATCH(TKB_Nhap!I33,PhanCong!$A$3:$A$18,0),MATCH($A33,PhanCong!$B$2:$J$2,0))),""))</f>
        <v/>
      </c>
      <c r="J33" s="36" t="str">
        <f>IF(TKB_Nhap!J33="","",IFERROR(T(INDEX(PhanCong!$B$3:$J$18,MATCH(TKB_Nhap!J33,PhanCong!$A$3:$A$18,0),MATCH($A33,PhanCong!$B$2:$J$2,0))),""))</f>
        <v/>
      </c>
      <c r="L33" s="39">
        <f t="shared" si="0"/>
        <v>0</v>
      </c>
      <c r="M33" s="39">
        <f t="shared" si="1"/>
        <v>0</v>
      </c>
      <c r="N33" s="39">
        <f t="shared" si="2"/>
        <v>0</v>
      </c>
      <c r="O33" s="39">
        <f t="shared" si="3"/>
        <v>0</v>
      </c>
      <c r="P33" s="39">
        <f t="shared" si="4"/>
        <v>0</v>
      </c>
      <c r="Q33" s="39">
        <f t="shared" si="5"/>
        <v>0</v>
      </c>
      <c r="R33" s="39">
        <f t="shared" si="6"/>
        <v>0</v>
      </c>
    </row>
    <row r="34" spans="1:18" ht="15" customHeight="1" x14ac:dyDescent="0.25">
      <c r="A34" s="30" t="str">
        <f>TKB_Nhap!A34</f>
        <v>7B</v>
      </c>
      <c r="B34" s="30" t="str">
        <f>TKB_Nhap!B34</f>
        <v>S</v>
      </c>
      <c r="C34" s="30" t="str">
        <f>TKB_Nhap!C34</f>
        <v>1</v>
      </c>
      <c r="D34" s="30" t="str">
        <f>IF(TKB_Nhap!D34="","",IFERROR(T(INDEX(PhanCong!$B$3:$J$18,MATCH(TKB_Nhap!D34,PhanCong!$A$3:$A$18,0),MATCH($A34,PhanCong!$B$2:$J$2,0))),""))</f>
        <v>Hoà</v>
      </c>
      <c r="E34" s="30" t="str">
        <f>IF(TKB_Nhap!E34="","",IFERROR(T(INDEX(PhanCong!$B$3:$J$18,MATCH(TKB_Nhap!E34,PhanCong!$A$3:$A$18,0),MATCH($A34,PhanCong!$B$2:$J$2,0))),""))</f>
        <v>Hoà</v>
      </c>
      <c r="F34" s="30" t="str">
        <f>IF(TKB_Nhap!F34="","",IFERROR(T(INDEX(PhanCong!$B$3:$J$18,MATCH(TKB_Nhap!F34,PhanCong!$A$3:$A$18,0),MATCH($A34,PhanCong!$B$2:$J$2,0))),""))</f>
        <v>Minh Anh</v>
      </c>
      <c r="G34" s="30" t="str">
        <f>IF(TKB_Nhap!G34="","",IFERROR(T(INDEX(PhanCong!$B$3:$J$18,MATCH(TKB_Nhap!G34,PhanCong!$A$3:$A$18,0),MATCH($A34,PhanCong!$B$2:$J$2,0))),""))</f>
        <v>Minh Anh</v>
      </c>
      <c r="H34" s="30" t="str">
        <f>IF(TKB_Nhap!H34="","",IFERROR(T(INDEX(PhanCong!$B$3:$J$18,MATCH(TKB_Nhap!H34,PhanCong!$A$3:$A$18,0),MATCH($A34,PhanCong!$B$2:$J$2,0))),""))</f>
        <v>Hoà</v>
      </c>
      <c r="I34" s="30" t="str">
        <f>IF(TKB_Nhap!I34="","",IFERROR(T(INDEX(PhanCong!$B$3:$J$18,MATCH(TKB_Nhap!I34,PhanCong!$A$3:$A$18,0),MATCH($A34,PhanCong!$B$2:$J$2,0))),""))</f>
        <v>Uyên</v>
      </c>
      <c r="J34" s="30" t="str">
        <f>IF(TKB_Nhap!J34="","",IFERROR(T(INDEX(PhanCong!$B$3:$J$18,MATCH(TKB_Nhap!J34,PhanCong!$A$3:$A$18,0),MATCH($A34,PhanCong!$B$2:$J$2,0))),""))</f>
        <v/>
      </c>
      <c r="L34" s="39">
        <f t="shared" ref="L34:L65" si="7">IF(D34="",0,IF(COUNTIFS($B$2:$B$73,$B34,$C$2:$C$73,$C34,D$2:D$73,D34)&gt;1,1,0))</f>
        <v>0</v>
      </c>
      <c r="M34" s="39">
        <f t="shared" ref="M34:M65" si="8">IF(E34="",0,IF(COUNTIFS($B$2:$B$73,$B34,$C$2:$C$73,$C34,E$2:E$73,E34)&gt;1,1,0))</f>
        <v>0</v>
      </c>
      <c r="N34" s="39">
        <f t="shared" ref="N34:N65" si="9">IF(F34="",0,IF(COUNTIFS($B$2:$B$73,$B34,$C$2:$C$73,$C34,F$2:F$73,F34)&gt;1,1,0))</f>
        <v>0</v>
      </c>
      <c r="O34" s="39">
        <f t="shared" ref="O34:O65" si="10">IF(G34="",0,IF(COUNTIFS($B$2:$B$73,$B34,$C$2:$C$73,$C34,G$2:G$73,G34)&gt;1,1,0))</f>
        <v>0</v>
      </c>
      <c r="P34" s="39">
        <f t="shared" ref="P34:P65" si="11">IF(H34="",0,IF(COUNTIFS($B$2:$B$73,$B34,$C$2:$C$73,$C34,H$2:H$73,H34)&gt;1,1,0))</f>
        <v>0</v>
      </c>
      <c r="Q34" s="39">
        <f t="shared" ref="Q34:Q65" si="12">IF(I34="",0,IF(COUNTIFS($B$2:$B$73,$B34,$C$2:$C$73,$C34,I$2:I$73,I34)&gt;1,1,0))</f>
        <v>0</v>
      </c>
      <c r="R34" s="39">
        <f t="shared" ref="R34:R65" si="13">IF(J34="",0,IF(COUNTIFS($B$2:$B$73,$B34,$C$2:$C$73,$C34,J$2:J$73,J34)&gt;1,1,0))</f>
        <v>0</v>
      </c>
    </row>
    <row r="35" spans="1:18" ht="15" customHeight="1" x14ac:dyDescent="0.25">
      <c r="A35" s="30" t="str">
        <f>TKB_Nhap!A35</f>
        <v>7B</v>
      </c>
      <c r="B35" s="30" t="str">
        <f>TKB_Nhap!B35</f>
        <v>S</v>
      </c>
      <c r="C35" s="30" t="str">
        <f>TKB_Nhap!C35</f>
        <v>2</v>
      </c>
      <c r="D35" s="30" t="str">
        <f>IF(TKB_Nhap!D35="","",IFERROR(T(INDEX(PhanCong!$B$3:$J$18,MATCH(TKB_Nhap!D35,PhanCong!$A$3:$A$18,0),MATCH($A35,PhanCong!$B$2:$J$2,0))),""))</f>
        <v>Uyên</v>
      </c>
      <c r="E35" s="30" t="str">
        <f>IF(TKB_Nhap!E35="","",IFERROR(T(INDEX(PhanCong!$B$3:$J$18,MATCH(TKB_Nhap!E35,PhanCong!$A$3:$A$18,0),MATCH($A35,PhanCong!$B$2:$J$2,0))),""))</f>
        <v>Minh Anh</v>
      </c>
      <c r="F35" s="30" t="str">
        <f>IF(TKB_Nhap!F35="","",IFERROR(T(INDEX(PhanCong!$B$3:$J$18,MATCH(TKB_Nhap!F35,PhanCong!$A$3:$A$18,0),MATCH($A35,PhanCong!$B$2:$J$2,0))),""))</f>
        <v>Sơn</v>
      </c>
      <c r="G35" s="30" t="str">
        <f>IF(TKB_Nhap!G35="","",IFERROR(T(INDEX(PhanCong!$B$3:$J$18,MATCH(TKB_Nhap!G35,PhanCong!$A$3:$A$18,0),MATCH($A35,PhanCong!$B$2:$J$2,0))),""))</f>
        <v>Uyên</v>
      </c>
      <c r="H35" s="30" t="str">
        <f>IF(TKB_Nhap!H35="","",IFERROR(T(INDEX(PhanCong!$B$3:$J$18,MATCH(TKB_Nhap!H35,PhanCong!$A$3:$A$18,0),MATCH($A35,PhanCong!$B$2:$J$2,0))),""))</f>
        <v>Giang</v>
      </c>
      <c r="I35" s="30" t="str">
        <f>IF(TKB_Nhap!I35="","",IFERROR(T(INDEX(PhanCong!$B$3:$J$18,MATCH(TKB_Nhap!I35,PhanCong!$A$3:$A$18,0),MATCH($A35,PhanCong!$B$2:$J$2,0))),""))</f>
        <v>Giang</v>
      </c>
      <c r="J35" s="30" t="str">
        <f>IF(TKB_Nhap!J35="","",IFERROR(T(INDEX(PhanCong!$B$3:$J$18,MATCH(TKB_Nhap!J35,PhanCong!$A$3:$A$18,0),MATCH($A35,PhanCong!$B$2:$J$2,0))),""))</f>
        <v/>
      </c>
      <c r="L35" s="39">
        <f t="shared" si="7"/>
        <v>0</v>
      </c>
      <c r="M35" s="39">
        <f t="shared" si="8"/>
        <v>0</v>
      </c>
      <c r="N35" s="39">
        <f t="shared" si="9"/>
        <v>0</v>
      </c>
      <c r="O35" s="39">
        <f t="shared" si="10"/>
        <v>0</v>
      </c>
      <c r="P35" s="39">
        <f t="shared" si="11"/>
        <v>0</v>
      </c>
      <c r="Q35" s="39">
        <f t="shared" si="12"/>
        <v>0</v>
      </c>
      <c r="R35" s="39">
        <f t="shared" si="13"/>
        <v>0</v>
      </c>
    </row>
    <row r="36" spans="1:18" ht="15" customHeight="1" x14ac:dyDescent="0.25">
      <c r="A36" s="30" t="str">
        <f>TKB_Nhap!A36</f>
        <v>7B</v>
      </c>
      <c r="B36" s="30" t="str">
        <f>TKB_Nhap!B36</f>
        <v>S</v>
      </c>
      <c r="C36" s="30" t="str">
        <f>TKB_Nhap!C36</f>
        <v>3</v>
      </c>
      <c r="D36" s="30" t="str">
        <f>IF(TKB_Nhap!D36="","",IFERROR(T(INDEX(PhanCong!$B$3:$J$18,MATCH(TKB_Nhap!D36,PhanCong!$A$3:$A$18,0),MATCH($A36,PhanCong!$B$2:$J$2,0))),""))</f>
        <v>Minh Anh</v>
      </c>
      <c r="E36" s="30" t="str">
        <f>IF(TKB_Nhap!E36="","",IFERROR(T(INDEX(PhanCong!$B$3:$J$18,MATCH(TKB_Nhap!E36,PhanCong!$A$3:$A$18,0),MATCH($A36,PhanCong!$B$2:$J$2,0))),""))</f>
        <v>Hồng</v>
      </c>
      <c r="F36" s="30" t="str">
        <f>IF(TKB_Nhap!F36="","",IFERROR(T(INDEX(PhanCong!$B$3:$J$18,MATCH(TKB_Nhap!F36,PhanCong!$A$3:$A$18,0),MATCH($A36,PhanCong!$B$2:$J$2,0))),""))</f>
        <v>Huyền</v>
      </c>
      <c r="G36" s="30" t="str">
        <f>IF(TKB_Nhap!G36="","",IFERROR(T(INDEX(PhanCong!$B$3:$J$18,MATCH(TKB_Nhap!G36,PhanCong!$A$3:$A$18,0),MATCH($A36,PhanCong!$B$2:$J$2,0))),""))</f>
        <v>Hồng</v>
      </c>
      <c r="H36" s="30" t="str">
        <f>IF(TKB_Nhap!H36="","",IFERROR(T(INDEX(PhanCong!$B$3:$J$18,MATCH(TKB_Nhap!H36,PhanCong!$A$3:$A$18,0),MATCH($A36,PhanCong!$B$2:$J$2,0))),""))</f>
        <v>Huyền Ly</v>
      </c>
      <c r="I36" s="30" t="str">
        <f>IF(TKB_Nhap!I36="","",IFERROR(T(INDEX(PhanCong!$B$3:$J$18,MATCH(TKB_Nhap!I36,PhanCong!$A$3:$A$18,0),MATCH($A36,PhanCong!$B$2:$J$2,0))),""))</f>
        <v>Huyền</v>
      </c>
      <c r="J36" s="30" t="str">
        <f>IF(TKB_Nhap!J36="","",IFERROR(T(INDEX(PhanCong!$B$3:$J$18,MATCH(TKB_Nhap!J36,PhanCong!$A$3:$A$18,0),MATCH($A36,PhanCong!$B$2:$J$2,0))),""))</f>
        <v/>
      </c>
      <c r="L36" s="39">
        <f t="shared" si="7"/>
        <v>0</v>
      </c>
      <c r="M36" s="39">
        <f t="shared" si="8"/>
        <v>0</v>
      </c>
      <c r="N36" s="39">
        <f t="shared" si="9"/>
        <v>0</v>
      </c>
      <c r="O36" s="39">
        <f t="shared" si="10"/>
        <v>0</v>
      </c>
      <c r="P36" s="39">
        <f t="shared" si="11"/>
        <v>0</v>
      </c>
      <c r="Q36" s="39">
        <f t="shared" si="12"/>
        <v>0</v>
      </c>
      <c r="R36" s="39">
        <f t="shared" si="13"/>
        <v>0</v>
      </c>
    </row>
    <row r="37" spans="1:18" ht="15" customHeight="1" x14ac:dyDescent="0.25">
      <c r="A37" s="30" t="str">
        <f>TKB_Nhap!A37</f>
        <v>7B</v>
      </c>
      <c r="B37" s="30" t="str">
        <f>TKB_Nhap!B37</f>
        <v>S</v>
      </c>
      <c r="C37" s="30" t="str">
        <f>TKB_Nhap!C37</f>
        <v>4</v>
      </c>
      <c r="D37" s="30" t="str">
        <f>IF(TKB_Nhap!D37="","",IFERROR(T(INDEX(PhanCong!$B$3:$J$18,MATCH(TKB_Nhap!D37,PhanCong!$A$3:$A$18,0),MATCH($A37,PhanCong!$B$2:$J$2,0))),""))</f>
        <v>Hoà</v>
      </c>
      <c r="E37" s="30" t="str">
        <f>IF(TKB_Nhap!E37="","",IFERROR(T(INDEX(PhanCong!$B$3:$J$18,MATCH(TKB_Nhap!E37,PhanCong!$A$3:$A$18,0),MATCH($A37,PhanCong!$B$2:$J$2,0))),""))</f>
        <v>Khu</v>
      </c>
      <c r="F37" s="30" t="str">
        <f>IF(TKB_Nhap!F37="","",IFERROR(T(INDEX(PhanCong!$B$3:$J$18,MATCH(TKB_Nhap!F37,PhanCong!$A$3:$A$18,0),MATCH($A37,PhanCong!$B$2:$J$2,0))),""))</f>
        <v>Hoà</v>
      </c>
      <c r="G37" s="30" t="str">
        <f>IF(TKB_Nhap!G37="","",IFERROR(T(INDEX(PhanCong!$B$3:$J$18,MATCH(TKB_Nhap!G37,PhanCong!$A$3:$A$18,0),MATCH($A37,PhanCong!$B$2:$J$2,0))),""))</f>
        <v>Hoa</v>
      </c>
      <c r="H37" s="30" t="str">
        <f>IF(TKB_Nhap!H37="","",IFERROR(T(INDEX(PhanCong!$B$3:$J$18,MATCH(TKB_Nhap!H37,PhanCong!$A$3:$A$18,0),MATCH($A37,PhanCong!$B$2:$J$2,0))),""))</f>
        <v>Nhung</v>
      </c>
      <c r="I37" s="30" t="str">
        <f>IF(TKB_Nhap!I37="","",IFERROR(T(INDEX(PhanCong!$B$3:$J$18,MATCH(TKB_Nhap!I37,PhanCong!$A$3:$A$18,0),MATCH($A37,PhanCong!$B$2:$J$2,0))),""))</f>
        <v>Minh Anh</v>
      </c>
      <c r="J37" s="30" t="str">
        <f>IF(TKB_Nhap!J37="","",IFERROR(T(INDEX(PhanCong!$B$3:$J$18,MATCH(TKB_Nhap!J37,PhanCong!$A$3:$A$18,0),MATCH($A37,PhanCong!$B$2:$J$2,0))),""))</f>
        <v/>
      </c>
      <c r="L37" s="39">
        <f t="shared" si="7"/>
        <v>0</v>
      </c>
      <c r="M37" s="39">
        <f t="shared" si="8"/>
        <v>0</v>
      </c>
      <c r="N37" s="39">
        <f t="shared" si="9"/>
        <v>0</v>
      </c>
      <c r="O37" s="39">
        <f t="shared" si="10"/>
        <v>0</v>
      </c>
      <c r="P37" s="39">
        <f t="shared" si="11"/>
        <v>0</v>
      </c>
      <c r="Q37" s="39">
        <f t="shared" si="12"/>
        <v>0</v>
      </c>
      <c r="R37" s="39">
        <f t="shared" si="13"/>
        <v>0</v>
      </c>
    </row>
    <row r="38" spans="1:18" ht="15" customHeight="1" x14ac:dyDescent="0.25">
      <c r="A38" s="30" t="str">
        <f>TKB_Nhap!A38</f>
        <v>7B</v>
      </c>
      <c r="B38" s="30" t="str">
        <f>TKB_Nhap!B38</f>
        <v>S</v>
      </c>
      <c r="C38" s="30" t="str">
        <f>TKB_Nhap!C38</f>
        <v>5</v>
      </c>
      <c r="D38" s="30" t="str">
        <f>IF(TKB_Nhap!D38="","",IFERROR(T(INDEX(PhanCong!$B$3:$J$18,MATCH(TKB_Nhap!D38,PhanCong!$A$3:$A$18,0),MATCH($A38,PhanCong!$B$2:$J$2,0))),""))</f>
        <v>Lan Ly</v>
      </c>
      <c r="E38" s="30" t="str">
        <f>IF(TKB_Nhap!E38="","",IFERROR(T(INDEX(PhanCong!$B$3:$J$18,MATCH(TKB_Nhap!E38,PhanCong!$A$3:$A$18,0),MATCH($A38,PhanCong!$B$2:$J$2,0))),""))</f>
        <v>Nhung</v>
      </c>
      <c r="F38" s="30" t="str">
        <f>IF(TKB_Nhap!F38="","",IFERROR(T(INDEX(PhanCong!$B$3:$J$18,MATCH(TKB_Nhap!F38,PhanCong!$A$3:$A$18,0),MATCH($A38,PhanCong!$B$2:$J$2,0))),""))</f>
        <v>Uyên</v>
      </c>
      <c r="G38" s="30" t="str">
        <f>IF(TKB_Nhap!G38="","",IFERROR(T(INDEX(PhanCong!$B$3:$J$18,MATCH(TKB_Nhap!G38,PhanCong!$A$3:$A$18,0),MATCH($A38,PhanCong!$B$2:$J$2,0))),""))</f>
        <v>Giang</v>
      </c>
      <c r="H38" s="30" t="str">
        <f>IF(TKB_Nhap!H38="","",IFERROR(T(INDEX(PhanCong!$B$3:$J$18,MATCH(TKB_Nhap!H38,PhanCong!$A$3:$A$18,0),MATCH($A38,PhanCong!$B$2:$J$2,0))),""))</f>
        <v/>
      </c>
      <c r="I38" s="30" t="str">
        <f>IF(TKB_Nhap!I38="","",IFERROR(T(INDEX(PhanCong!$B$3:$J$18,MATCH(TKB_Nhap!I38,PhanCong!$A$3:$A$18,0),MATCH($A38,PhanCong!$B$2:$J$2,0))),""))</f>
        <v>Huyền</v>
      </c>
      <c r="J38" s="30" t="str">
        <f>IF(TKB_Nhap!J38="","",IFERROR(T(INDEX(PhanCong!$B$3:$J$18,MATCH(TKB_Nhap!J38,PhanCong!$A$3:$A$18,0),MATCH($A38,PhanCong!$B$2:$J$2,0))),""))</f>
        <v/>
      </c>
      <c r="L38" s="39">
        <f t="shared" si="7"/>
        <v>0</v>
      </c>
      <c r="M38" s="39">
        <f t="shared" si="8"/>
        <v>0</v>
      </c>
      <c r="N38" s="39">
        <f t="shared" si="9"/>
        <v>0</v>
      </c>
      <c r="O38" s="39">
        <f t="shared" si="10"/>
        <v>0</v>
      </c>
      <c r="P38" s="39">
        <f t="shared" si="11"/>
        <v>0</v>
      </c>
      <c r="Q38" s="39">
        <f t="shared" si="12"/>
        <v>0</v>
      </c>
      <c r="R38" s="39">
        <f t="shared" si="13"/>
        <v>0</v>
      </c>
    </row>
    <row r="39" spans="1:18" ht="15" customHeight="1" x14ac:dyDescent="0.25">
      <c r="A39" s="30" t="str">
        <f>TKB_Nhap!A39</f>
        <v>7B</v>
      </c>
      <c r="B39" s="30" t="str">
        <f>TKB_Nhap!B39</f>
        <v>C</v>
      </c>
      <c r="C39" s="30" t="str">
        <f>TKB_Nhap!C39</f>
        <v>1</v>
      </c>
      <c r="D39" s="30" t="str">
        <f>IF(TKB_Nhap!D39="","",IFERROR(T(INDEX(PhanCong!$B$3:$J$18,MATCH(TKB_Nhap!D39,PhanCong!$A$3:$A$18,0),MATCH($A39,PhanCong!$B$2:$J$2,0))),""))</f>
        <v/>
      </c>
      <c r="E39" s="30" t="str">
        <f>IF(TKB_Nhap!E39="","",IFERROR(T(INDEX(PhanCong!$B$3:$J$18,MATCH(TKB_Nhap!E39,PhanCong!$A$3:$A$18,0),MATCH($A39,PhanCong!$B$2:$J$2,0))),""))</f>
        <v/>
      </c>
      <c r="F39" s="30" t="str">
        <f>IF(TKB_Nhap!F39="","",IFERROR(T(INDEX(PhanCong!$B$3:$J$18,MATCH(TKB_Nhap!F39,PhanCong!$A$3:$A$18,0),MATCH($A39,PhanCong!$B$2:$J$2,0))),""))</f>
        <v/>
      </c>
      <c r="G39" s="30" t="str">
        <f>IF(TKB_Nhap!G39="","",IFERROR(T(INDEX(PhanCong!$B$3:$J$18,MATCH(TKB_Nhap!G39,PhanCong!$A$3:$A$18,0),MATCH($A39,PhanCong!$B$2:$J$2,0))),""))</f>
        <v/>
      </c>
      <c r="H39" s="30" t="str">
        <f>IF(TKB_Nhap!H39="","",IFERROR(T(INDEX(PhanCong!$B$3:$J$18,MATCH(TKB_Nhap!H39,PhanCong!$A$3:$A$18,0),MATCH($A39,PhanCong!$B$2:$J$2,0))),""))</f>
        <v/>
      </c>
      <c r="I39" s="30" t="str">
        <f>IF(TKB_Nhap!I39="","",IFERROR(T(INDEX(PhanCong!$B$3:$J$18,MATCH(TKB_Nhap!I39,PhanCong!$A$3:$A$18,0),MATCH($A39,PhanCong!$B$2:$J$2,0))),""))</f>
        <v/>
      </c>
      <c r="J39" s="30" t="str">
        <f>IF(TKB_Nhap!J39="","",IFERROR(T(INDEX(PhanCong!$B$3:$J$18,MATCH(TKB_Nhap!J39,PhanCong!$A$3:$A$18,0),MATCH($A39,PhanCong!$B$2:$J$2,0))),""))</f>
        <v/>
      </c>
      <c r="L39" s="39">
        <f t="shared" si="7"/>
        <v>0</v>
      </c>
      <c r="M39" s="39">
        <f t="shared" si="8"/>
        <v>0</v>
      </c>
      <c r="N39" s="39">
        <f t="shared" si="9"/>
        <v>0</v>
      </c>
      <c r="O39" s="39">
        <f t="shared" si="10"/>
        <v>0</v>
      </c>
      <c r="P39" s="39">
        <f t="shared" si="11"/>
        <v>0</v>
      </c>
      <c r="Q39" s="39">
        <f t="shared" si="12"/>
        <v>0</v>
      </c>
      <c r="R39" s="39">
        <f t="shared" si="13"/>
        <v>0</v>
      </c>
    </row>
    <row r="40" spans="1:18" ht="15" customHeight="1" x14ac:dyDescent="0.25">
      <c r="A40" s="30" t="str">
        <f>TKB_Nhap!A40</f>
        <v>7B</v>
      </c>
      <c r="B40" s="30" t="str">
        <f>TKB_Nhap!B40</f>
        <v>C</v>
      </c>
      <c r="C40" s="30" t="str">
        <f>TKB_Nhap!C40</f>
        <v>2</v>
      </c>
      <c r="D40" s="30" t="str">
        <f>IF(TKB_Nhap!D40="","",IFERROR(T(INDEX(PhanCong!$B$3:$J$18,MATCH(TKB_Nhap!D40,PhanCong!$A$3:$A$18,0),MATCH($A40,PhanCong!$B$2:$J$2,0))),""))</f>
        <v/>
      </c>
      <c r="E40" s="30" t="str">
        <f>IF(TKB_Nhap!E40="","",IFERROR(T(INDEX(PhanCong!$B$3:$J$18,MATCH(TKB_Nhap!E40,PhanCong!$A$3:$A$18,0),MATCH($A40,PhanCong!$B$2:$J$2,0))),""))</f>
        <v/>
      </c>
      <c r="F40" s="30" t="str">
        <f>IF(TKB_Nhap!F40="","",IFERROR(T(INDEX(PhanCong!$B$3:$J$18,MATCH(TKB_Nhap!F40,PhanCong!$A$3:$A$18,0),MATCH($A40,PhanCong!$B$2:$J$2,0))),""))</f>
        <v/>
      </c>
      <c r="G40" s="30" t="str">
        <f>IF(TKB_Nhap!G40="","",IFERROR(T(INDEX(PhanCong!$B$3:$J$18,MATCH(TKB_Nhap!G40,PhanCong!$A$3:$A$18,0),MATCH($A40,PhanCong!$B$2:$J$2,0))),""))</f>
        <v/>
      </c>
      <c r="H40" s="30" t="str">
        <f>IF(TKB_Nhap!H40="","",IFERROR(T(INDEX(PhanCong!$B$3:$J$18,MATCH(TKB_Nhap!H40,PhanCong!$A$3:$A$18,0),MATCH($A40,PhanCong!$B$2:$J$2,0))),""))</f>
        <v/>
      </c>
      <c r="I40" s="30" t="str">
        <f>IF(TKB_Nhap!I40="","",IFERROR(T(INDEX(PhanCong!$B$3:$J$18,MATCH(TKB_Nhap!I40,PhanCong!$A$3:$A$18,0),MATCH($A40,PhanCong!$B$2:$J$2,0))),""))</f>
        <v/>
      </c>
      <c r="J40" s="30" t="str">
        <f>IF(TKB_Nhap!J40="","",IFERROR(T(INDEX(PhanCong!$B$3:$J$18,MATCH(TKB_Nhap!J40,PhanCong!$A$3:$A$18,0),MATCH($A40,PhanCong!$B$2:$J$2,0))),""))</f>
        <v/>
      </c>
      <c r="L40" s="39">
        <f t="shared" si="7"/>
        <v>0</v>
      </c>
      <c r="M40" s="39">
        <f t="shared" si="8"/>
        <v>0</v>
      </c>
      <c r="N40" s="39">
        <f t="shared" si="9"/>
        <v>0</v>
      </c>
      <c r="O40" s="39">
        <f t="shared" si="10"/>
        <v>0</v>
      </c>
      <c r="P40" s="39">
        <f t="shared" si="11"/>
        <v>0</v>
      </c>
      <c r="Q40" s="39">
        <f t="shared" si="12"/>
        <v>0</v>
      </c>
      <c r="R40" s="39">
        <f t="shared" si="13"/>
        <v>0</v>
      </c>
    </row>
    <row r="41" spans="1:18" ht="15" customHeight="1" x14ac:dyDescent="0.25">
      <c r="A41" s="30" t="str">
        <f>TKB_Nhap!A41</f>
        <v>7B</v>
      </c>
      <c r="B41" s="30" t="str">
        <f>TKB_Nhap!B41</f>
        <v>C</v>
      </c>
      <c r="C41" s="30" t="str">
        <f>TKB_Nhap!C41</f>
        <v>3</v>
      </c>
      <c r="D41" s="30" t="str">
        <f>IF(TKB_Nhap!D41="","",IFERROR(T(INDEX(PhanCong!$B$3:$J$18,MATCH(TKB_Nhap!D41,PhanCong!$A$3:$A$18,0),MATCH($A41,PhanCong!$B$2:$J$2,0))),""))</f>
        <v/>
      </c>
      <c r="E41" s="30" t="str">
        <f>IF(TKB_Nhap!E41="","",IFERROR(T(INDEX(PhanCong!$B$3:$J$18,MATCH(TKB_Nhap!E41,PhanCong!$A$3:$A$18,0),MATCH($A41,PhanCong!$B$2:$J$2,0))),""))</f>
        <v/>
      </c>
      <c r="F41" s="30" t="str">
        <f>IF(TKB_Nhap!F41="","",IFERROR(T(INDEX(PhanCong!$B$3:$J$18,MATCH(TKB_Nhap!F41,PhanCong!$A$3:$A$18,0),MATCH($A41,PhanCong!$B$2:$J$2,0))),""))</f>
        <v/>
      </c>
      <c r="G41" s="30" t="str">
        <f>IF(TKB_Nhap!G41="","",IFERROR(T(INDEX(PhanCong!$B$3:$J$18,MATCH(TKB_Nhap!G41,PhanCong!$A$3:$A$18,0),MATCH($A41,PhanCong!$B$2:$J$2,0))),""))</f>
        <v/>
      </c>
      <c r="H41" s="30" t="str">
        <f>IF(TKB_Nhap!H41="","",IFERROR(T(INDEX(PhanCong!$B$3:$J$18,MATCH(TKB_Nhap!H41,PhanCong!$A$3:$A$18,0),MATCH($A41,PhanCong!$B$2:$J$2,0))),""))</f>
        <v/>
      </c>
      <c r="I41" s="30" t="str">
        <f>IF(TKB_Nhap!I41="","",IFERROR(T(INDEX(PhanCong!$B$3:$J$18,MATCH(TKB_Nhap!I41,PhanCong!$A$3:$A$18,0),MATCH($A41,PhanCong!$B$2:$J$2,0))),""))</f>
        <v/>
      </c>
      <c r="J41" s="30" t="str">
        <f>IF(TKB_Nhap!J41="","",IFERROR(T(INDEX(PhanCong!$B$3:$J$18,MATCH(TKB_Nhap!J41,PhanCong!$A$3:$A$18,0),MATCH($A41,PhanCong!$B$2:$J$2,0))),""))</f>
        <v/>
      </c>
      <c r="L41" s="39">
        <f t="shared" si="7"/>
        <v>0</v>
      </c>
      <c r="M41" s="39">
        <f t="shared" si="8"/>
        <v>0</v>
      </c>
      <c r="N41" s="39">
        <f t="shared" si="9"/>
        <v>0</v>
      </c>
      <c r="O41" s="39">
        <f t="shared" si="10"/>
        <v>0</v>
      </c>
      <c r="P41" s="39">
        <f t="shared" si="11"/>
        <v>0</v>
      </c>
      <c r="Q41" s="39">
        <f t="shared" si="12"/>
        <v>0</v>
      </c>
      <c r="R41" s="39">
        <f t="shared" si="13"/>
        <v>0</v>
      </c>
    </row>
    <row r="42" spans="1:18" ht="15" customHeight="1" x14ac:dyDescent="0.25">
      <c r="A42" s="36" t="str">
        <f>TKB_Nhap!A42</f>
        <v>8A</v>
      </c>
      <c r="B42" s="36" t="str">
        <f>TKB_Nhap!B42</f>
        <v>S</v>
      </c>
      <c r="C42" s="36" t="str">
        <f>TKB_Nhap!C42</f>
        <v>1</v>
      </c>
      <c r="D42" s="36" t="str">
        <f>IF(TKB_Nhap!D42="","",IFERROR(T(INDEX(PhanCong!$B$3:$J$18,MATCH(TKB_Nhap!D42,PhanCong!$A$3:$A$18,0),MATCH($A42,PhanCong!$B$2:$J$2,0))),""))</f>
        <v>Nguyễn Ly</v>
      </c>
      <c r="E42" s="36" t="str">
        <f>IF(TKB_Nhap!E42="","",IFERROR(T(INDEX(PhanCong!$B$3:$J$18,MATCH(TKB_Nhap!E42,PhanCong!$A$3:$A$18,0),MATCH($A42,PhanCong!$B$2:$J$2,0))),""))</f>
        <v>Hồng</v>
      </c>
      <c r="F42" s="36" t="str">
        <f>IF(TKB_Nhap!F42="","",IFERROR(T(INDEX(PhanCong!$B$3:$J$18,MATCH(TKB_Nhap!F42,PhanCong!$A$3:$A$18,0),MATCH($A42,PhanCong!$B$2:$J$2,0))),""))</f>
        <v>Huyền</v>
      </c>
      <c r="G42" s="36" t="str">
        <f>IF(TKB_Nhap!G42="","",IFERROR(T(INDEX(PhanCong!$B$3:$J$18,MATCH(TKB_Nhap!G42,PhanCong!$A$3:$A$18,0),MATCH($A42,PhanCong!$B$2:$J$2,0))),""))</f>
        <v>Nguyễn Ly</v>
      </c>
      <c r="H42" s="36" t="str">
        <f>IF(TKB_Nhap!H42="","",IFERROR(T(INDEX(PhanCong!$B$3:$J$18,MATCH(TKB_Nhap!H42,PhanCong!$A$3:$A$18,0),MATCH($A42,PhanCong!$B$2:$J$2,0))),""))</f>
        <v>Huyền Ly</v>
      </c>
      <c r="I42" s="36" t="str">
        <f>IF(TKB_Nhap!I42="","",IFERROR(T(INDEX(PhanCong!$B$3:$J$18,MATCH(TKB_Nhap!I42,PhanCong!$A$3:$A$18,0),MATCH($A42,PhanCong!$B$2:$J$2,0))),""))</f>
        <v>Khu</v>
      </c>
      <c r="J42" s="36" t="str">
        <f>IF(TKB_Nhap!J42="","",IFERROR(T(INDEX(PhanCong!$B$3:$J$18,MATCH(TKB_Nhap!J42,PhanCong!$A$3:$A$18,0),MATCH($A42,PhanCong!$B$2:$J$2,0))),""))</f>
        <v/>
      </c>
      <c r="L42" s="39">
        <f t="shared" si="7"/>
        <v>0</v>
      </c>
      <c r="M42" s="39">
        <f t="shared" si="8"/>
        <v>0</v>
      </c>
      <c r="N42" s="39">
        <f t="shared" si="9"/>
        <v>0</v>
      </c>
      <c r="O42" s="39">
        <f t="shared" si="10"/>
        <v>0</v>
      </c>
      <c r="P42" s="39">
        <f t="shared" si="11"/>
        <v>0</v>
      </c>
      <c r="Q42" s="39">
        <f t="shared" si="12"/>
        <v>0</v>
      </c>
      <c r="R42" s="39">
        <f t="shared" si="13"/>
        <v>0</v>
      </c>
    </row>
    <row r="43" spans="1:18" ht="15" customHeight="1" x14ac:dyDescent="0.25">
      <c r="A43" s="36" t="str">
        <f>TKB_Nhap!A43</f>
        <v>8A</v>
      </c>
      <c r="B43" s="36" t="str">
        <f>TKB_Nhap!B43</f>
        <v>S</v>
      </c>
      <c r="C43" s="36" t="str">
        <f>TKB_Nhap!C43</f>
        <v>2</v>
      </c>
      <c r="D43" s="36" t="str">
        <f>IF(TKB_Nhap!D43="","",IFERROR(T(INDEX(PhanCong!$B$3:$J$18,MATCH(TKB_Nhap!D43,PhanCong!$A$3:$A$18,0),MATCH($A43,PhanCong!$B$2:$J$2,0))),""))</f>
        <v>Nguyễn Ly</v>
      </c>
      <c r="E43" s="36" t="str">
        <f>IF(TKB_Nhap!E43="","",IFERROR(T(INDEX(PhanCong!$B$3:$J$18,MATCH(TKB_Nhap!E43,PhanCong!$A$3:$A$18,0),MATCH($A43,PhanCong!$B$2:$J$2,0))),""))</f>
        <v>Hoà</v>
      </c>
      <c r="F43" s="36" t="str">
        <f>IF(TKB_Nhap!F43="","",IFERROR(T(INDEX(PhanCong!$B$3:$J$18,MATCH(TKB_Nhap!F43,PhanCong!$A$3:$A$18,0),MATCH($A43,PhanCong!$B$2:$J$2,0))),""))</f>
        <v>Vân</v>
      </c>
      <c r="G43" s="36" t="str">
        <f>IF(TKB_Nhap!G43="","",IFERROR(T(INDEX(PhanCong!$B$3:$J$18,MATCH(TKB_Nhap!G43,PhanCong!$A$3:$A$18,0),MATCH($A43,PhanCong!$B$2:$J$2,0))),""))</f>
        <v>Trung</v>
      </c>
      <c r="H43" s="36" t="str">
        <f>IF(TKB_Nhap!H43="","",IFERROR(T(INDEX(PhanCong!$B$3:$J$18,MATCH(TKB_Nhap!H43,PhanCong!$A$3:$A$18,0),MATCH($A43,PhanCong!$B$2:$J$2,0))),""))</f>
        <v>Hồng</v>
      </c>
      <c r="I43" s="36" t="str">
        <f>IF(TKB_Nhap!I43="","",IFERROR(T(INDEX(PhanCong!$B$3:$J$18,MATCH(TKB_Nhap!I43,PhanCong!$A$3:$A$18,0),MATCH($A43,PhanCong!$B$2:$J$2,0))),""))</f>
        <v>Trung</v>
      </c>
      <c r="J43" s="36" t="str">
        <f>IF(TKB_Nhap!J43="","",IFERROR(T(INDEX(PhanCong!$B$3:$J$18,MATCH(TKB_Nhap!J43,PhanCong!$A$3:$A$18,0),MATCH($A43,PhanCong!$B$2:$J$2,0))),""))</f>
        <v/>
      </c>
      <c r="L43" s="39">
        <f t="shared" si="7"/>
        <v>0</v>
      </c>
      <c r="M43" s="39">
        <f t="shared" si="8"/>
        <v>0</v>
      </c>
      <c r="N43" s="39">
        <f t="shared" si="9"/>
        <v>0</v>
      </c>
      <c r="O43" s="39">
        <f t="shared" si="10"/>
        <v>0</v>
      </c>
      <c r="P43" s="39">
        <f t="shared" si="11"/>
        <v>0</v>
      </c>
      <c r="Q43" s="39">
        <f t="shared" si="12"/>
        <v>0</v>
      </c>
      <c r="R43" s="39">
        <f t="shared" si="13"/>
        <v>0</v>
      </c>
    </row>
    <row r="44" spans="1:18" ht="15" customHeight="1" x14ac:dyDescent="0.25">
      <c r="A44" s="36" t="str">
        <f>TKB_Nhap!A44</f>
        <v>8A</v>
      </c>
      <c r="B44" s="36" t="str">
        <f>TKB_Nhap!B44</f>
        <v>S</v>
      </c>
      <c r="C44" s="36" t="str">
        <f>TKB_Nhap!C44</f>
        <v>3</v>
      </c>
      <c r="D44" s="36" t="str">
        <f>IF(TKB_Nhap!D44="","",IFERROR(T(INDEX(PhanCong!$B$3:$J$18,MATCH(TKB_Nhap!D44,PhanCong!$A$3:$A$18,0),MATCH($A44,PhanCong!$B$2:$J$2,0))),""))</f>
        <v>Lan</v>
      </c>
      <c r="E44" s="36" t="str">
        <f>IF(TKB_Nhap!E44="","",IFERROR(T(INDEX(PhanCong!$B$3:$J$18,MATCH(TKB_Nhap!E44,PhanCong!$A$3:$A$18,0),MATCH($A44,PhanCong!$B$2:$J$2,0))),""))</f>
        <v>Huyền Ly</v>
      </c>
      <c r="F44" s="36" t="str">
        <f>IF(TKB_Nhap!F44="","",IFERROR(T(INDEX(PhanCong!$B$3:$J$18,MATCH(TKB_Nhap!F44,PhanCong!$A$3:$A$18,0),MATCH($A44,PhanCong!$B$2:$J$2,0))),""))</f>
        <v>Hoà</v>
      </c>
      <c r="G44" s="36" t="str">
        <f>IF(TKB_Nhap!G44="","",IFERROR(T(INDEX(PhanCong!$B$3:$J$18,MATCH(TKB_Nhap!G44,PhanCong!$A$3:$A$18,0),MATCH($A44,PhanCong!$B$2:$J$2,0))),""))</f>
        <v>Nguyễn Ly</v>
      </c>
      <c r="H44" s="36" t="str">
        <f>IF(TKB_Nhap!H44="","",IFERROR(T(INDEX(PhanCong!$B$3:$J$18,MATCH(TKB_Nhap!H44,PhanCong!$A$3:$A$18,0),MATCH($A44,PhanCong!$B$2:$J$2,0))),""))</f>
        <v>Huyền</v>
      </c>
      <c r="I44" s="36" t="str">
        <f>IF(TKB_Nhap!I44="","",IFERROR(T(INDEX(PhanCong!$B$3:$J$18,MATCH(TKB_Nhap!I44,PhanCong!$A$3:$A$18,0),MATCH($A44,PhanCong!$B$2:$J$2,0))),""))</f>
        <v>GVHĐ 1</v>
      </c>
      <c r="J44" s="36" t="str">
        <f>IF(TKB_Nhap!J44="","",IFERROR(T(INDEX(PhanCong!$B$3:$J$18,MATCH(TKB_Nhap!J44,PhanCong!$A$3:$A$18,0),MATCH($A44,PhanCong!$B$2:$J$2,0))),""))</f>
        <v/>
      </c>
      <c r="L44" s="39">
        <f t="shared" si="7"/>
        <v>0</v>
      </c>
      <c r="M44" s="39">
        <f t="shared" si="8"/>
        <v>0</v>
      </c>
      <c r="N44" s="39">
        <f t="shared" si="9"/>
        <v>0</v>
      </c>
      <c r="O44" s="39">
        <f t="shared" si="10"/>
        <v>0</v>
      </c>
      <c r="P44" s="39">
        <f t="shared" si="11"/>
        <v>0</v>
      </c>
      <c r="Q44" s="39">
        <f t="shared" si="12"/>
        <v>0</v>
      </c>
      <c r="R44" s="39">
        <f t="shared" si="13"/>
        <v>0</v>
      </c>
    </row>
    <row r="45" spans="1:18" ht="15" customHeight="1" x14ac:dyDescent="0.25">
      <c r="A45" s="36" t="str">
        <f>TKB_Nhap!A45</f>
        <v>8A</v>
      </c>
      <c r="B45" s="36" t="str">
        <f>TKB_Nhap!B45</f>
        <v>S</v>
      </c>
      <c r="C45" s="36" t="str">
        <f>TKB_Nhap!C45</f>
        <v>4</v>
      </c>
      <c r="D45" s="36" t="str">
        <f>IF(TKB_Nhap!D45="","",IFERROR(T(INDEX(PhanCong!$B$3:$J$18,MATCH(TKB_Nhap!D45,PhanCong!$A$3:$A$18,0),MATCH($A45,PhanCong!$B$2:$J$2,0))),""))</f>
        <v>Lan</v>
      </c>
      <c r="E45" s="36" t="str">
        <f>IF(TKB_Nhap!E45="","",IFERROR(T(INDEX(PhanCong!$B$3:$J$18,MATCH(TKB_Nhap!E45,PhanCong!$A$3:$A$18,0),MATCH($A45,PhanCong!$B$2:$J$2,0))),""))</f>
        <v>Lan</v>
      </c>
      <c r="F45" s="36" t="str">
        <f>IF(TKB_Nhap!F45="","",IFERROR(T(INDEX(PhanCong!$B$3:$J$18,MATCH(TKB_Nhap!F45,PhanCong!$A$3:$A$18,0),MATCH($A45,PhanCong!$B$2:$J$2,0))),""))</f>
        <v>Minh Anh</v>
      </c>
      <c r="G45" s="36" t="str">
        <f>IF(TKB_Nhap!G45="","",IFERROR(T(INDEX(PhanCong!$B$3:$J$18,MATCH(TKB_Nhap!G45,PhanCong!$A$3:$A$18,0),MATCH($A45,PhanCong!$B$2:$J$2,0))),""))</f>
        <v>Lan</v>
      </c>
      <c r="H45" s="36" t="str">
        <f>IF(TKB_Nhap!H45="","",IFERROR(T(INDEX(PhanCong!$B$3:$J$18,MATCH(TKB_Nhap!H45,PhanCong!$A$3:$A$18,0),MATCH($A45,PhanCong!$B$2:$J$2,0))),""))</f>
        <v>Huyền</v>
      </c>
      <c r="I45" s="36" t="str">
        <f>IF(TKB_Nhap!I45="","",IFERROR(T(INDEX(PhanCong!$B$3:$J$18,MATCH(TKB_Nhap!I45,PhanCong!$A$3:$A$18,0),MATCH($A45,PhanCong!$B$2:$J$2,0))),""))</f>
        <v>Nguyễn Ly</v>
      </c>
      <c r="J45" s="36" t="str">
        <f>IF(TKB_Nhap!J45="","",IFERROR(T(INDEX(PhanCong!$B$3:$J$18,MATCH(TKB_Nhap!J45,PhanCong!$A$3:$A$18,0),MATCH($A45,PhanCong!$B$2:$J$2,0))),""))</f>
        <v/>
      </c>
      <c r="L45" s="39">
        <f t="shared" si="7"/>
        <v>0</v>
      </c>
      <c r="M45" s="39">
        <f t="shared" si="8"/>
        <v>0</v>
      </c>
      <c r="N45" s="39">
        <f t="shared" si="9"/>
        <v>0</v>
      </c>
      <c r="O45" s="39">
        <f t="shared" si="10"/>
        <v>0</v>
      </c>
      <c r="P45" s="39">
        <f t="shared" si="11"/>
        <v>0</v>
      </c>
      <c r="Q45" s="39">
        <f t="shared" si="12"/>
        <v>0</v>
      </c>
      <c r="R45" s="39">
        <f t="shared" si="13"/>
        <v>0</v>
      </c>
    </row>
    <row r="46" spans="1:18" ht="15" customHeight="1" x14ac:dyDescent="0.25">
      <c r="A46" s="36" t="str">
        <f>TKB_Nhap!A46</f>
        <v>8A</v>
      </c>
      <c r="B46" s="36" t="str">
        <f>TKB_Nhap!B46</f>
        <v>S</v>
      </c>
      <c r="C46" s="36" t="str">
        <f>TKB_Nhap!C46</f>
        <v>5</v>
      </c>
      <c r="D46" s="36" t="str">
        <f>IF(TKB_Nhap!D46="","",IFERROR(T(INDEX(PhanCong!$B$3:$J$18,MATCH(TKB_Nhap!D46,PhanCong!$A$3:$A$18,0),MATCH($A46,PhanCong!$B$2:$J$2,0))),""))</f>
        <v>Trung</v>
      </c>
      <c r="E46" s="36" t="str">
        <f>IF(TKB_Nhap!E46="","",IFERROR(T(INDEX(PhanCong!$B$3:$J$18,MATCH(TKB_Nhap!E46,PhanCong!$A$3:$A$18,0),MATCH($A46,PhanCong!$B$2:$J$2,0))),""))</f>
        <v>Lan Ly</v>
      </c>
      <c r="F46" s="36" t="str">
        <f>IF(TKB_Nhap!F46="","",IFERROR(T(INDEX(PhanCong!$B$3:$J$18,MATCH(TKB_Nhap!F46,PhanCong!$A$3:$A$18,0),MATCH($A46,PhanCong!$B$2:$J$2,0))),""))</f>
        <v>Nguyễn Ly</v>
      </c>
      <c r="G46" s="36" t="str">
        <f>IF(TKB_Nhap!G46="","",IFERROR(T(INDEX(PhanCong!$B$3:$J$18,MATCH(TKB_Nhap!G46,PhanCong!$A$3:$A$18,0),MATCH($A46,PhanCong!$B$2:$J$2,0))),""))</f>
        <v>Uyên</v>
      </c>
      <c r="H46" s="36" t="str">
        <f>IF(TKB_Nhap!H46="","",IFERROR(T(INDEX(PhanCong!$B$3:$J$18,MATCH(TKB_Nhap!H46,PhanCong!$A$3:$A$18,0),MATCH($A46,PhanCong!$B$2:$J$2,0))),""))</f>
        <v>Sơn</v>
      </c>
      <c r="I46" s="36" t="str">
        <f>IF(TKB_Nhap!I46="","",IFERROR(T(INDEX(PhanCong!$B$3:$J$18,MATCH(TKB_Nhap!I46,PhanCong!$A$3:$A$18,0),MATCH($A46,PhanCong!$B$2:$J$2,0))),""))</f>
        <v>Nguyễn Ly</v>
      </c>
      <c r="J46" s="36" t="str">
        <f>IF(TKB_Nhap!J46="","",IFERROR(T(INDEX(PhanCong!$B$3:$J$18,MATCH(TKB_Nhap!J46,PhanCong!$A$3:$A$18,0),MATCH($A46,PhanCong!$B$2:$J$2,0))),""))</f>
        <v/>
      </c>
      <c r="L46" s="39">
        <f t="shared" si="7"/>
        <v>0</v>
      </c>
      <c r="M46" s="39">
        <f t="shared" si="8"/>
        <v>0</v>
      </c>
      <c r="N46" s="39">
        <f t="shared" si="9"/>
        <v>0</v>
      </c>
      <c r="O46" s="39">
        <f t="shared" si="10"/>
        <v>0</v>
      </c>
      <c r="P46" s="39">
        <f t="shared" si="11"/>
        <v>0</v>
      </c>
      <c r="Q46" s="39">
        <f t="shared" si="12"/>
        <v>0</v>
      </c>
      <c r="R46" s="39">
        <f t="shared" si="13"/>
        <v>0</v>
      </c>
    </row>
    <row r="47" spans="1:18" ht="15" customHeight="1" x14ac:dyDescent="0.25">
      <c r="A47" s="36" t="str">
        <f>TKB_Nhap!A47</f>
        <v>8A</v>
      </c>
      <c r="B47" s="36" t="str">
        <f>TKB_Nhap!B47</f>
        <v>C</v>
      </c>
      <c r="C47" s="36" t="str">
        <f>TKB_Nhap!C47</f>
        <v>1</v>
      </c>
      <c r="D47" s="36" t="str">
        <f>IF(TKB_Nhap!D47="","",IFERROR(T(INDEX(PhanCong!$B$3:$J$18,MATCH(TKB_Nhap!D47,PhanCong!$A$3:$A$18,0),MATCH($A47,PhanCong!$B$2:$J$2,0))),""))</f>
        <v/>
      </c>
      <c r="E47" s="36" t="str">
        <f>IF(TKB_Nhap!E47="","",IFERROR(T(INDEX(PhanCong!$B$3:$J$18,MATCH(TKB_Nhap!E47,PhanCong!$A$3:$A$18,0),MATCH($A47,PhanCong!$B$2:$J$2,0))),""))</f>
        <v/>
      </c>
      <c r="F47" s="36" t="str">
        <f>IF(TKB_Nhap!F47="","",IFERROR(T(INDEX(PhanCong!$B$3:$J$18,MATCH(TKB_Nhap!F47,PhanCong!$A$3:$A$18,0),MATCH($A47,PhanCong!$B$2:$J$2,0))),""))</f>
        <v/>
      </c>
      <c r="G47" s="36" t="str">
        <f>IF(TKB_Nhap!G47="","",IFERROR(T(INDEX(PhanCong!$B$3:$J$18,MATCH(TKB_Nhap!G47,PhanCong!$A$3:$A$18,0),MATCH($A47,PhanCong!$B$2:$J$2,0))),""))</f>
        <v/>
      </c>
      <c r="H47" s="36" t="str">
        <f>IF(TKB_Nhap!H47="","",IFERROR(T(INDEX(PhanCong!$B$3:$J$18,MATCH(TKB_Nhap!H47,PhanCong!$A$3:$A$18,0),MATCH($A47,PhanCong!$B$2:$J$2,0))),""))</f>
        <v/>
      </c>
      <c r="I47" s="36" t="str">
        <f>IF(TKB_Nhap!I47="","",IFERROR(T(INDEX(PhanCong!$B$3:$J$18,MATCH(TKB_Nhap!I47,PhanCong!$A$3:$A$18,0),MATCH($A47,PhanCong!$B$2:$J$2,0))),""))</f>
        <v/>
      </c>
      <c r="J47" s="36" t="str">
        <f>IF(TKB_Nhap!J47="","",IFERROR(T(INDEX(PhanCong!$B$3:$J$18,MATCH(TKB_Nhap!J47,PhanCong!$A$3:$A$18,0),MATCH($A47,PhanCong!$B$2:$J$2,0))),""))</f>
        <v/>
      </c>
      <c r="L47" s="39">
        <f t="shared" si="7"/>
        <v>0</v>
      </c>
      <c r="M47" s="39">
        <f t="shared" si="8"/>
        <v>0</v>
      </c>
      <c r="N47" s="39">
        <f t="shared" si="9"/>
        <v>0</v>
      </c>
      <c r="O47" s="39">
        <f t="shared" si="10"/>
        <v>0</v>
      </c>
      <c r="P47" s="39">
        <f t="shared" si="11"/>
        <v>0</v>
      </c>
      <c r="Q47" s="39">
        <f t="shared" si="12"/>
        <v>0</v>
      </c>
      <c r="R47" s="39">
        <f t="shared" si="13"/>
        <v>0</v>
      </c>
    </row>
    <row r="48" spans="1:18" ht="15" customHeight="1" x14ac:dyDescent="0.25">
      <c r="A48" s="36" t="str">
        <f>TKB_Nhap!A48</f>
        <v>8A</v>
      </c>
      <c r="B48" s="36" t="str">
        <f>TKB_Nhap!B48</f>
        <v>C</v>
      </c>
      <c r="C48" s="36" t="str">
        <f>TKB_Nhap!C48</f>
        <v>2</v>
      </c>
      <c r="D48" s="36" t="str">
        <f>IF(TKB_Nhap!D48="","",IFERROR(T(INDEX(PhanCong!$B$3:$J$18,MATCH(TKB_Nhap!D48,PhanCong!$A$3:$A$18,0),MATCH($A48,PhanCong!$B$2:$J$2,0))),""))</f>
        <v/>
      </c>
      <c r="E48" s="36" t="str">
        <f>IF(TKB_Nhap!E48="","",IFERROR(T(INDEX(PhanCong!$B$3:$J$18,MATCH(TKB_Nhap!E48,PhanCong!$A$3:$A$18,0),MATCH($A48,PhanCong!$B$2:$J$2,0))),""))</f>
        <v/>
      </c>
      <c r="F48" s="36" t="str">
        <f>IF(TKB_Nhap!F48="","",IFERROR(T(INDEX(PhanCong!$B$3:$J$18,MATCH(TKB_Nhap!F48,PhanCong!$A$3:$A$18,0),MATCH($A48,PhanCong!$B$2:$J$2,0))),""))</f>
        <v/>
      </c>
      <c r="G48" s="36" t="str">
        <f>IF(TKB_Nhap!G48="","",IFERROR(T(INDEX(PhanCong!$B$3:$J$18,MATCH(TKB_Nhap!G48,PhanCong!$A$3:$A$18,0),MATCH($A48,PhanCong!$B$2:$J$2,0))),""))</f>
        <v/>
      </c>
      <c r="H48" s="36" t="str">
        <f>IF(TKB_Nhap!H48="","",IFERROR(T(INDEX(PhanCong!$B$3:$J$18,MATCH(TKB_Nhap!H48,PhanCong!$A$3:$A$18,0),MATCH($A48,PhanCong!$B$2:$J$2,0))),""))</f>
        <v/>
      </c>
      <c r="I48" s="36" t="str">
        <f>IF(TKB_Nhap!I48="","",IFERROR(T(INDEX(PhanCong!$B$3:$J$18,MATCH(TKB_Nhap!I48,PhanCong!$A$3:$A$18,0),MATCH($A48,PhanCong!$B$2:$J$2,0))),""))</f>
        <v/>
      </c>
      <c r="J48" s="36" t="str">
        <f>IF(TKB_Nhap!J48="","",IFERROR(T(INDEX(PhanCong!$B$3:$J$18,MATCH(TKB_Nhap!J48,PhanCong!$A$3:$A$18,0),MATCH($A48,PhanCong!$B$2:$J$2,0))),""))</f>
        <v/>
      </c>
      <c r="L48" s="39">
        <f t="shared" si="7"/>
        <v>0</v>
      </c>
      <c r="M48" s="39">
        <f t="shared" si="8"/>
        <v>0</v>
      </c>
      <c r="N48" s="39">
        <f t="shared" si="9"/>
        <v>0</v>
      </c>
      <c r="O48" s="39">
        <f t="shared" si="10"/>
        <v>0</v>
      </c>
      <c r="P48" s="39">
        <f t="shared" si="11"/>
        <v>0</v>
      </c>
      <c r="Q48" s="39">
        <f t="shared" si="12"/>
        <v>0</v>
      </c>
      <c r="R48" s="39">
        <f t="shared" si="13"/>
        <v>0</v>
      </c>
    </row>
    <row r="49" spans="1:18" ht="15" customHeight="1" x14ac:dyDescent="0.25">
      <c r="A49" s="36" t="str">
        <f>TKB_Nhap!A49</f>
        <v>8A</v>
      </c>
      <c r="B49" s="36" t="str">
        <f>TKB_Nhap!B49</f>
        <v>C</v>
      </c>
      <c r="C49" s="36" t="str">
        <f>TKB_Nhap!C49</f>
        <v>3</v>
      </c>
      <c r="D49" s="36" t="str">
        <f>IF(TKB_Nhap!D49="","",IFERROR(T(INDEX(PhanCong!$B$3:$J$18,MATCH(TKB_Nhap!D49,PhanCong!$A$3:$A$18,0),MATCH($A49,PhanCong!$B$2:$J$2,0))),""))</f>
        <v/>
      </c>
      <c r="E49" s="36" t="str">
        <f>IF(TKB_Nhap!E49="","",IFERROR(T(INDEX(PhanCong!$B$3:$J$18,MATCH(TKB_Nhap!E49,PhanCong!$A$3:$A$18,0),MATCH($A49,PhanCong!$B$2:$J$2,0))),""))</f>
        <v/>
      </c>
      <c r="F49" s="36" t="str">
        <f>IF(TKB_Nhap!F49="","",IFERROR(T(INDEX(PhanCong!$B$3:$J$18,MATCH(TKB_Nhap!F49,PhanCong!$A$3:$A$18,0),MATCH($A49,PhanCong!$B$2:$J$2,0))),""))</f>
        <v/>
      </c>
      <c r="G49" s="36" t="str">
        <f>IF(TKB_Nhap!G49="","",IFERROR(T(INDEX(PhanCong!$B$3:$J$18,MATCH(TKB_Nhap!G49,PhanCong!$A$3:$A$18,0),MATCH($A49,PhanCong!$B$2:$J$2,0))),""))</f>
        <v/>
      </c>
      <c r="H49" s="36" t="str">
        <f>IF(TKB_Nhap!H49="","",IFERROR(T(INDEX(PhanCong!$B$3:$J$18,MATCH(TKB_Nhap!H49,PhanCong!$A$3:$A$18,0),MATCH($A49,PhanCong!$B$2:$J$2,0))),""))</f>
        <v/>
      </c>
      <c r="I49" s="36" t="str">
        <f>IF(TKB_Nhap!I49="","",IFERROR(T(INDEX(PhanCong!$B$3:$J$18,MATCH(TKB_Nhap!I49,PhanCong!$A$3:$A$18,0),MATCH($A49,PhanCong!$B$2:$J$2,0))),""))</f>
        <v/>
      </c>
      <c r="J49" s="36" t="str">
        <f>IF(TKB_Nhap!J49="","",IFERROR(T(INDEX(PhanCong!$B$3:$J$18,MATCH(TKB_Nhap!J49,PhanCong!$A$3:$A$18,0),MATCH($A49,PhanCong!$B$2:$J$2,0))),""))</f>
        <v/>
      </c>
      <c r="L49" s="39">
        <f t="shared" si="7"/>
        <v>0</v>
      </c>
      <c r="M49" s="39">
        <f t="shared" si="8"/>
        <v>0</v>
      </c>
      <c r="N49" s="39">
        <f t="shared" si="9"/>
        <v>0</v>
      </c>
      <c r="O49" s="39">
        <f t="shared" si="10"/>
        <v>0</v>
      </c>
      <c r="P49" s="39">
        <f t="shared" si="11"/>
        <v>0</v>
      </c>
      <c r="Q49" s="39">
        <f t="shared" si="12"/>
        <v>0</v>
      </c>
      <c r="R49" s="39">
        <f t="shared" si="13"/>
        <v>0</v>
      </c>
    </row>
    <row r="50" spans="1:18" ht="15" customHeight="1" x14ac:dyDescent="0.25">
      <c r="A50" s="30" t="str">
        <f>TKB_Nhap!A50</f>
        <v>8B</v>
      </c>
      <c r="B50" s="30" t="str">
        <f>TKB_Nhap!B50</f>
        <v>S</v>
      </c>
      <c r="C50" s="30" t="str">
        <f>TKB_Nhap!C50</f>
        <v>1</v>
      </c>
      <c r="D50" s="30" t="str">
        <f>IF(TKB_Nhap!D50="","",IFERROR(T(INDEX(PhanCong!$B$3:$J$18,MATCH(TKB_Nhap!D50,PhanCong!$A$3:$A$18,0),MATCH($A50,PhanCong!$B$2:$J$2,0))),""))</f>
        <v>Khu</v>
      </c>
      <c r="E50" s="30" t="str">
        <f>IF(TKB_Nhap!E50="","",IFERROR(T(INDEX(PhanCong!$B$3:$J$18,MATCH(TKB_Nhap!E50,PhanCong!$A$3:$A$18,0),MATCH($A50,PhanCong!$B$2:$J$2,0))),""))</f>
        <v>Lan</v>
      </c>
      <c r="F50" s="30" t="str">
        <f>IF(TKB_Nhap!F50="","",IFERROR(T(INDEX(PhanCong!$B$3:$J$18,MATCH(TKB_Nhap!F50,PhanCong!$A$3:$A$18,0),MATCH($A50,PhanCong!$B$2:$J$2,0))),""))</f>
        <v>Lan</v>
      </c>
      <c r="G50" s="30" t="str">
        <f>IF(TKB_Nhap!G50="","",IFERROR(T(INDEX(PhanCong!$B$3:$J$18,MATCH(TKB_Nhap!G50,PhanCong!$A$3:$A$18,0),MATCH($A50,PhanCong!$B$2:$J$2,0))),""))</f>
        <v>Huyền</v>
      </c>
      <c r="H50" s="30" t="str">
        <f>IF(TKB_Nhap!H50="","",IFERROR(T(INDEX(PhanCong!$B$3:$J$18,MATCH(TKB_Nhap!H50,PhanCong!$A$3:$A$18,0),MATCH($A50,PhanCong!$B$2:$J$2,0))),""))</f>
        <v>Hồng</v>
      </c>
      <c r="I50" s="30" t="str">
        <f>IF(TKB_Nhap!I50="","",IFERROR(T(INDEX(PhanCong!$B$3:$J$18,MATCH(TKB_Nhap!I50,PhanCong!$A$3:$A$18,0),MATCH($A50,PhanCong!$B$2:$J$2,0))),""))</f>
        <v>Nguyễn Ly</v>
      </c>
      <c r="J50" s="30" t="str">
        <f>IF(TKB_Nhap!J50="","",IFERROR(T(INDEX(PhanCong!$B$3:$J$18,MATCH(TKB_Nhap!J50,PhanCong!$A$3:$A$18,0),MATCH($A50,PhanCong!$B$2:$J$2,0))),""))</f>
        <v/>
      </c>
      <c r="L50" s="39">
        <f t="shared" si="7"/>
        <v>0</v>
      </c>
      <c r="M50" s="39">
        <f t="shared" si="8"/>
        <v>0</v>
      </c>
      <c r="N50" s="39">
        <f t="shared" si="9"/>
        <v>0</v>
      </c>
      <c r="O50" s="39">
        <f t="shared" si="10"/>
        <v>0</v>
      </c>
      <c r="P50" s="39">
        <f t="shared" si="11"/>
        <v>0</v>
      </c>
      <c r="Q50" s="39">
        <f t="shared" si="12"/>
        <v>0</v>
      </c>
      <c r="R50" s="39">
        <f t="shared" si="13"/>
        <v>0</v>
      </c>
    </row>
    <row r="51" spans="1:18" ht="15" customHeight="1" x14ac:dyDescent="0.25">
      <c r="A51" s="30" t="str">
        <f>TKB_Nhap!A51</f>
        <v>8B</v>
      </c>
      <c r="B51" s="30" t="str">
        <f>TKB_Nhap!B51</f>
        <v>S</v>
      </c>
      <c r="C51" s="30" t="str">
        <f>TKB_Nhap!C51</f>
        <v>2</v>
      </c>
      <c r="D51" s="30" t="str">
        <f>IF(TKB_Nhap!D51="","",IFERROR(T(INDEX(PhanCong!$B$3:$J$18,MATCH(TKB_Nhap!D51,PhanCong!$A$3:$A$18,0),MATCH($A51,PhanCong!$B$2:$J$2,0))),""))</f>
        <v>Lan</v>
      </c>
      <c r="E51" s="30" t="str">
        <f>IF(TKB_Nhap!E51="","",IFERROR(T(INDEX(PhanCong!$B$3:$J$18,MATCH(TKB_Nhap!E51,PhanCong!$A$3:$A$18,0),MATCH($A51,PhanCong!$B$2:$J$2,0))),""))</f>
        <v>Lan</v>
      </c>
      <c r="F51" s="30" t="str">
        <f>IF(TKB_Nhap!F51="","",IFERROR(T(INDEX(PhanCong!$B$3:$J$18,MATCH(TKB_Nhap!F51,PhanCong!$A$3:$A$18,0),MATCH($A51,PhanCong!$B$2:$J$2,0))),""))</f>
        <v>Hoà</v>
      </c>
      <c r="G51" s="30" t="str">
        <f>IF(TKB_Nhap!G51="","",IFERROR(T(INDEX(PhanCong!$B$3:$J$18,MATCH(TKB_Nhap!G51,PhanCong!$A$3:$A$18,0),MATCH($A51,PhanCong!$B$2:$J$2,0))),""))</f>
        <v>Nguyễn Ly</v>
      </c>
      <c r="H51" s="30" t="str">
        <f>IF(TKB_Nhap!H51="","",IFERROR(T(INDEX(PhanCong!$B$3:$J$18,MATCH(TKB_Nhap!H51,PhanCong!$A$3:$A$18,0),MATCH($A51,PhanCong!$B$2:$J$2,0))),""))</f>
        <v>Nguyễn Ly</v>
      </c>
      <c r="I51" s="30" t="str">
        <f>IF(TKB_Nhap!I51="","",IFERROR(T(INDEX(PhanCong!$B$3:$J$18,MATCH(TKB_Nhap!I51,PhanCong!$A$3:$A$18,0),MATCH($A51,PhanCong!$B$2:$J$2,0))),""))</f>
        <v>Khu</v>
      </c>
      <c r="J51" s="30" t="str">
        <f>IF(TKB_Nhap!J51="","",IFERROR(T(INDEX(PhanCong!$B$3:$J$18,MATCH(TKB_Nhap!J51,PhanCong!$A$3:$A$18,0),MATCH($A51,PhanCong!$B$2:$J$2,0))),""))</f>
        <v/>
      </c>
      <c r="L51" s="39">
        <f t="shared" si="7"/>
        <v>0</v>
      </c>
      <c r="M51" s="39">
        <f t="shared" si="8"/>
        <v>0</v>
      </c>
      <c r="N51" s="39">
        <f t="shared" si="9"/>
        <v>0</v>
      </c>
      <c r="O51" s="39">
        <f t="shared" si="10"/>
        <v>0</v>
      </c>
      <c r="P51" s="39">
        <f t="shared" si="11"/>
        <v>0</v>
      </c>
      <c r="Q51" s="39">
        <f t="shared" si="12"/>
        <v>0</v>
      </c>
      <c r="R51" s="39">
        <f t="shared" si="13"/>
        <v>0</v>
      </c>
    </row>
    <row r="52" spans="1:18" ht="15" customHeight="1" x14ac:dyDescent="0.25">
      <c r="A52" s="30" t="str">
        <f>TKB_Nhap!A52</f>
        <v>8B</v>
      </c>
      <c r="B52" s="30" t="str">
        <f>TKB_Nhap!B52</f>
        <v>S</v>
      </c>
      <c r="C52" s="30" t="str">
        <f>TKB_Nhap!C52</f>
        <v>3</v>
      </c>
      <c r="D52" s="30" t="str">
        <f>IF(TKB_Nhap!D52="","",IFERROR(T(INDEX(PhanCong!$B$3:$J$18,MATCH(TKB_Nhap!D52,PhanCong!$A$3:$A$18,0),MATCH($A52,PhanCong!$B$2:$J$2,0))),""))</f>
        <v>Nguyễn Ly</v>
      </c>
      <c r="E52" s="30" t="str">
        <f>IF(TKB_Nhap!E52="","",IFERROR(T(INDEX(PhanCong!$B$3:$J$18,MATCH(TKB_Nhap!E52,PhanCong!$A$3:$A$18,0),MATCH($A52,PhanCong!$B$2:$J$2,0))),""))</f>
        <v>Khu</v>
      </c>
      <c r="F52" s="30" t="str">
        <f>IF(TKB_Nhap!F52="","",IFERROR(T(INDEX(PhanCong!$B$3:$J$18,MATCH(TKB_Nhap!F52,PhanCong!$A$3:$A$18,0),MATCH($A52,PhanCong!$B$2:$J$2,0))),""))</f>
        <v>Trung</v>
      </c>
      <c r="G52" s="30" t="str">
        <f>IF(TKB_Nhap!G52="","",IFERROR(T(INDEX(PhanCong!$B$3:$J$18,MATCH(TKB_Nhap!G52,PhanCong!$A$3:$A$18,0),MATCH($A52,PhanCong!$B$2:$J$2,0))),""))</f>
        <v>Minh Anh</v>
      </c>
      <c r="H52" s="30" t="str">
        <f>IF(TKB_Nhap!H52="","",IFERROR(T(INDEX(PhanCong!$B$3:$J$18,MATCH(TKB_Nhap!H52,PhanCong!$A$3:$A$18,0),MATCH($A52,PhanCong!$B$2:$J$2,0))),""))</f>
        <v>Uyên</v>
      </c>
      <c r="I52" s="30" t="str">
        <f>IF(TKB_Nhap!I52="","",IFERROR(T(INDEX(PhanCong!$B$3:$J$18,MATCH(TKB_Nhap!I52,PhanCong!$A$3:$A$18,0),MATCH($A52,PhanCong!$B$2:$J$2,0))),""))</f>
        <v>Sơn</v>
      </c>
      <c r="J52" s="30" t="str">
        <f>IF(TKB_Nhap!J52="","",IFERROR(T(INDEX(PhanCong!$B$3:$J$18,MATCH(TKB_Nhap!J52,PhanCong!$A$3:$A$18,0),MATCH($A52,PhanCong!$B$2:$J$2,0))),""))</f>
        <v/>
      </c>
      <c r="L52" s="39">
        <f t="shared" si="7"/>
        <v>0</v>
      </c>
      <c r="M52" s="39">
        <f t="shared" si="8"/>
        <v>0</v>
      </c>
      <c r="N52" s="39">
        <f t="shared" si="9"/>
        <v>0</v>
      </c>
      <c r="O52" s="39">
        <f t="shared" si="10"/>
        <v>0</v>
      </c>
      <c r="P52" s="39">
        <f t="shared" si="11"/>
        <v>0</v>
      </c>
      <c r="Q52" s="39">
        <f t="shared" si="12"/>
        <v>0</v>
      </c>
      <c r="R52" s="39">
        <f t="shared" si="13"/>
        <v>0</v>
      </c>
    </row>
    <row r="53" spans="1:18" ht="15" customHeight="1" x14ac:dyDescent="0.25">
      <c r="A53" s="30" t="str">
        <f>TKB_Nhap!A53</f>
        <v>8B</v>
      </c>
      <c r="B53" s="30" t="str">
        <f>TKB_Nhap!B53</f>
        <v>S</v>
      </c>
      <c r="C53" s="30" t="str">
        <f>TKB_Nhap!C53</f>
        <v>4</v>
      </c>
      <c r="D53" s="30" t="str">
        <f>IF(TKB_Nhap!D53="","",IFERROR(T(INDEX(PhanCong!$B$3:$J$18,MATCH(TKB_Nhap!D53,PhanCong!$A$3:$A$18,0),MATCH($A53,PhanCong!$B$2:$J$2,0))),""))</f>
        <v>Hồng</v>
      </c>
      <c r="E53" s="30" t="str">
        <f>IF(TKB_Nhap!E53="","",IFERROR(T(INDEX(PhanCong!$B$3:$J$18,MATCH(TKB_Nhap!E53,PhanCong!$A$3:$A$18,0),MATCH($A53,PhanCong!$B$2:$J$2,0))),""))</f>
        <v>Hoà</v>
      </c>
      <c r="F53" s="30" t="str">
        <f>IF(TKB_Nhap!F53="","",IFERROR(T(INDEX(PhanCong!$B$3:$J$18,MATCH(TKB_Nhap!F53,PhanCong!$A$3:$A$18,0),MATCH($A53,PhanCong!$B$2:$J$2,0))),""))</f>
        <v>Huyền</v>
      </c>
      <c r="G53" s="30" t="str">
        <f>IF(TKB_Nhap!G53="","",IFERROR(T(INDEX(PhanCong!$B$3:$J$18,MATCH(TKB_Nhap!G53,PhanCong!$A$3:$A$18,0),MATCH($A53,PhanCong!$B$2:$J$2,0))),""))</f>
        <v>Huyền</v>
      </c>
      <c r="H53" s="30" t="str">
        <f>IF(TKB_Nhap!H53="","",IFERROR(T(INDEX(PhanCong!$B$3:$J$18,MATCH(TKB_Nhap!H53,PhanCong!$A$3:$A$18,0),MATCH($A53,PhanCong!$B$2:$J$2,0))),""))</f>
        <v>GVHĐ 1</v>
      </c>
      <c r="I53" s="30" t="str">
        <f>IF(TKB_Nhap!I53="","",IFERROR(T(INDEX(PhanCong!$B$3:$J$18,MATCH(TKB_Nhap!I53,PhanCong!$A$3:$A$18,0),MATCH($A53,PhanCong!$B$2:$J$2,0))),""))</f>
        <v>Huyền Ly</v>
      </c>
      <c r="J53" s="30" t="str">
        <f>IF(TKB_Nhap!J53="","",IFERROR(T(INDEX(PhanCong!$B$3:$J$18,MATCH(TKB_Nhap!J53,PhanCong!$A$3:$A$18,0),MATCH($A53,PhanCong!$B$2:$J$2,0))),""))</f>
        <v/>
      </c>
      <c r="L53" s="39">
        <f t="shared" si="7"/>
        <v>0</v>
      </c>
      <c r="M53" s="39">
        <f t="shared" si="8"/>
        <v>0</v>
      </c>
      <c r="N53" s="39">
        <f t="shared" si="9"/>
        <v>0</v>
      </c>
      <c r="O53" s="39">
        <f t="shared" si="10"/>
        <v>0</v>
      </c>
      <c r="P53" s="39">
        <f t="shared" si="11"/>
        <v>0</v>
      </c>
      <c r="Q53" s="39">
        <f t="shared" si="12"/>
        <v>0</v>
      </c>
      <c r="R53" s="39">
        <f t="shared" si="13"/>
        <v>0</v>
      </c>
    </row>
    <row r="54" spans="1:18" ht="15" customHeight="1" x14ac:dyDescent="0.25">
      <c r="A54" s="30" t="str">
        <f>TKB_Nhap!A54</f>
        <v>8B</v>
      </c>
      <c r="B54" s="30" t="str">
        <f>TKB_Nhap!B54</f>
        <v>S</v>
      </c>
      <c r="C54" s="30" t="str">
        <f>TKB_Nhap!C54</f>
        <v>5</v>
      </c>
      <c r="D54" s="30" t="str">
        <f>IF(TKB_Nhap!D54="","",IFERROR(T(INDEX(PhanCong!$B$3:$J$18,MATCH(TKB_Nhap!D54,PhanCong!$A$3:$A$18,0),MATCH($A54,PhanCong!$B$2:$J$2,0))),""))</f>
        <v>Huyền Ly</v>
      </c>
      <c r="E54" s="30" t="str">
        <f>IF(TKB_Nhap!E54="","",IFERROR(T(INDEX(PhanCong!$B$3:$J$18,MATCH(TKB_Nhap!E54,PhanCong!$A$3:$A$18,0),MATCH($A54,PhanCong!$B$2:$J$2,0))),""))</f>
        <v>Vân</v>
      </c>
      <c r="F54" s="30" t="str">
        <f>IF(TKB_Nhap!F54="","",IFERROR(T(INDEX(PhanCong!$B$3:$J$18,MATCH(TKB_Nhap!F54,PhanCong!$A$3:$A$18,0),MATCH($A54,PhanCong!$B$2:$J$2,0))),""))</f>
        <v>Lan Ly</v>
      </c>
      <c r="G54" s="30" t="str">
        <f>IF(TKB_Nhap!G54="","",IFERROR(T(INDEX(PhanCong!$B$3:$J$18,MATCH(TKB_Nhap!G54,PhanCong!$A$3:$A$18,0),MATCH($A54,PhanCong!$B$2:$J$2,0))),""))</f>
        <v>Khu</v>
      </c>
      <c r="H54" s="30" t="str">
        <f>IF(TKB_Nhap!H54="","",IFERROR(T(INDEX(PhanCong!$B$3:$J$18,MATCH(TKB_Nhap!H54,PhanCong!$A$3:$A$18,0),MATCH($A54,PhanCong!$B$2:$J$2,0))),""))</f>
        <v>Trung</v>
      </c>
      <c r="I54" s="30" t="str">
        <f>IF(TKB_Nhap!I54="","",IFERROR(T(INDEX(PhanCong!$B$3:$J$18,MATCH(TKB_Nhap!I54,PhanCong!$A$3:$A$18,0),MATCH($A54,PhanCong!$B$2:$J$2,0))),""))</f>
        <v>Trung</v>
      </c>
      <c r="J54" s="30" t="str">
        <f>IF(TKB_Nhap!J54="","",IFERROR(T(INDEX(PhanCong!$B$3:$J$18,MATCH(TKB_Nhap!J54,PhanCong!$A$3:$A$18,0),MATCH($A54,PhanCong!$B$2:$J$2,0))),""))</f>
        <v/>
      </c>
      <c r="L54" s="39">
        <f t="shared" si="7"/>
        <v>0</v>
      </c>
      <c r="M54" s="39">
        <f t="shared" si="8"/>
        <v>0</v>
      </c>
      <c r="N54" s="39">
        <f t="shared" si="9"/>
        <v>0</v>
      </c>
      <c r="O54" s="39">
        <f t="shared" si="10"/>
        <v>0</v>
      </c>
      <c r="P54" s="39">
        <f t="shared" si="11"/>
        <v>0</v>
      </c>
      <c r="Q54" s="39">
        <f t="shared" si="12"/>
        <v>0</v>
      </c>
      <c r="R54" s="39">
        <f t="shared" si="13"/>
        <v>0</v>
      </c>
    </row>
    <row r="55" spans="1:18" ht="15" customHeight="1" x14ac:dyDescent="0.25">
      <c r="A55" s="30" t="str">
        <f>TKB_Nhap!A55</f>
        <v>8B</v>
      </c>
      <c r="B55" s="30" t="str">
        <f>TKB_Nhap!B55</f>
        <v>C</v>
      </c>
      <c r="C55" s="30" t="str">
        <f>TKB_Nhap!C55</f>
        <v>1</v>
      </c>
      <c r="D55" s="30" t="str">
        <f>IF(TKB_Nhap!D55="","",IFERROR(T(INDEX(PhanCong!$B$3:$J$18,MATCH(TKB_Nhap!D55,PhanCong!$A$3:$A$18,0),MATCH($A55,PhanCong!$B$2:$J$2,0))),""))</f>
        <v/>
      </c>
      <c r="E55" s="30" t="str">
        <f>IF(TKB_Nhap!E55="","",IFERROR(T(INDEX(PhanCong!$B$3:$J$18,MATCH(TKB_Nhap!E55,PhanCong!$A$3:$A$18,0),MATCH($A55,PhanCong!$B$2:$J$2,0))),""))</f>
        <v/>
      </c>
      <c r="F55" s="30" t="str">
        <f>IF(TKB_Nhap!F55="","",IFERROR(T(INDEX(PhanCong!$B$3:$J$18,MATCH(TKB_Nhap!F55,PhanCong!$A$3:$A$18,0),MATCH($A55,PhanCong!$B$2:$J$2,0))),""))</f>
        <v/>
      </c>
      <c r="G55" s="30" t="str">
        <f>IF(TKB_Nhap!G55="","",IFERROR(T(INDEX(PhanCong!$B$3:$J$18,MATCH(TKB_Nhap!G55,PhanCong!$A$3:$A$18,0),MATCH($A55,PhanCong!$B$2:$J$2,0))),""))</f>
        <v/>
      </c>
      <c r="H55" s="30" t="str">
        <f>IF(TKB_Nhap!H55="","",IFERROR(T(INDEX(PhanCong!$B$3:$J$18,MATCH(TKB_Nhap!H55,PhanCong!$A$3:$A$18,0),MATCH($A55,PhanCong!$B$2:$J$2,0))),""))</f>
        <v/>
      </c>
      <c r="I55" s="30" t="str">
        <f>IF(TKB_Nhap!I55="","",IFERROR(T(INDEX(PhanCong!$B$3:$J$18,MATCH(TKB_Nhap!I55,PhanCong!$A$3:$A$18,0),MATCH($A55,PhanCong!$B$2:$J$2,0))),""))</f>
        <v/>
      </c>
      <c r="J55" s="30" t="str">
        <f>IF(TKB_Nhap!J55="","",IFERROR(T(INDEX(PhanCong!$B$3:$J$18,MATCH(TKB_Nhap!J55,PhanCong!$A$3:$A$18,0),MATCH($A55,PhanCong!$B$2:$J$2,0))),""))</f>
        <v/>
      </c>
      <c r="L55" s="39">
        <f t="shared" si="7"/>
        <v>0</v>
      </c>
      <c r="M55" s="39">
        <f t="shared" si="8"/>
        <v>0</v>
      </c>
      <c r="N55" s="39">
        <f t="shared" si="9"/>
        <v>0</v>
      </c>
      <c r="O55" s="39">
        <f t="shared" si="10"/>
        <v>0</v>
      </c>
      <c r="P55" s="39">
        <f t="shared" si="11"/>
        <v>0</v>
      </c>
      <c r="Q55" s="39">
        <f t="shared" si="12"/>
        <v>0</v>
      </c>
      <c r="R55" s="39">
        <f t="shared" si="13"/>
        <v>0</v>
      </c>
    </row>
    <row r="56" spans="1:18" ht="15" customHeight="1" x14ac:dyDescent="0.25">
      <c r="A56" s="30" t="str">
        <f>TKB_Nhap!A56</f>
        <v>8B</v>
      </c>
      <c r="B56" s="30" t="str">
        <f>TKB_Nhap!B56</f>
        <v>C</v>
      </c>
      <c r="C56" s="30" t="str">
        <f>TKB_Nhap!C56</f>
        <v>2</v>
      </c>
      <c r="D56" s="30" t="str">
        <f>IF(TKB_Nhap!D56="","",IFERROR(T(INDEX(PhanCong!$B$3:$J$18,MATCH(TKB_Nhap!D56,PhanCong!$A$3:$A$18,0),MATCH($A56,PhanCong!$B$2:$J$2,0))),""))</f>
        <v/>
      </c>
      <c r="E56" s="30" t="str">
        <f>IF(TKB_Nhap!E56="","",IFERROR(T(INDEX(PhanCong!$B$3:$J$18,MATCH(TKB_Nhap!E56,PhanCong!$A$3:$A$18,0),MATCH($A56,PhanCong!$B$2:$J$2,0))),""))</f>
        <v/>
      </c>
      <c r="F56" s="30" t="str">
        <f>IF(TKB_Nhap!F56="","",IFERROR(T(INDEX(PhanCong!$B$3:$J$18,MATCH(TKB_Nhap!F56,PhanCong!$A$3:$A$18,0),MATCH($A56,PhanCong!$B$2:$J$2,0))),""))</f>
        <v/>
      </c>
      <c r="G56" s="30" t="str">
        <f>IF(TKB_Nhap!G56="","",IFERROR(T(INDEX(PhanCong!$B$3:$J$18,MATCH(TKB_Nhap!G56,PhanCong!$A$3:$A$18,0),MATCH($A56,PhanCong!$B$2:$J$2,0))),""))</f>
        <v/>
      </c>
      <c r="H56" s="30" t="str">
        <f>IF(TKB_Nhap!H56="","",IFERROR(T(INDEX(PhanCong!$B$3:$J$18,MATCH(TKB_Nhap!H56,PhanCong!$A$3:$A$18,0),MATCH($A56,PhanCong!$B$2:$J$2,0))),""))</f>
        <v/>
      </c>
      <c r="I56" s="30" t="str">
        <f>IF(TKB_Nhap!I56="","",IFERROR(T(INDEX(PhanCong!$B$3:$J$18,MATCH(TKB_Nhap!I56,PhanCong!$A$3:$A$18,0),MATCH($A56,PhanCong!$B$2:$J$2,0))),""))</f>
        <v/>
      </c>
      <c r="J56" s="30" t="str">
        <f>IF(TKB_Nhap!J56="","",IFERROR(T(INDEX(PhanCong!$B$3:$J$18,MATCH(TKB_Nhap!J56,PhanCong!$A$3:$A$18,0),MATCH($A56,PhanCong!$B$2:$J$2,0))),""))</f>
        <v/>
      </c>
      <c r="L56" s="39">
        <f t="shared" si="7"/>
        <v>0</v>
      </c>
      <c r="M56" s="39">
        <f t="shared" si="8"/>
        <v>0</v>
      </c>
      <c r="N56" s="39">
        <f t="shared" si="9"/>
        <v>0</v>
      </c>
      <c r="O56" s="39">
        <f t="shared" si="10"/>
        <v>0</v>
      </c>
      <c r="P56" s="39">
        <f t="shared" si="11"/>
        <v>0</v>
      </c>
      <c r="Q56" s="39">
        <f t="shared" si="12"/>
        <v>0</v>
      </c>
      <c r="R56" s="39">
        <f t="shared" si="13"/>
        <v>0</v>
      </c>
    </row>
    <row r="57" spans="1:18" ht="15" customHeight="1" x14ac:dyDescent="0.25">
      <c r="A57" s="30" t="str">
        <f>TKB_Nhap!A57</f>
        <v>8B</v>
      </c>
      <c r="B57" s="30" t="str">
        <f>TKB_Nhap!B57</f>
        <v>C</v>
      </c>
      <c r="C57" s="30" t="str">
        <f>TKB_Nhap!C57</f>
        <v>3</v>
      </c>
      <c r="D57" s="30" t="str">
        <f>IF(TKB_Nhap!D57="","",IFERROR(T(INDEX(PhanCong!$B$3:$J$18,MATCH(TKB_Nhap!D57,PhanCong!$A$3:$A$18,0),MATCH($A57,PhanCong!$B$2:$J$2,0))),""))</f>
        <v/>
      </c>
      <c r="E57" s="30" t="str">
        <f>IF(TKB_Nhap!E57="","",IFERROR(T(INDEX(PhanCong!$B$3:$J$18,MATCH(TKB_Nhap!E57,PhanCong!$A$3:$A$18,0),MATCH($A57,PhanCong!$B$2:$J$2,0))),""))</f>
        <v/>
      </c>
      <c r="F57" s="30" t="str">
        <f>IF(TKB_Nhap!F57="","",IFERROR(T(INDEX(PhanCong!$B$3:$J$18,MATCH(TKB_Nhap!F57,PhanCong!$A$3:$A$18,0),MATCH($A57,PhanCong!$B$2:$J$2,0))),""))</f>
        <v/>
      </c>
      <c r="G57" s="30" t="str">
        <f>IF(TKB_Nhap!G57="","",IFERROR(T(INDEX(PhanCong!$B$3:$J$18,MATCH(TKB_Nhap!G57,PhanCong!$A$3:$A$18,0),MATCH($A57,PhanCong!$B$2:$J$2,0))),""))</f>
        <v/>
      </c>
      <c r="H57" s="30" t="str">
        <f>IF(TKB_Nhap!H57="","",IFERROR(T(INDEX(PhanCong!$B$3:$J$18,MATCH(TKB_Nhap!H57,PhanCong!$A$3:$A$18,0),MATCH($A57,PhanCong!$B$2:$J$2,0))),""))</f>
        <v/>
      </c>
      <c r="I57" s="30" t="str">
        <f>IF(TKB_Nhap!I57="","",IFERROR(T(INDEX(PhanCong!$B$3:$J$18,MATCH(TKB_Nhap!I57,PhanCong!$A$3:$A$18,0),MATCH($A57,PhanCong!$B$2:$J$2,0))),""))</f>
        <v/>
      </c>
      <c r="J57" s="30" t="str">
        <f>IF(TKB_Nhap!J57="","",IFERROR(T(INDEX(PhanCong!$B$3:$J$18,MATCH(TKB_Nhap!J57,PhanCong!$A$3:$A$18,0),MATCH($A57,PhanCong!$B$2:$J$2,0))),""))</f>
        <v/>
      </c>
      <c r="L57" s="39">
        <f t="shared" si="7"/>
        <v>0</v>
      </c>
      <c r="M57" s="39">
        <f t="shared" si="8"/>
        <v>0</v>
      </c>
      <c r="N57" s="39">
        <f t="shared" si="9"/>
        <v>0</v>
      </c>
      <c r="O57" s="39">
        <f t="shared" si="10"/>
        <v>0</v>
      </c>
      <c r="P57" s="39">
        <f t="shared" si="11"/>
        <v>0</v>
      </c>
      <c r="Q57" s="39">
        <f t="shared" si="12"/>
        <v>0</v>
      </c>
      <c r="R57" s="39">
        <f t="shared" si="13"/>
        <v>0</v>
      </c>
    </row>
    <row r="58" spans="1:18" ht="15" customHeight="1" x14ac:dyDescent="0.25">
      <c r="A58" s="36" t="str">
        <f>TKB_Nhap!A58</f>
        <v>9A</v>
      </c>
      <c r="B58" s="36" t="str">
        <f>TKB_Nhap!B58</f>
        <v>S</v>
      </c>
      <c r="C58" s="36" t="str">
        <f>TKB_Nhap!C58</f>
        <v>1</v>
      </c>
      <c r="D58" s="36" t="str">
        <f>IF(TKB_Nhap!D58="","",IFERROR(T(INDEX(PhanCong!$B$3:$J$18,MATCH(TKB_Nhap!D58,PhanCong!$A$3:$A$18,0),MATCH($A58,PhanCong!$B$2:$J$2,0))),""))</f>
        <v>Hoa</v>
      </c>
      <c r="E58" s="36" t="str">
        <f>IF(TKB_Nhap!E58="","",IFERROR(T(INDEX(PhanCong!$B$3:$J$18,MATCH(TKB_Nhap!E58,PhanCong!$A$3:$A$18,0),MATCH($A58,PhanCong!$B$2:$J$2,0))),""))</f>
        <v>Hoa</v>
      </c>
      <c r="F58" s="36" t="str">
        <f>IF(TKB_Nhap!F58="","",IFERROR(T(INDEX(PhanCong!$B$3:$J$18,MATCH(TKB_Nhap!F58,PhanCong!$A$3:$A$18,0),MATCH($A58,PhanCong!$B$2:$J$2,0))),""))</f>
        <v>Hồng</v>
      </c>
      <c r="G58" s="36" t="str">
        <f>IF(TKB_Nhap!G58="","",IFERROR(T(INDEX(PhanCong!$B$3:$J$18,MATCH(TKB_Nhap!G58,PhanCong!$A$3:$A$18,0),MATCH($A58,PhanCong!$B$2:$J$2,0))),""))</f>
        <v>Hồng</v>
      </c>
      <c r="H58" s="36" t="str">
        <f>IF(TKB_Nhap!H58="","",IFERROR(T(INDEX(PhanCong!$B$3:$J$18,MATCH(TKB_Nhap!H58,PhanCong!$A$3:$A$18,0),MATCH($A58,PhanCong!$B$2:$J$2,0))),""))</f>
        <v>Huyền</v>
      </c>
      <c r="I58" s="36" t="str">
        <f>IF(TKB_Nhap!I58="","",IFERROR(T(INDEX(PhanCong!$B$3:$J$18,MATCH(TKB_Nhap!I58,PhanCong!$A$3:$A$18,0),MATCH($A58,PhanCong!$B$2:$J$2,0))),""))</f>
        <v>Huyền Ly</v>
      </c>
      <c r="J58" s="36" t="str">
        <f>IF(TKB_Nhap!J58="","",IFERROR(T(INDEX(PhanCong!$B$3:$J$18,MATCH(TKB_Nhap!J58,PhanCong!$A$3:$A$18,0),MATCH($A58,PhanCong!$B$2:$J$2,0))),""))</f>
        <v/>
      </c>
      <c r="L58" s="39">
        <f t="shared" si="7"/>
        <v>0</v>
      </c>
      <c r="M58" s="39">
        <f t="shared" si="8"/>
        <v>0</v>
      </c>
      <c r="N58" s="39">
        <f t="shared" si="9"/>
        <v>0</v>
      </c>
      <c r="O58" s="39">
        <f t="shared" si="10"/>
        <v>0</v>
      </c>
      <c r="P58" s="39">
        <f t="shared" si="11"/>
        <v>0</v>
      </c>
      <c r="Q58" s="39">
        <f t="shared" si="12"/>
        <v>0</v>
      </c>
      <c r="R58" s="39">
        <f t="shared" si="13"/>
        <v>0</v>
      </c>
    </row>
    <row r="59" spans="1:18" ht="15" customHeight="1" x14ac:dyDescent="0.25">
      <c r="A59" s="36" t="str">
        <f>TKB_Nhap!A59</f>
        <v>9A</v>
      </c>
      <c r="B59" s="36" t="str">
        <f>TKB_Nhap!B59</f>
        <v>S</v>
      </c>
      <c r="C59" s="36" t="str">
        <f>TKB_Nhap!C59</f>
        <v>2</v>
      </c>
      <c r="D59" s="36" t="str">
        <f>IF(TKB_Nhap!D59="","",IFERROR(T(INDEX(PhanCong!$B$3:$J$18,MATCH(TKB_Nhap!D59,PhanCong!$A$3:$A$18,0),MATCH($A59,PhanCong!$B$2:$J$2,0))),""))</f>
        <v>Hoa</v>
      </c>
      <c r="E59" s="36" t="str">
        <f>IF(TKB_Nhap!E59="","",IFERROR(T(INDEX(PhanCong!$B$3:$J$18,MATCH(TKB_Nhap!E59,PhanCong!$A$3:$A$18,0),MATCH($A59,PhanCong!$B$2:$J$2,0))),""))</f>
        <v>Hoa</v>
      </c>
      <c r="F59" s="36" t="str">
        <f>IF(TKB_Nhap!F59="","",IFERROR(T(INDEX(PhanCong!$B$3:$J$18,MATCH(TKB_Nhap!F59,PhanCong!$A$3:$A$18,0),MATCH($A59,PhanCong!$B$2:$J$2,0))),""))</f>
        <v>Giang</v>
      </c>
      <c r="G59" s="36" t="str">
        <f>IF(TKB_Nhap!G59="","",IFERROR(T(INDEX(PhanCong!$B$3:$J$18,MATCH(TKB_Nhap!G59,PhanCong!$A$3:$A$18,0),MATCH($A59,PhanCong!$B$2:$J$2,0))),""))</f>
        <v>Huyền Ly</v>
      </c>
      <c r="H59" s="36" t="str">
        <f>IF(TKB_Nhap!H59="","",IFERROR(T(INDEX(PhanCong!$B$3:$J$18,MATCH(TKB_Nhap!H59,PhanCong!$A$3:$A$18,0),MATCH($A59,PhanCong!$B$2:$J$2,0))),""))</f>
        <v>Huyền Ly</v>
      </c>
      <c r="I59" s="36" t="str">
        <f>IF(TKB_Nhap!I59="","",IFERROR(T(INDEX(PhanCong!$B$3:$J$18,MATCH(TKB_Nhap!I59,PhanCong!$A$3:$A$18,0),MATCH($A59,PhanCong!$B$2:$J$2,0))),""))</f>
        <v>Hoa</v>
      </c>
      <c r="J59" s="36" t="str">
        <f>IF(TKB_Nhap!J59="","",IFERROR(T(INDEX(PhanCong!$B$3:$J$18,MATCH(TKB_Nhap!J59,PhanCong!$A$3:$A$18,0),MATCH($A59,PhanCong!$B$2:$J$2,0))),""))</f>
        <v/>
      </c>
      <c r="L59" s="39">
        <f t="shared" si="7"/>
        <v>0</v>
      </c>
      <c r="M59" s="39">
        <f t="shared" si="8"/>
        <v>0</v>
      </c>
      <c r="N59" s="39">
        <f t="shared" si="9"/>
        <v>0</v>
      </c>
      <c r="O59" s="39">
        <f t="shared" si="10"/>
        <v>0</v>
      </c>
      <c r="P59" s="39">
        <f t="shared" si="11"/>
        <v>0</v>
      </c>
      <c r="Q59" s="39">
        <f t="shared" si="12"/>
        <v>0</v>
      </c>
      <c r="R59" s="39">
        <f t="shared" si="13"/>
        <v>0</v>
      </c>
    </row>
    <row r="60" spans="1:18" ht="15" customHeight="1" x14ac:dyDescent="0.25">
      <c r="A60" s="36" t="str">
        <f>TKB_Nhap!A60</f>
        <v>9A</v>
      </c>
      <c r="B60" s="36" t="str">
        <f>TKB_Nhap!B60</f>
        <v>S</v>
      </c>
      <c r="C60" s="36" t="str">
        <f>TKB_Nhap!C60</f>
        <v>3</v>
      </c>
      <c r="D60" s="36" t="str">
        <f>IF(TKB_Nhap!D60="","",IFERROR(T(INDEX(PhanCong!$B$3:$J$18,MATCH(TKB_Nhap!D60,PhanCong!$A$3:$A$18,0),MATCH($A60,PhanCong!$B$2:$J$2,0))),""))</f>
        <v>Huyền Ly</v>
      </c>
      <c r="E60" s="36" t="str">
        <f>IF(TKB_Nhap!E60="","",IFERROR(T(INDEX(PhanCong!$B$3:$J$18,MATCH(TKB_Nhap!E60,PhanCong!$A$3:$A$18,0),MATCH($A60,PhanCong!$B$2:$J$2,0))),""))</f>
        <v>Lan Ly</v>
      </c>
      <c r="F60" s="36" t="str">
        <f>IF(TKB_Nhap!F60="","",IFERROR(T(INDEX(PhanCong!$B$3:$J$18,MATCH(TKB_Nhap!F60,PhanCong!$A$3:$A$18,0),MATCH($A60,PhanCong!$B$2:$J$2,0))),""))</f>
        <v>Khu</v>
      </c>
      <c r="G60" s="36" t="str">
        <f>IF(TKB_Nhap!G60="","",IFERROR(T(INDEX(PhanCong!$B$3:$J$18,MATCH(TKB_Nhap!G60,PhanCong!$A$3:$A$18,0),MATCH($A60,PhanCong!$B$2:$J$2,0))),""))</f>
        <v>Giang</v>
      </c>
      <c r="H60" s="36" t="str">
        <f>IF(TKB_Nhap!H60="","",IFERROR(T(INDEX(PhanCong!$B$3:$J$18,MATCH(TKB_Nhap!H60,PhanCong!$A$3:$A$18,0),MATCH($A60,PhanCong!$B$2:$J$2,0))),""))</f>
        <v>Sơn</v>
      </c>
      <c r="I60" s="36" t="str">
        <f>IF(TKB_Nhap!I60="","",IFERROR(T(INDEX(PhanCong!$B$3:$J$18,MATCH(TKB_Nhap!I60,PhanCong!$A$3:$A$18,0),MATCH($A60,PhanCong!$B$2:$J$2,0))),""))</f>
        <v>Khu</v>
      </c>
      <c r="J60" s="36" t="str">
        <f>IF(TKB_Nhap!J60="","",IFERROR(T(INDEX(PhanCong!$B$3:$J$18,MATCH(TKB_Nhap!J60,PhanCong!$A$3:$A$18,0),MATCH($A60,PhanCong!$B$2:$J$2,0))),""))</f>
        <v/>
      </c>
      <c r="L60" s="39">
        <f t="shared" si="7"/>
        <v>0</v>
      </c>
      <c r="M60" s="39">
        <f t="shared" si="8"/>
        <v>0</v>
      </c>
      <c r="N60" s="39">
        <f t="shared" si="9"/>
        <v>0</v>
      </c>
      <c r="O60" s="39">
        <f t="shared" si="10"/>
        <v>0</v>
      </c>
      <c r="P60" s="39">
        <f t="shared" si="11"/>
        <v>0</v>
      </c>
      <c r="Q60" s="39">
        <f t="shared" si="12"/>
        <v>0</v>
      </c>
      <c r="R60" s="39">
        <f t="shared" si="13"/>
        <v>0</v>
      </c>
    </row>
    <row r="61" spans="1:18" ht="15" customHeight="1" x14ac:dyDescent="0.25">
      <c r="A61" s="36" t="str">
        <f>TKB_Nhap!A61</f>
        <v>9A</v>
      </c>
      <c r="B61" s="36" t="str">
        <f>TKB_Nhap!B61</f>
        <v>S</v>
      </c>
      <c r="C61" s="36" t="str">
        <f>TKB_Nhap!C61</f>
        <v>4</v>
      </c>
      <c r="D61" s="36" t="str">
        <f>IF(TKB_Nhap!D61="","",IFERROR(T(INDEX(PhanCong!$B$3:$J$18,MATCH(TKB_Nhap!D61,PhanCong!$A$3:$A$18,0),MATCH($A61,PhanCong!$B$2:$J$2,0))),""))</f>
        <v>Huyền</v>
      </c>
      <c r="E61" s="36" t="str">
        <f>IF(TKB_Nhap!E61="","",IFERROR(T(INDEX(PhanCong!$B$3:$J$18,MATCH(TKB_Nhap!E61,PhanCong!$A$3:$A$18,0),MATCH($A61,PhanCong!$B$2:$J$2,0))),""))</f>
        <v>Hoa</v>
      </c>
      <c r="F61" s="36" t="str">
        <f>IF(TKB_Nhap!F61="","",IFERROR(T(INDEX(PhanCong!$B$3:$J$18,MATCH(TKB_Nhap!F61,PhanCong!$A$3:$A$18,0),MATCH($A61,PhanCong!$B$2:$J$2,0))),""))</f>
        <v>Uyên</v>
      </c>
      <c r="G61" s="36" t="str">
        <f>IF(TKB_Nhap!G61="","",IFERROR(T(INDEX(PhanCong!$B$3:$J$18,MATCH(TKB_Nhap!G61,PhanCong!$A$3:$A$18,0),MATCH($A61,PhanCong!$B$2:$J$2,0))),""))</f>
        <v>Hà</v>
      </c>
      <c r="H61" s="36" t="str">
        <f>IF(TKB_Nhap!H61="","",IFERROR(T(INDEX(PhanCong!$B$3:$J$18,MATCH(TKB_Nhap!H61,PhanCong!$A$3:$A$18,0),MATCH($A61,PhanCong!$B$2:$J$2,0))),""))</f>
        <v>Nguyễn Ly</v>
      </c>
      <c r="I61" s="36" t="str">
        <f>IF(TKB_Nhap!I61="","",IFERROR(T(INDEX(PhanCong!$B$3:$J$18,MATCH(TKB_Nhap!I61,PhanCong!$A$3:$A$18,0),MATCH($A61,PhanCong!$B$2:$J$2,0))),""))</f>
        <v>Hoa</v>
      </c>
      <c r="J61" s="36" t="str">
        <f>IF(TKB_Nhap!J61="","",IFERROR(T(INDEX(PhanCong!$B$3:$J$18,MATCH(TKB_Nhap!J61,PhanCong!$A$3:$A$18,0),MATCH($A61,PhanCong!$B$2:$J$2,0))),""))</f>
        <v/>
      </c>
      <c r="L61" s="39">
        <f t="shared" si="7"/>
        <v>0</v>
      </c>
      <c r="M61" s="39">
        <f t="shared" si="8"/>
        <v>0</v>
      </c>
      <c r="N61" s="39">
        <f t="shared" si="9"/>
        <v>0</v>
      </c>
      <c r="O61" s="39">
        <f t="shared" si="10"/>
        <v>0</v>
      </c>
      <c r="P61" s="39">
        <f t="shared" si="11"/>
        <v>0</v>
      </c>
      <c r="Q61" s="39">
        <f t="shared" si="12"/>
        <v>0</v>
      </c>
      <c r="R61" s="39">
        <f t="shared" si="13"/>
        <v>0</v>
      </c>
    </row>
    <row r="62" spans="1:18" ht="15" customHeight="1" x14ac:dyDescent="0.25">
      <c r="A62" s="36" t="str">
        <f>TKB_Nhap!A62</f>
        <v>9A</v>
      </c>
      <c r="B62" s="36" t="str">
        <f>TKB_Nhap!B62</f>
        <v>S</v>
      </c>
      <c r="C62" s="36" t="str">
        <f>TKB_Nhap!C62</f>
        <v>5</v>
      </c>
      <c r="D62" s="36" t="str">
        <f>IF(TKB_Nhap!D62="","",IFERROR(T(INDEX(PhanCong!$B$3:$J$18,MATCH(TKB_Nhap!D62,PhanCong!$A$3:$A$18,0),MATCH($A62,PhanCong!$B$2:$J$2,0))),""))</f>
        <v>Nguyễn Ly</v>
      </c>
      <c r="E62" s="36" t="str">
        <f>IF(TKB_Nhap!E62="","",IFERROR(T(INDEX(PhanCong!$B$3:$J$18,MATCH(TKB_Nhap!E62,PhanCong!$A$3:$A$18,0),MATCH($A62,PhanCong!$B$2:$J$2,0))),""))</f>
        <v>Huyền Ly</v>
      </c>
      <c r="F62" s="36" t="str">
        <f>IF(TKB_Nhap!F62="","",IFERROR(T(INDEX(PhanCong!$B$3:$J$18,MATCH(TKB_Nhap!F62,PhanCong!$A$3:$A$18,0),MATCH($A62,PhanCong!$B$2:$J$2,0))),""))</f>
        <v>Vân</v>
      </c>
      <c r="G62" s="36" t="str">
        <f>IF(TKB_Nhap!G62="","",IFERROR(T(INDEX(PhanCong!$B$3:$J$18,MATCH(TKB_Nhap!G62,PhanCong!$A$3:$A$18,0),MATCH($A62,PhanCong!$B$2:$J$2,0))),""))</f>
        <v>Huyền</v>
      </c>
      <c r="H62" s="36" t="str">
        <f>IF(TKB_Nhap!H62="","",IFERROR(T(INDEX(PhanCong!$B$3:$J$18,MATCH(TKB_Nhap!H62,PhanCong!$A$3:$A$18,0),MATCH($A62,PhanCong!$B$2:$J$2,0))),""))</f>
        <v>Giang</v>
      </c>
      <c r="I62" s="36" t="str">
        <f>IF(TKB_Nhap!I62="","",IFERROR(T(INDEX(PhanCong!$B$3:$J$18,MATCH(TKB_Nhap!I62,PhanCong!$A$3:$A$18,0),MATCH($A62,PhanCong!$B$2:$J$2,0))),""))</f>
        <v/>
      </c>
      <c r="J62" s="36" t="str">
        <f>IF(TKB_Nhap!J62="","",IFERROR(T(INDEX(PhanCong!$B$3:$J$18,MATCH(TKB_Nhap!J62,PhanCong!$A$3:$A$18,0),MATCH($A62,PhanCong!$B$2:$J$2,0))),""))</f>
        <v/>
      </c>
      <c r="L62" s="39">
        <f t="shared" si="7"/>
        <v>0</v>
      </c>
      <c r="M62" s="39">
        <f t="shared" si="8"/>
        <v>0</v>
      </c>
      <c r="N62" s="39">
        <f t="shared" si="9"/>
        <v>0</v>
      </c>
      <c r="O62" s="39">
        <f t="shared" si="10"/>
        <v>0</v>
      </c>
      <c r="P62" s="39">
        <f t="shared" si="11"/>
        <v>0</v>
      </c>
      <c r="Q62" s="39">
        <f t="shared" si="12"/>
        <v>0</v>
      </c>
      <c r="R62" s="39">
        <f t="shared" si="13"/>
        <v>0</v>
      </c>
    </row>
    <row r="63" spans="1:18" ht="15" customHeight="1" x14ac:dyDescent="0.25">
      <c r="A63" s="36" t="str">
        <f>TKB_Nhap!A63</f>
        <v>9A</v>
      </c>
      <c r="B63" s="36" t="str">
        <f>TKB_Nhap!B63</f>
        <v>C</v>
      </c>
      <c r="C63" s="36" t="str">
        <f>TKB_Nhap!C63</f>
        <v>1</v>
      </c>
      <c r="D63" s="36" t="str">
        <f>IF(TKB_Nhap!D63="","",IFERROR(T(INDEX(PhanCong!$B$3:$J$18,MATCH(TKB_Nhap!D63,PhanCong!$A$3:$A$18,0),MATCH($A63,PhanCong!$B$2:$J$2,0))),""))</f>
        <v/>
      </c>
      <c r="E63" s="36" t="str">
        <f>IF(TKB_Nhap!E63="","",IFERROR(T(INDEX(PhanCong!$B$3:$J$18,MATCH(TKB_Nhap!E63,PhanCong!$A$3:$A$18,0),MATCH($A63,PhanCong!$B$2:$J$2,0))),""))</f>
        <v/>
      </c>
      <c r="F63" s="36" t="str">
        <f>IF(TKB_Nhap!F63="","",IFERROR(T(INDEX(PhanCong!$B$3:$J$18,MATCH(TKB_Nhap!F63,PhanCong!$A$3:$A$18,0),MATCH($A63,PhanCong!$B$2:$J$2,0))),""))</f>
        <v/>
      </c>
      <c r="G63" s="36" t="str">
        <f>IF(TKB_Nhap!G63="","",IFERROR(T(INDEX(PhanCong!$B$3:$J$18,MATCH(TKB_Nhap!G63,PhanCong!$A$3:$A$18,0),MATCH($A63,PhanCong!$B$2:$J$2,0))),""))</f>
        <v/>
      </c>
      <c r="H63" s="36" t="str">
        <f>IF(TKB_Nhap!H63="","",IFERROR(T(INDEX(PhanCong!$B$3:$J$18,MATCH(TKB_Nhap!H63,PhanCong!$A$3:$A$18,0),MATCH($A63,PhanCong!$B$2:$J$2,0))),""))</f>
        <v/>
      </c>
      <c r="I63" s="36" t="str">
        <f>IF(TKB_Nhap!I63="","",IFERROR(T(INDEX(PhanCong!$B$3:$J$18,MATCH(TKB_Nhap!I63,PhanCong!$A$3:$A$18,0),MATCH($A63,PhanCong!$B$2:$J$2,0))),""))</f>
        <v/>
      </c>
      <c r="J63" s="36" t="str">
        <f>IF(TKB_Nhap!J63="","",IFERROR(T(INDEX(PhanCong!$B$3:$J$18,MATCH(TKB_Nhap!J63,PhanCong!$A$3:$A$18,0),MATCH($A63,PhanCong!$B$2:$J$2,0))),""))</f>
        <v/>
      </c>
      <c r="L63" s="39">
        <f t="shared" si="7"/>
        <v>0</v>
      </c>
      <c r="M63" s="39">
        <f t="shared" si="8"/>
        <v>0</v>
      </c>
      <c r="N63" s="39">
        <f t="shared" si="9"/>
        <v>0</v>
      </c>
      <c r="O63" s="39">
        <f t="shared" si="10"/>
        <v>0</v>
      </c>
      <c r="P63" s="39">
        <f t="shared" si="11"/>
        <v>0</v>
      </c>
      <c r="Q63" s="39">
        <f t="shared" si="12"/>
        <v>0</v>
      </c>
      <c r="R63" s="39">
        <f t="shared" si="13"/>
        <v>0</v>
      </c>
    </row>
    <row r="64" spans="1:18" ht="15" customHeight="1" x14ac:dyDescent="0.25">
      <c r="A64" s="36" t="str">
        <f>TKB_Nhap!A64</f>
        <v>9A</v>
      </c>
      <c r="B64" s="36" t="str">
        <f>TKB_Nhap!B64</f>
        <v>C</v>
      </c>
      <c r="C64" s="36" t="str">
        <f>TKB_Nhap!C64</f>
        <v>2</v>
      </c>
      <c r="D64" s="36" t="str">
        <f>IF(TKB_Nhap!D64="","",IFERROR(T(INDEX(PhanCong!$B$3:$J$18,MATCH(TKB_Nhap!D64,PhanCong!$A$3:$A$18,0),MATCH($A64,PhanCong!$B$2:$J$2,0))),""))</f>
        <v/>
      </c>
      <c r="E64" s="36" t="str">
        <f>IF(TKB_Nhap!E64="","",IFERROR(T(INDEX(PhanCong!$B$3:$J$18,MATCH(TKB_Nhap!E64,PhanCong!$A$3:$A$18,0),MATCH($A64,PhanCong!$B$2:$J$2,0))),""))</f>
        <v/>
      </c>
      <c r="F64" s="36" t="str">
        <f>IF(TKB_Nhap!F64="","",IFERROR(T(INDEX(PhanCong!$B$3:$J$18,MATCH(TKB_Nhap!F64,PhanCong!$A$3:$A$18,0),MATCH($A64,PhanCong!$B$2:$J$2,0))),""))</f>
        <v/>
      </c>
      <c r="G64" s="36" t="str">
        <f>IF(TKB_Nhap!G64="","",IFERROR(T(INDEX(PhanCong!$B$3:$J$18,MATCH(TKB_Nhap!G64,PhanCong!$A$3:$A$18,0),MATCH($A64,PhanCong!$B$2:$J$2,0))),""))</f>
        <v/>
      </c>
      <c r="H64" s="36" t="str">
        <f>IF(TKB_Nhap!H64="","",IFERROR(T(INDEX(PhanCong!$B$3:$J$18,MATCH(TKB_Nhap!H64,PhanCong!$A$3:$A$18,0),MATCH($A64,PhanCong!$B$2:$J$2,0))),""))</f>
        <v/>
      </c>
      <c r="I64" s="36" t="str">
        <f>IF(TKB_Nhap!I64="","",IFERROR(T(INDEX(PhanCong!$B$3:$J$18,MATCH(TKB_Nhap!I64,PhanCong!$A$3:$A$18,0),MATCH($A64,PhanCong!$B$2:$J$2,0))),""))</f>
        <v/>
      </c>
      <c r="J64" s="36" t="str">
        <f>IF(TKB_Nhap!J64="","",IFERROR(T(INDEX(PhanCong!$B$3:$J$18,MATCH(TKB_Nhap!J64,PhanCong!$A$3:$A$18,0),MATCH($A64,PhanCong!$B$2:$J$2,0))),""))</f>
        <v/>
      </c>
      <c r="L64" s="39">
        <f t="shared" si="7"/>
        <v>0</v>
      </c>
      <c r="M64" s="39">
        <f t="shared" si="8"/>
        <v>0</v>
      </c>
      <c r="N64" s="39">
        <f t="shared" si="9"/>
        <v>0</v>
      </c>
      <c r="O64" s="39">
        <f t="shared" si="10"/>
        <v>0</v>
      </c>
      <c r="P64" s="39">
        <f t="shared" si="11"/>
        <v>0</v>
      </c>
      <c r="Q64" s="39">
        <f t="shared" si="12"/>
        <v>0</v>
      </c>
      <c r="R64" s="39">
        <f t="shared" si="13"/>
        <v>0</v>
      </c>
    </row>
    <row r="65" spans="1:18" ht="15" customHeight="1" x14ac:dyDescent="0.25">
      <c r="A65" s="36" t="str">
        <f>TKB_Nhap!A65</f>
        <v>9A</v>
      </c>
      <c r="B65" s="36" t="str">
        <f>TKB_Nhap!B65</f>
        <v>C</v>
      </c>
      <c r="C65" s="36" t="str">
        <f>TKB_Nhap!C65</f>
        <v>3</v>
      </c>
      <c r="D65" s="36" t="str">
        <f>IF(TKB_Nhap!D65="","",IFERROR(T(INDEX(PhanCong!$B$3:$J$18,MATCH(TKB_Nhap!D65,PhanCong!$A$3:$A$18,0),MATCH($A65,PhanCong!$B$2:$J$2,0))),""))</f>
        <v/>
      </c>
      <c r="E65" s="36" t="str">
        <f>IF(TKB_Nhap!E65="","",IFERROR(T(INDEX(PhanCong!$B$3:$J$18,MATCH(TKB_Nhap!E65,PhanCong!$A$3:$A$18,0),MATCH($A65,PhanCong!$B$2:$J$2,0))),""))</f>
        <v/>
      </c>
      <c r="F65" s="36" t="str">
        <f>IF(TKB_Nhap!F65="","",IFERROR(T(INDEX(PhanCong!$B$3:$J$18,MATCH(TKB_Nhap!F65,PhanCong!$A$3:$A$18,0),MATCH($A65,PhanCong!$B$2:$J$2,0))),""))</f>
        <v/>
      </c>
      <c r="G65" s="36" t="str">
        <f>IF(TKB_Nhap!G65="","",IFERROR(T(INDEX(PhanCong!$B$3:$J$18,MATCH(TKB_Nhap!G65,PhanCong!$A$3:$A$18,0),MATCH($A65,PhanCong!$B$2:$J$2,0))),""))</f>
        <v/>
      </c>
      <c r="H65" s="36" t="str">
        <f>IF(TKB_Nhap!H65="","",IFERROR(T(INDEX(PhanCong!$B$3:$J$18,MATCH(TKB_Nhap!H65,PhanCong!$A$3:$A$18,0),MATCH($A65,PhanCong!$B$2:$J$2,0))),""))</f>
        <v/>
      </c>
      <c r="I65" s="36" t="str">
        <f>IF(TKB_Nhap!I65="","",IFERROR(T(INDEX(PhanCong!$B$3:$J$18,MATCH(TKB_Nhap!I65,PhanCong!$A$3:$A$18,0),MATCH($A65,PhanCong!$B$2:$J$2,0))),""))</f>
        <v/>
      </c>
      <c r="J65" s="36" t="str">
        <f>IF(TKB_Nhap!J65="","",IFERROR(T(INDEX(PhanCong!$B$3:$J$18,MATCH(TKB_Nhap!J65,PhanCong!$A$3:$A$18,0),MATCH($A65,PhanCong!$B$2:$J$2,0))),""))</f>
        <v/>
      </c>
      <c r="L65" s="39">
        <f t="shared" si="7"/>
        <v>0</v>
      </c>
      <c r="M65" s="39">
        <f t="shared" si="8"/>
        <v>0</v>
      </c>
      <c r="N65" s="39">
        <f t="shared" si="9"/>
        <v>0</v>
      </c>
      <c r="O65" s="39">
        <f t="shared" si="10"/>
        <v>0</v>
      </c>
      <c r="P65" s="39">
        <f t="shared" si="11"/>
        <v>0</v>
      </c>
      <c r="Q65" s="39">
        <f t="shared" si="12"/>
        <v>0</v>
      </c>
      <c r="R65" s="39">
        <f t="shared" si="13"/>
        <v>0</v>
      </c>
    </row>
    <row r="66" spans="1:18" ht="15" customHeight="1" x14ac:dyDescent="0.25">
      <c r="A66" s="30" t="str">
        <f>TKB_Nhap!A66</f>
        <v>9B</v>
      </c>
      <c r="B66" s="30" t="str">
        <f>TKB_Nhap!B66</f>
        <v>S</v>
      </c>
      <c r="C66" s="30" t="str">
        <f>TKB_Nhap!C66</f>
        <v>1</v>
      </c>
      <c r="D66" s="30" t="str">
        <f>IF(TKB_Nhap!D66="","",IFERROR(T(INDEX(PhanCong!$B$3:$J$18,MATCH(TKB_Nhap!D66,PhanCong!$A$3:$A$18,0),MATCH($A66,PhanCong!$B$2:$J$2,0))),""))</f>
        <v>Giang</v>
      </c>
      <c r="E66" s="30" t="str">
        <f>IF(TKB_Nhap!E66="","",IFERROR(T(INDEX(PhanCong!$B$3:$J$18,MATCH(TKB_Nhap!E66,PhanCong!$A$3:$A$18,0),MATCH($A66,PhanCong!$B$2:$J$2,0))),""))</f>
        <v>Huyền Ly</v>
      </c>
      <c r="F66" s="30" t="str">
        <f>IF(TKB_Nhap!F66="","",IFERROR(T(INDEX(PhanCong!$B$3:$J$18,MATCH(TKB_Nhap!F66,PhanCong!$A$3:$A$18,0),MATCH($A66,PhanCong!$B$2:$J$2,0))),""))</f>
        <v>Giang</v>
      </c>
      <c r="G66" s="30" t="str">
        <f>IF(TKB_Nhap!G66="","",IFERROR(T(INDEX(PhanCong!$B$3:$J$18,MATCH(TKB_Nhap!G66,PhanCong!$A$3:$A$18,0),MATCH($A66,PhanCong!$B$2:$J$2,0))),""))</f>
        <v>Giang</v>
      </c>
      <c r="H66" s="30" t="str">
        <f>IF(TKB_Nhap!H66="","",IFERROR(T(INDEX(PhanCong!$B$3:$J$18,MATCH(TKB_Nhap!H66,PhanCong!$A$3:$A$18,0),MATCH($A66,PhanCong!$B$2:$J$2,0))),""))</f>
        <v>Lan Ly</v>
      </c>
      <c r="I66" s="30" t="str">
        <f>IF(TKB_Nhap!I66="","",IFERROR(T(INDEX(PhanCong!$B$3:$J$18,MATCH(TKB_Nhap!I66,PhanCong!$A$3:$A$18,0),MATCH($A66,PhanCong!$B$2:$J$2,0))),""))</f>
        <v>Vân</v>
      </c>
      <c r="J66" s="30" t="str">
        <f>IF(TKB_Nhap!J66="","",IFERROR(T(INDEX(PhanCong!$B$3:$J$18,MATCH(TKB_Nhap!J66,PhanCong!$A$3:$A$18,0),MATCH($A66,PhanCong!$B$2:$J$2,0))),""))</f>
        <v/>
      </c>
      <c r="L66" s="39">
        <f t="shared" ref="L66:L73" si="14">IF(D66="",0,IF(COUNTIFS($B$2:$B$73,$B66,$C$2:$C$73,$C66,D$2:D$73,D66)&gt;1,1,0))</f>
        <v>0</v>
      </c>
      <c r="M66" s="39">
        <f t="shared" ref="M66:M73" si="15">IF(E66="",0,IF(COUNTIFS($B$2:$B$73,$B66,$C$2:$C$73,$C66,E$2:E$73,E66)&gt;1,1,0))</f>
        <v>0</v>
      </c>
      <c r="N66" s="39">
        <f t="shared" ref="N66:N73" si="16">IF(F66="",0,IF(COUNTIFS($B$2:$B$73,$B66,$C$2:$C$73,$C66,F$2:F$73,F66)&gt;1,1,0))</f>
        <v>0</v>
      </c>
      <c r="O66" s="39">
        <f t="shared" ref="O66:O73" si="17">IF(G66="",0,IF(COUNTIFS($B$2:$B$73,$B66,$C$2:$C$73,$C66,G$2:G$73,G66)&gt;1,1,0))</f>
        <v>0</v>
      </c>
      <c r="P66" s="39">
        <f t="shared" ref="P66:P73" si="18">IF(H66="",0,IF(COUNTIFS($B$2:$B$73,$B66,$C$2:$C$73,$C66,H$2:H$73,H66)&gt;1,1,0))</f>
        <v>0</v>
      </c>
      <c r="Q66" s="39">
        <f t="shared" ref="Q66:Q73" si="19">IF(I66="",0,IF(COUNTIFS($B$2:$B$73,$B66,$C$2:$C$73,$C66,I$2:I$73,I66)&gt;1,1,0))</f>
        <v>0</v>
      </c>
      <c r="R66" s="39">
        <f t="shared" ref="R66:R73" si="20">IF(J66="",0,IF(COUNTIFS($B$2:$B$73,$B66,$C$2:$C$73,$C66,J$2:J$73,J66)&gt;1,1,0))</f>
        <v>0</v>
      </c>
    </row>
    <row r="67" spans="1:18" ht="15" customHeight="1" x14ac:dyDescent="0.25">
      <c r="A67" s="30" t="str">
        <f>TKB_Nhap!A67</f>
        <v>9B</v>
      </c>
      <c r="B67" s="30" t="str">
        <f>TKB_Nhap!B67</f>
        <v>S</v>
      </c>
      <c r="C67" s="30" t="str">
        <f>TKB_Nhap!C67</f>
        <v>2</v>
      </c>
      <c r="D67" s="30" t="str">
        <f>IF(TKB_Nhap!D67="","",IFERROR(T(INDEX(PhanCong!$B$3:$J$18,MATCH(TKB_Nhap!D67,PhanCong!$A$3:$A$18,0),MATCH($A67,PhanCong!$B$2:$J$2,0))),""))</f>
        <v>Huyền Ly</v>
      </c>
      <c r="E67" s="30" t="str">
        <f>IF(TKB_Nhap!E67="","",IFERROR(T(INDEX(PhanCong!$B$3:$J$18,MATCH(TKB_Nhap!E67,PhanCong!$A$3:$A$18,0),MATCH($A67,PhanCong!$B$2:$J$2,0))),""))</f>
        <v>Hồng</v>
      </c>
      <c r="F67" s="30" t="str">
        <f>IF(TKB_Nhap!F67="","",IFERROR(T(INDEX(PhanCong!$B$3:$J$18,MATCH(TKB_Nhap!F67,PhanCong!$A$3:$A$18,0),MATCH($A67,PhanCong!$B$2:$J$2,0))),""))</f>
        <v>Huyền</v>
      </c>
      <c r="G67" s="30" t="str">
        <f>IF(TKB_Nhap!G67="","",IFERROR(T(INDEX(PhanCong!$B$3:$J$18,MATCH(TKB_Nhap!G67,PhanCong!$A$3:$A$18,0),MATCH($A67,PhanCong!$B$2:$J$2,0))),""))</f>
        <v>Hồng</v>
      </c>
      <c r="H67" s="30" t="str">
        <f>IF(TKB_Nhap!H67="","",IFERROR(T(INDEX(PhanCong!$B$3:$J$18,MATCH(TKB_Nhap!H67,PhanCong!$A$3:$A$18,0),MATCH($A67,PhanCong!$B$2:$J$2,0))),""))</f>
        <v>Hà</v>
      </c>
      <c r="I67" s="30" t="str">
        <f>IF(TKB_Nhap!I67="","",IFERROR(T(INDEX(PhanCong!$B$3:$J$18,MATCH(TKB_Nhap!I67,PhanCong!$A$3:$A$18,0),MATCH($A67,PhanCong!$B$2:$J$2,0))),""))</f>
        <v>Huyền</v>
      </c>
      <c r="J67" s="30" t="str">
        <f>IF(TKB_Nhap!J67="","",IFERROR(T(INDEX(PhanCong!$B$3:$J$18,MATCH(TKB_Nhap!J67,PhanCong!$A$3:$A$18,0),MATCH($A67,PhanCong!$B$2:$J$2,0))),""))</f>
        <v/>
      </c>
      <c r="L67" s="39">
        <f t="shared" si="14"/>
        <v>0</v>
      </c>
      <c r="M67" s="39">
        <f t="shared" si="15"/>
        <v>0</v>
      </c>
      <c r="N67" s="39">
        <f t="shared" si="16"/>
        <v>0</v>
      </c>
      <c r="O67" s="39">
        <f t="shared" si="17"/>
        <v>0</v>
      </c>
      <c r="P67" s="39">
        <f t="shared" si="18"/>
        <v>0</v>
      </c>
      <c r="Q67" s="39">
        <f t="shared" si="19"/>
        <v>0</v>
      </c>
      <c r="R67" s="39">
        <f t="shared" si="20"/>
        <v>0</v>
      </c>
    </row>
    <row r="68" spans="1:18" ht="15" customHeight="1" x14ac:dyDescent="0.25">
      <c r="A68" s="30" t="str">
        <f>TKB_Nhap!A68</f>
        <v>9B</v>
      </c>
      <c r="B68" s="30" t="str">
        <f>TKB_Nhap!B68</f>
        <v>S</v>
      </c>
      <c r="C68" s="30" t="str">
        <f>TKB_Nhap!C68</f>
        <v>3</v>
      </c>
      <c r="D68" s="30" t="str">
        <f>IF(TKB_Nhap!D68="","",IFERROR(T(INDEX(PhanCong!$B$3:$J$18,MATCH(TKB_Nhap!D68,PhanCong!$A$3:$A$18,0),MATCH($A68,PhanCong!$B$2:$J$2,0))),""))</f>
        <v>Hoa</v>
      </c>
      <c r="E68" s="30" t="str">
        <f>IF(TKB_Nhap!E68="","",IFERROR(T(INDEX(PhanCong!$B$3:$J$18,MATCH(TKB_Nhap!E68,PhanCong!$A$3:$A$18,0),MATCH($A68,PhanCong!$B$2:$J$2,0))),""))</f>
        <v>Hoa</v>
      </c>
      <c r="F68" s="30" t="str">
        <f>IF(TKB_Nhap!F68="","",IFERROR(T(INDEX(PhanCong!$B$3:$J$18,MATCH(TKB_Nhap!F68,PhanCong!$A$3:$A$18,0),MATCH($A68,PhanCong!$B$2:$J$2,0))),""))</f>
        <v>Sơn</v>
      </c>
      <c r="G68" s="30" t="str">
        <f>IF(TKB_Nhap!G68="","",IFERROR(T(INDEX(PhanCong!$B$3:$J$18,MATCH(TKB_Nhap!G68,PhanCong!$A$3:$A$18,0),MATCH($A68,PhanCong!$B$2:$J$2,0))),""))</f>
        <v>Huyền</v>
      </c>
      <c r="H68" s="30" t="str">
        <f>IF(TKB_Nhap!H68="","",IFERROR(T(INDEX(PhanCong!$B$3:$J$18,MATCH(TKB_Nhap!H68,PhanCong!$A$3:$A$18,0),MATCH($A68,PhanCong!$B$2:$J$2,0))),""))</f>
        <v>Nguyễn Ly</v>
      </c>
      <c r="I68" s="30" t="str">
        <f>IF(TKB_Nhap!I68="","",IFERROR(T(INDEX(PhanCong!$B$3:$J$18,MATCH(TKB_Nhap!I68,PhanCong!$A$3:$A$18,0),MATCH($A68,PhanCong!$B$2:$J$2,0))),""))</f>
        <v>Hoa</v>
      </c>
      <c r="J68" s="30" t="str">
        <f>IF(TKB_Nhap!J68="","",IFERROR(T(INDEX(PhanCong!$B$3:$J$18,MATCH(TKB_Nhap!J68,PhanCong!$A$3:$A$18,0),MATCH($A68,PhanCong!$B$2:$J$2,0))),""))</f>
        <v/>
      </c>
      <c r="L68" s="39">
        <f t="shared" si="14"/>
        <v>0</v>
      </c>
      <c r="M68" s="39">
        <f t="shared" si="15"/>
        <v>0</v>
      </c>
      <c r="N68" s="39">
        <f t="shared" si="16"/>
        <v>0</v>
      </c>
      <c r="O68" s="39">
        <f t="shared" si="17"/>
        <v>0</v>
      </c>
      <c r="P68" s="39">
        <f t="shared" si="18"/>
        <v>0</v>
      </c>
      <c r="Q68" s="39">
        <f t="shared" si="19"/>
        <v>0</v>
      </c>
      <c r="R68" s="39">
        <f t="shared" si="20"/>
        <v>0</v>
      </c>
    </row>
    <row r="69" spans="1:18" ht="15" customHeight="1" x14ac:dyDescent="0.25">
      <c r="A69" s="30" t="str">
        <f>TKB_Nhap!A69</f>
        <v>9B</v>
      </c>
      <c r="B69" s="30" t="str">
        <f>TKB_Nhap!B69</f>
        <v>S</v>
      </c>
      <c r="C69" s="30" t="str">
        <f>TKB_Nhap!C69</f>
        <v>4</v>
      </c>
      <c r="D69" s="30" t="str">
        <f>IF(TKB_Nhap!D69="","",IFERROR(T(INDEX(PhanCong!$B$3:$J$18,MATCH(TKB_Nhap!D69,PhanCong!$A$3:$A$18,0),MATCH($A69,PhanCong!$B$2:$J$2,0))),""))</f>
        <v>Hoa</v>
      </c>
      <c r="E69" s="30" t="str">
        <f>IF(TKB_Nhap!E69="","",IFERROR(T(INDEX(PhanCong!$B$3:$J$18,MATCH(TKB_Nhap!E69,PhanCong!$A$3:$A$18,0),MATCH($A69,PhanCong!$B$2:$J$2,0))),""))</f>
        <v>Huyền Ly</v>
      </c>
      <c r="F69" s="30" t="str">
        <f>IF(TKB_Nhap!F69="","",IFERROR(T(INDEX(PhanCong!$B$3:$J$18,MATCH(TKB_Nhap!F69,PhanCong!$A$3:$A$18,0),MATCH($A69,PhanCong!$B$2:$J$2,0))),""))</f>
        <v>Nguyễn Ly</v>
      </c>
      <c r="G69" s="30" t="str">
        <f>IF(TKB_Nhap!G69="","",IFERROR(T(INDEX(PhanCong!$B$3:$J$18,MATCH(TKB_Nhap!G69,PhanCong!$A$3:$A$18,0),MATCH($A69,PhanCong!$B$2:$J$2,0))),""))</f>
        <v>Giang</v>
      </c>
      <c r="H69" s="30" t="str">
        <f>IF(TKB_Nhap!H69="","",IFERROR(T(INDEX(PhanCong!$B$3:$J$18,MATCH(TKB_Nhap!H69,PhanCong!$A$3:$A$18,0),MATCH($A69,PhanCong!$B$2:$J$2,0))),""))</f>
        <v>Huyền Ly</v>
      </c>
      <c r="I69" s="30" t="str">
        <f>IF(TKB_Nhap!I69="","",IFERROR(T(INDEX(PhanCong!$B$3:$J$18,MATCH(TKB_Nhap!I69,PhanCong!$A$3:$A$18,0),MATCH($A69,PhanCong!$B$2:$J$2,0))),""))</f>
        <v>Giang</v>
      </c>
      <c r="J69" s="30" t="str">
        <f>IF(TKB_Nhap!J69="","",IFERROR(T(INDEX(PhanCong!$B$3:$J$18,MATCH(TKB_Nhap!J69,PhanCong!$A$3:$A$18,0),MATCH($A69,PhanCong!$B$2:$J$2,0))),""))</f>
        <v/>
      </c>
      <c r="L69" s="39">
        <f t="shared" si="14"/>
        <v>0</v>
      </c>
      <c r="M69" s="39">
        <f t="shared" si="15"/>
        <v>0</v>
      </c>
      <c r="N69" s="39">
        <f t="shared" si="16"/>
        <v>0</v>
      </c>
      <c r="O69" s="39">
        <f t="shared" si="17"/>
        <v>0</v>
      </c>
      <c r="P69" s="39">
        <f t="shared" si="18"/>
        <v>0</v>
      </c>
      <c r="Q69" s="39">
        <f t="shared" si="19"/>
        <v>0</v>
      </c>
      <c r="R69" s="39">
        <f t="shared" si="20"/>
        <v>0</v>
      </c>
    </row>
    <row r="70" spans="1:18" ht="15" customHeight="1" x14ac:dyDescent="0.25">
      <c r="A70" s="30" t="str">
        <f>TKB_Nhap!A70</f>
        <v>9B</v>
      </c>
      <c r="B70" s="30" t="str">
        <f>TKB_Nhap!B70</f>
        <v>S</v>
      </c>
      <c r="C70" s="30" t="str">
        <f>TKB_Nhap!C70</f>
        <v>5</v>
      </c>
      <c r="D70" s="30" t="str">
        <f>IF(TKB_Nhap!D70="","",IFERROR(T(INDEX(PhanCong!$B$3:$J$18,MATCH(TKB_Nhap!D70,PhanCong!$A$3:$A$18,0),MATCH($A70,PhanCong!$B$2:$J$2,0))),""))</f>
        <v>Giang</v>
      </c>
      <c r="E70" s="30" t="str">
        <f>IF(TKB_Nhap!E70="","",IFERROR(T(INDEX(PhanCong!$B$3:$J$18,MATCH(TKB_Nhap!E70,PhanCong!$A$3:$A$18,0),MATCH($A70,PhanCong!$B$2:$J$2,0))),""))</f>
        <v>Khu</v>
      </c>
      <c r="F70" s="30" t="str">
        <f>IF(TKB_Nhap!F70="","",IFERROR(T(INDEX(PhanCong!$B$3:$J$18,MATCH(TKB_Nhap!F70,PhanCong!$A$3:$A$18,0),MATCH($A70,PhanCong!$B$2:$J$2,0))),""))</f>
        <v>Khu</v>
      </c>
      <c r="G70" s="30" t="str">
        <f>IF(TKB_Nhap!G70="","",IFERROR(T(INDEX(PhanCong!$B$3:$J$18,MATCH(TKB_Nhap!G70,PhanCong!$A$3:$A$18,0),MATCH($A70,PhanCong!$B$2:$J$2,0))),""))</f>
        <v>Huyền Ly</v>
      </c>
      <c r="H70" s="30" t="str">
        <f>IF(TKB_Nhap!H70="","",IFERROR(T(INDEX(PhanCong!$B$3:$J$18,MATCH(TKB_Nhap!H70,PhanCong!$A$3:$A$18,0),MATCH($A70,PhanCong!$B$2:$J$2,0))),""))</f>
        <v>Uyên</v>
      </c>
      <c r="I70" s="30" t="str">
        <f>IF(TKB_Nhap!I70="","",IFERROR(T(INDEX(PhanCong!$B$3:$J$18,MATCH(TKB_Nhap!I70,PhanCong!$A$3:$A$18,0),MATCH($A70,PhanCong!$B$2:$J$2,0))),""))</f>
        <v/>
      </c>
      <c r="J70" s="30" t="str">
        <f>IF(TKB_Nhap!J70="","",IFERROR(T(INDEX(PhanCong!$B$3:$J$18,MATCH(TKB_Nhap!J70,PhanCong!$A$3:$A$18,0),MATCH($A70,PhanCong!$B$2:$J$2,0))),""))</f>
        <v/>
      </c>
      <c r="L70" s="39">
        <f t="shared" si="14"/>
        <v>0</v>
      </c>
      <c r="M70" s="39">
        <f t="shared" si="15"/>
        <v>0</v>
      </c>
      <c r="N70" s="39">
        <f t="shared" si="16"/>
        <v>0</v>
      </c>
      <c r="O70" s="39">
        <f t="shared" si="17"/>
        <v>0</v>
      </c>
      <c r="P70" s="39">
        <f t="shared" si="18"/>
        <v>0</v>
      </c>
      <c r="Q70" s="39">
        <f t="shared" si="19"/>
        <v>0</v>
      </c>
      <c r="R70" s="39">
        <f t="shared" si="20"/>
        <v>0</v>
      </c>
    </row>
    <row r="71" spans="1:18" ht="15" customHeight="1" x14ac:dyDescent="0.25">
      <c r="A71" s="30" t="str">
        <f>TKB_Nhap!A71</f>
        <v>9B</v>
      </c>
      <c r="B71" s="30" t="str">
        <f>TKB_Nhap!B71</f>
        <v>C</v>
      </c>
      <c r="C71" s="30" t="str">
        <f>TKB_Nhap!C71</f>
        <v>1</v>
      </c>
      <c r="D71" s="30" t="str">
        <f>IF(TKB_Nhap!D71="","",IFERROR(T(INDEX(PhanCong!$B$3:$J$18,MATCH(TKB_Nhap!D71,PhanCong!$A$3:$A$18,0),MATCH($A71,PhanCong!$B$2:$J$2,0))),""))</f>
        <v/>
      </c>
      <c r="E71" s="30" t="str">
        <f>IF(TKB_Nhap!E71="","",IFERROR(T(INDEX(PhanCong!$B$3:$J$18,MATCH(TKB_Nhap!E71,PhanCong!$A$3:$A$18,0),MATCH($A71,PhanCong!$B$2:$J$2,0))),""))</f>
        <v/>
      </c>
      <c r="F71" s="30" t="str">
        <f>IF(TKB_Nhap!F71="","",IFERROR(T(INDEX(PhanCong!$B$3:$J$18,MATCH(TKB_Nhap!F71,PhanCong!$A$3:$A$18,0),MATCH($A71,PhanCong!$B$2:$J$2,0))),""))</f>
        <v/>
      </c>
      <c r="G71" s="30" t="str">
        <f>IF(TKB_Nhap!G71="","",IFERROR(T(INDEX(PhanCong!$B$3:$J$18,MATCH(TKB_Nhap!G71,PhanCong!$A$3:$A$18,0),MATCH($A71,PhanCong!$B$2:$J$2,0))),""))</f>
        <v/>
      </c>
      <c r="H71" s="30" t="str">
        <f>IF(TKB_Nhap!H71="","",IFERROR(T(INDEX(PhanCong!$B$3:$J$18,MATCH(TKB_Nhap!H71,PhanCong!$A$3:$A$18,0),MATCH($A71,PhanCong!$B$2:$J$2,0))),""))</f>
        <v/>
      </c>
      <c r="I71" s="30" t="str">
        <f>IF(TKB_Nhap!I71="","",IFERROR(T(INDEX(PhanCong!$B$3:$J$18,MATCH(TKB_Nhap!I71,PhanCong!$A$3:$A$18,0),MATCH($A71,PhanCong!$B$2:$J$2,0))),""))</f>
        <v/>
      </c>
      <c r="J71" s="30" t="str">
        <f>IF(TKB_Nhap!J71="","",IFERROR(T(INDEX(PhanCong!$B$3:$J$18,MATCH(TKB_Nhap!J71,PhanCong!$A$3:$A$18,0),MATCH($A71,PhanCong!$B$2:$J$2,0))),""))</f>
        <v/>
      </c>
      <c r="L71" s="39">
        <f t="shared" si="14"/>
        <v>0</v>
      </c>
      <c r="M71" s="39">
        <f t="shared" si="15"/>
        <v>0</v>
      </c>
      <c r="N71" s="39">
        <f t="shared" si="16"/>
        <v>0</v>
      </c>
      <c r="O71" s="39">
        <f t="shared" si="17"/>
        <v>0</v>
      </c>
      <c r="P71" s="39">
        <f t="shared" si="18"/>
        <v>0</v>
      </c>
      <c r="Q71" s="39">
        <f t="shared" si="19"/>
        <v>0</v>
      </c>
      <c r="R71" s="39">
        <f t="shared" si="20"/>
        <v>0</v>
      </c>
    </row>
    <row r="72" spans="1:18" ht="15" customHeight="1" x14ac:dyDescent="0.25">
      <c r="A72" s="30" t="str">
        <f>TKB_Nhap!A72</f>
        <v>9B</v>
      </c>
      <c r="B72" s="30" t="str">
        <f>TKB_Nhap!B72</f>
        <v>C</v>
      </c>
      <c r="C72" s="30" t="str">
        <f>TKB_Nhap!C72</f>
        <v>2</v>
      </c>
      <c r="D72" s="30" t="str">
        <f>IF(TKB_Nhap!D72="","",IFERROR(T(INDEX(PhanCong!$B$3:$J$18,MATCH(TKB_Nhap!D72,PhanCong!$A$3:$A$18,0),MATCH($A72,PhanCong!$B$2:$J$2,0))),""))</f>
        <v/>
      </c>
      <c r="E72" s="30" t="str">
        <f>IF(TKB_Nhap!E72="","",IFERROR(T(INDEX(PhanCong!$B$3:$J$18,MATCH(TKB_Nhap!E72,PhanCong!$A$3:$A$18,0),MATCH($A72,PhanCong!$B$2:$J$2,0))),""))</f>
        <v/>
      </c>
      <c r="F72" s="30" t="str">
        <f>IF(TKB_Nhap!F72="","",IFERROR(T(INDEX(PhanCong!$B$3:$J$18,MATCH(TKB_Nhap!F72,PhanCong!$A$3:$A$18,0),MATCH($A72,PhanCong!$B$2:$J$2,0))),""))</f>
        <v/>
      </c>
      <c r="G72" s="30" t="str">
        <f>IF(TKB_Nhap!G72="","",IFERROR(T(INDEX(PhanCong!$B$3:$J$18,MATCH(TKB_Nhap!G72,PhanCong!$A$3:$A$18,0),MATCH($A72,PhanCong!$B$2:$J$2,0))),""))</f>
        <v/>
      </c>
      <c r="H72" s="30" t="str">
        <f>IF(TKB_Nhap!H72="","",IFERROR(T(INDEX(PhanCong!$B$3:$J$18,MATCH(TKB_Nhap!H72,PhanCong!$A$3:$A$18,0),MATCH($A72,PhanCong!$B$2:$J$2,0))),""))</f>
        <v/>
      </c>
      <c r="I72" s="30" t="str">
        <f>IF(TKB_Nhap!I72="","",IFERROR(T(INDEX(PhanCong!$B$3:$J$18,MATCH(TKB_Nhap!I72,PhanCong!$A$3:$A$18,0),MATCH($A72,PhanCong!$B$2:$J$2,0))),""))</f>
        <v/>
      </c>
      <c r="J72" s="30" t="str">
        <f>IF(TKB_Nhap!J72="","",IFERROR(T(INDEX(PhanCong!$B$3:$J$18,MATCH(TKB_Nhap!J72,PhanCong!$A$3:$A$18,0),MATCH($A72,PhanCong!$B$2:$J$2,0))),""))</f>
        <v/>
      </c>
      <c r="L72" s="39">
        <f t="shared" si="14"/>
        <v>0</v>
      </c>
      <c r="M72" s="39">
        <f t="shared" si="15"/>
        <v>0</v>
      </c>
      <c r="N72" s="39">
        <f t="shared" si="16"/>
        <v>0</v>
      </c>
      <c r="O72" s="39">
        <f t="shared" si="17"/>
        <v>0</v>
      </c>
      <c r="P72" s="39">
        <f t="shared" si="18"/>
        <v>0</v>
      </c>
      <c r="Q72" s="39">
        <f t="shared" si="19"/>
        <v>0</v>
      </c>
      <c r="R72" s="39">
        <f t="shared" si="20"/>
        <v>0</v>
      </c>
    </row>
    <row r="73" spans="1:18" ht="15" customHeight="1" x14ac:dyDescent="0.25">
      <c r="A73" s="30" t="str">
        <f>TKB_Nhap!A73</f>
        <v>9B</v>
      </c>
      <c r="B73" s="30" t="str">
        <f>TKB_Nhap!B73</f>
        <v>C</v>
      </c>
      <c r="C73" s="30" t="str">
        <f>TKB_Nhap!C73</f>
        <v>3</v>
      </c>
      <c r="D73" s="30" t="str">
        <f>IF(TKB_Nhap!D73="","",IFERROR(T(INDEX(PhanCong!$B$3:$J$18,MATCH(TKB_Nhap!D73,PhanCong!$A$3:$A$18,0),MATCH($A73,PhanCong!$B$2:$J$2,0))),""))</f>
        <v/>
      </c>
      <c r="E73" s="30" t="str">
        <f>IF(TKB_Nhap!E73="","",IFERROR(T(INDEX(PhanCong!$B$3:$J$18,MATCH(TKB_Nhap!E73,PhanCong!$A$3:$A$18,0),MATCH($A73,PhanCong!$B$2:$J$2,0))),""))</f>
        <v/>
      </c>
      <c r="F73" s="30" t="str">
        <f>IF(TKB_Nhap!F73="","",IFERROR(T(INDEX(PhanCong!$B$3:$J$18,MATCH(TKB_Nhap!F73,PhanCong!$A$3:$A$18,0),MATCH($A73,PhanCong!$B$2:$J$2,0))),""))</f>
        <v/>
      </c>
      <c r="G73" s="30" t="str">
        <f>IF(TKB_Nhap!G73="","",IFERROR(T(INDEX(PhanCong!$B$3:$J$18,MATCH(TKB_Nhap!G73,PhanCong!$A$3:$A$18,0),MATCH($A73,PhanCong!$B$2:$J$2,0))),""))</f>
        <v/>
      </c>
      <c r="H73" s="30" t="str">
        <f>IF(TKB_Nhap!H73="","",IFERROR(T(INDEX(PhanCong!$B$3:$J$18,MATCH(TKB_Nhap!H73,PhanCong!$A$3:$A$18,0),MATCH($A73,PhanCong!$B$2:$J$2,0))),""))</f>
        <v/>
      </c>
      <c r="I73" s="30" t="str">
        <f>IF(TKB_Nhap!I73="","",IFERROR(T(INDEX(PhanCong!$B$3:$J$18,MATCH(TKB_Nhap!I73,PhanCong!$A$3:$A$18,0),MATCH($A73,PhanCong!$B$2:$J$2,0))),""))</f>
        <v/>
      </c>
      <c r="J73" s="30" t="str">
        <f>IF(TKB_Nhap!J73="","",IFERROR(T(INDEX(PhanCong!$B$3:$J$18,MATCH(TKB_Nhap!J73,PhanCong!$A$3:$A$18,0),MATCH($A73,PhanCong!$B$2:$J$2,0))),""))</f>
        <v/>
      </c>
      <c r="L73" s="39">
        <f t="shared" si="14"/>
        <v>0</v>
      </c>
      <c r="M73" s="39">
        <f t="shared" si="15"/>
        <v>0</v>
      </c>
      <c r="N73" s="39">
        <f t="shared" si="16"/>
        <v>0</v>
      </c>
      <c r="O73" s="39">
        <f t="shared" si="17"/>
        <v>0</v>
      </c>
      <c r="P73" s="39">
        <f t="shared" si="18"/>
        <v>0</v>
      </c>
      <c r="Q73" s="39">
        <f t="shared" si="19"/>
        <v>0</v>
      </c>
      <c r="R73" s="39">
        <f t="shared" si="20"/>
        <v>0</v>
      </c>
    </row>
    <row r="74" spans="1:18" ht="15" customHeight="1" x14ac:dyDescent="0.25"/>
    <row r="75" spans="1:18" ht="15" customHeight="1" x14ac:dyDescent="0.25"/>
    <row r="76" spans="1:18" ht="15" customHeight="1" x14ac:dyDescent="0.25"/>
    <row r="77" spans="1:18" ht="15" customHeight="1" x14ac:dyDescent="0.25"/>
    <row r="78" spans="1:18" ht="15" customHeight="1" x14ac:dyDescent="0.25"/>
    <row r="79" spans="1:18" ht="15" customHeight="1" x14ac:dyDescent="0.25"/>
    <row r="80" spans="1:18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</sheetData>
  <conditionalFormatting sqref="D2:J73">
    <cfRule type="expression" dxfId="3" priority="2">
      <formula>L2=1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90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J1"/>
    </sheetView>
  </sheetViews>
  <sheetFormatPr defaultColWidth="8.7109375" defaultRowHeight="15" x14ac:dyDescent="0.25"/>
  <cols>
    <col min="1" max="1" width="32" customWidth="1"/>
    <col min="2" max="10" width="8" customWidth="1"/>
  </cols>
  <sheetData>
    <row r="1" spans="1:10" ht="15.75" customHeight="1" x14ac:dyDescent="0.25">
      <c r="A1" s="2" t="s">
        <v>189</v>
      </c>
      <c r="B1" s="2"/>
      <c r="C1" s="2"/>
      <c r="D1" s="2"/>
      <c r="E1" s="2"/>
      <c r="F1" s="2"/>
      <c r="G1" s="2"/>
      <c r="H1" s="2"/>
      <c r="I1" s="2"/>
      <c r="J1" s="2"/>
    </row>
    <row r="2" spans="1:10" ht="15" customHeight="1" x14ac:dyDescent="0.25"/>
    <row r="3" spans="1:10" ht="15" customHeight="1" x14ac:dyDescent="0.25">
      <c r="A3" s="28" t="s">
        <v>81</v>
      </c>
      <c r="B3" s="11" t="s">
        <v>82</v>
      </c>
      <c r="C3" s="11" t="s">
        <v>83</v>
      </c>
      <c r="D3" s="11" t="s">
        <v>84</v>
      </c>
      <c r="E3" s="11" t="s">
        <v>85</v>
      </c>
      <c r="F3" s="11" t="s">
        <v>86</v>
      </c>
      <c r="G3" s="11" t="s">
        <v>87</v>
      </c>
      <c r="H3" s="11" t="s">
        <v>88</v>
      </c>
      <c r="I3" s="11" t="s">
        <v>89</v>
      </c>
      <c r="J3" s="11" t="s">
        <v>90</v>
      </c>
    </row>
    <row r="4" spans="1:10" ht="15" customHeight="1" x14ac:dyDescent="0.25">
      <c r="A4" s="26" t="s">
        <v>92</v>
      </c>
      <c r="B4" s="30">
        <f>SUMPRODUCT((TKB_Nhap!$A$2:$A$73=B$3)*(TKB_Nhap!$D$2:$J$73=$A4))-IFERROR(N(IF(TuanConfig!$B$2="C",INDEX(SoTiet!$B$3:$J$18,MATCH($A4,SoTiet!$A$3:$A$18,0),1),INDEX(SoTiet!$L$3:$T$18,MATCH($A4,SoTiet!$A$3:$A$18,0),1))),0)</f>
        <v>0</v>
      </c>
      <c r="C4" s="30">
        <f>SUMPRODUCT((TKB_Nhap!$A$2:$A$73=C$3)*(TKB_Nhap!$D$2:$J$73=$A4))-IFERROR(N(IF(TuanConfig!$B$2="C",INDEX(SoTiet!$B$3:$J$18,MATCH($A4,SoTiet!$A$3:$A$18,0),2),INDEX(SoTiet!$L$3:$T$18,MATCH($A4,SoTiet!$A$3:$A$18,0),2))),0)</f>
        <v>0</v>
      </c>
      <c r="D4" s="30">
        <f>SUMPRODUCT((TKB_Nhap!$A$2:$A$73=D$3)*(TKB_Nhap!$D$2:$J$73=$A4))-IFERROR(N(IF(TuanConfig!$B$2="C",INDEX(SoTiet!$B$3:$J$18,MATCH($A4,SoTiet!$A$3:$A$18,0),3),INDEX(SoTiet!$L$3:$T$18,MATCH($A4,SoTiet!$A$3:$A$18,0),3))),0)</f>
        <v>0</v>
      </c>
      <c r="E4" s="30">
        <f>SUMPRODUCT((TKB_Nhap!$A$2:$A$73=E$3)*(TKB_Nhap!$D$2:$J$73=$A4))-IFERROR(N(IF(TuanConfig!$B$2="C",INDEX(SoTiet!$B$3:$J$18,MATCH($A4,SoTiet!$A$3:$A$18,0),4),INDEX(SoTiet!$L$3:$T$18,MATCH($A4,SoTiet!$A$3:$A$18,0),4))),0)</f>
        <v>0</v>
      </c>
      <c r="F4" s="30">
        <f>SUMPRODUCT((TKB_Nhap!$A$2:$A$73=F$3)*(TKB_Nhap!$D$2:$J$73=$A4))-IFERROR(N(IF(TuanConfig!$B$2="C",INDEX(SoTiet!$B$3:$J$18,MATCH($A4,SoTiet!$A$3:$A$18,0),5),INDEX(SoTiet!$L$3:$T$18,MATCH($A4,SoTiet!$A$3:$A$18,0),5))),0)</f>
        <v>0</v>
      </c>
      <c r="G4" s="30">
        <f>SUMPRODUCT((TKB_Nhap!$A$2:$A$73=G$3)*(TKB_Nhap!$D$2:$J$73=$A4))-IFERROR(N(IF(TuanConfig!$B$2="C",INDEX(SoTiet!$B$3:$J$18,MATCH($A4,SoTiet!$A$3:$A$18,0),6),INDEX(SoTiet!$L$3:$T$18,MATCH($A4,SoTiet!$A$3:$A$18,0),6))),0)</f>
        <v>0</v>
      </c>
      <c r="H4" s="30">
        <f>SUMPRODUCT((TKB_Nhap!$A$2:$A$73=H$3)*(TKB_Nhap!$D$2:$J$73=$A4))-IFERROR(N(IF(TuanConfig!$B$2="C",INDEX(SoTiet!$B$3:$J$18,MATCH($A4,SoTiet!$A$3:$A$18,0),7),INDEX(SoTiet!$L$3:$T$18,MATCH($A4,SoTiet!$A$3:$A$18,0),7))),0)</f>
        <v>0</v>
      </c>
      <c r="I4" s="30">
        <f>SUMPRODUCT((TKB_Nhap!$A$2:$A$73=I$3)*(TKB_Nhap!$D$2:$J$73=$A4))-IFERROR(N(IF(TuanConfig!$B$2="C",INDEX(SoTiet!$B$3:$J$18,MATCH($A4,SoTiet!$A$3:$A$18,0),8),INDEX(SoTiet!$L$3:$T$18,MATCH($A4,SoTiet!$A$3:$A$18,0),8))),0)</f>
        <v>0</v>
      </c>
      <c r="J4" s="30">
        <f>SUMPRODUCT((TKB_Nhap!$A$2:$A$73=J$3)*(TKB_Nhap!$D$2:$J$73=$A4))-IFERROR(N(IF(TuanConfig!$B$2="C",INDEX(SoTiet!$B$3:$J$18,MATCH($A4,SoTiet!$A$3:$A$18,0),9),INDEX(SoTiet!$L$3:$T$18,MATCH($A4,SoTiet!$A$3:$A$18,0),9))),0)</f>
        <v>0</v>
      </c>
    </row>
    <row r="5" spans="1:10" ht="15" customHeight="1" x14ac:dyDescent="0.25">
      <c r="A5" s="26" t="s">
        <v>97</v>
      </c>
      <c r="B5" s="30">
        <f>SUMPRODUCT((TKB_Nhap!$A$2:$A$73=B$3)*(TKB_Nhap!$D$2:$J$73=$A5))-IFERROR(N(IF(TuanConfig!$B$2="C",INDEX(SoTiet!$B$3:$J$18,MATCH($A5,SoTiet!$A$3:$A$18,0),1),INDEX(SoTiet!$L$3:$T$18,MATCH($A5,SoTiet!$A$3:$A$18,0),1))),0)</f>
        <v>0</v>
      </c>
      <c r="C5" s="30">
        <f>SUMPRODUCT((TKB_Nhap!$A$2:$A$73=C$3)*(TKB_Nhap!$D$2:$J$73=$A5))-IFERROR(N(IF(TuanConfig!$B$2="C",INDEX(SoTiet!$B$3:$J$18,MATCH($A5,SoTiet!$A$3:$A$18,0),2),INDEX(SoTiet!$L$3:$T$18,MATCH($A5,SoTiet!$A$3:$A$18,0),2))),0)</f>
        <v>0</v>
      </c>
      <c r="D5" s="30">
        <f>SUMPRODUCT((TKB_Nhap!$A$2:$A$73=D$3)*(TKB_Nhap!$D$2:$J$73=$A5))-IFERROR(N(IF(TuanConfig!$B$2="C",INDEX(SoTiet!$B$3:$J$18,MATCH($A5,SoTiet!$A$3:$A$18,0),3),INDEX(SoTiet!$L$3:$T$18,MATCH($A5,SoTiet!$A$3:$A$18,0),3))),0)</f>
        <v>0</v>
      </c>
      <c r="E5" s="30">
        <f>SUMPRODUCT((TKB_Nhap!$A$2:$A$73=E$3)*(TKB_Nhap!$D$2:$J$73=$A5))-IFERROR(N(IF(TuanConfig!$B$2="C",INDEX(SoTiet!$B$3:$J$18,MATCH($A5,SoTiet!$A$3:$A$18,0),4),INDEX(SoTiet!$L$3:$T$18,MATCH($A5,SoTiet!$A$3:$A$18,0),4))),0)</f>
        <v>0</v>
      </c>
      <c r="F5" s="30">
        <f>SUMPRODUCT((TKB_Nhap!$A$2:$A$73=F$3)*(TKB_Nhap!$D$2:$J$73=$A5))-IFERROR(N(IF(TuanConfig!$B$2="C",INDEX(SoTiet!$B$3:$J$18,MATCH($A5,SoTiet!$A$3:$A$18,0),5),INDEX(SoTiet!$L$3:$T$18,MATCH($A5,SoTiet!$A$3:$A$18,0),5))),0)</f>
        <v>0</v>
      </c>
      <c r="G5" s="30">
        <f>SUMPRODUCT((TKB_Nhap!$A$2:$A$73=G$3)*(TKB_Nhap!$D$2:$J$73=$A5))-IFERROR(N(IF(TuanConfig!$B$2="C",INDEX(SoTiet!$B$3:$J$18,MATCH($A5,SoTiet!$A$3:$A$18,0),6),INDEX(SoTiet!$L$3:$T$18,MATCH($A5,SoTiet!$A$3:$A$18,0),6))),0)</f>
        <v>0</v>
      </c>
      <c r="H5" s="30">
        <f>SUMPRODUCT((TKB_Nhap!$A$2:$A$73=H$3)*(TKB_Nhap!$D$2:$J$73=$A5))-IFERROR(N(IF(TuanConfig!$B$2="C",INDEX(SoTiet!$B$3:$J$18,MATCH($A5,SoTiet!$A$3:$A$18,0),7),INDEX(SoTiet!$L$3:$T$18,MATCH($A5,SoTiet!$A$3:$A$18,0),7))),0)</f>
        <v>0</v>
      </c>
      <c r="I5" s="30">
        <f>SUMPRODUCT((TKB_Nhap!$A$2:$A$73=I$3)*(TKB_Nhap!$D$2:$J$73=$A5))-IFERROR(N(IF(TuanConfig!$B$2="C",INDEX(SoTiet!$B$3:$J$18,MATCH($A5,SoTiet!$A$3:$A$18,0),8),INDEX(SoTiet!$L$3:$T$18,MATCH($A5,SoTiet!$A$3:$A$18,0),8))),0)</f>
        <v>0</v>
      </c>
      <c r="J5" s="30">
        <f>SUMPRODUCT((TKB_Nhap!$A$2:$A$73=J$3)*(TKB_Nhap!$D$2:$J$73=$A5))-IFERROR(N(IF(TuanConfig!$B$2="C",INDEX(SoTiet!$B$3:$J$18,MATCH($A5,SoTiet!$A$3:$A$18,0),9),INDEX(SoTiet!$L$3:$T$18,MATCH($A5,SoTiet!$A$3:$A$18,0),9))),0)</f>
        <v>0</v>
      </c>
    </row>
    <row r="6" spans="1:10" ht="15" customHeight="1" x14ac:dyDescent="0.25">
      <c r="A6" s="26" t="s">
        <v>102</v>
      </c>
      <c r="B6" s="30">
        <f>SUMPRODUCT((TKB_Nhap!$A$2:$A$73=B$3)*(TKB_Nhap!$D$2:$J$73=$A6))-IFERROR(N(IF(TuanConfig!$B$2="C",INDEX(SoTiet!$B$3:$J$18,MATCH($A6,SoTiet!$A$3:$A$18,0),1),INDEX(SoTiet!$L$3:$T$18,MATCH($A6,SoTiet!$A$3:$A$18,0),1))),0)</f>
        <v>0</v>
      </c>
      <c r="C6" s="30">
        <f>SUMPRODUCT((TKB_Nhap!$A$2:$A$73=C$3)*(TKB_Nhap!$D$2:$J$73=$A6))-IFERROR(N(IF(TuanConfig!$B$2="C",INDEX(SoTiet!$B$3:$J$18,MATCH($A6,SoTiet!$A$3:$A$18,0),2),INDEX(SoTiet!$L$3:$T$18,MATCH($A6,SoTiet!$A$3:$A$18,0),2))),0)</f>
        <v>0</v>
      </c>
      <c r="D6" s="30">
        <f>SUMPRODUCT((TKB_Nhap!$A$2:$A$73=D$3)*(TKB_Nhap!$D$2:$J$73=$A6))-IFERROR(N(IF(TuanConfig!$B$2="C",INDEX(SoTiet!$B$3:$J$18,MATCH($A6,SoTiet!$A$3:$A$18,0),3),INDEX(SoTiet!$L$3:$T$18,MATCH($A6,SoTiet!$A$3:$A$18,0),3))),0)</f>
        <v>0</v>
      </c>
      <c r="E6" s="30">
        <f>SUMPRODUCT((TKB_Nhap!$A$2:$A$73=E$3)*(TKB_Nhap!$D$2:$J$73=$A6))-IFERROR(N(IF(TuanConfig!$B$2="C",INDEX(SoTiet!$B$3:$J$18,MATCH($A6,SoTiet!$A$3:$A$18,0),4),INDEX(SoTiet!$L$3:$T$18,MATCH($A6,SoTiet!$A$3:$A$18,0),4))),0)</f>
        <v>0</v>
      </c>
      <c r="F6" s="30">
        <f>SUMPRODUCT((TKB_Nhap!$A$2:$A$73=F$3)*(TKB_Nhap!$D$2:$J$73=$A6))-IFERROR(N(IF(TuanConfig!$B$2="C",INDEX(SoTiet!$B$3:$J$18,MATCH($A6,SoTiet!$A$3:$A$18,0),5),INDEX(SoTiet!$L$3:$T$18,MATCH($A6,SoTiet!$A$3:$A$18,0),5))),0)</f>
        <v>0</v>
      </c>
      <c r="G6" s="30">
        <f>SUMPRODUCT((TKB_Nhap!$A$2:$A$73=G$3)*(TKB_Nhap!$D$2:$J$73=$A6))-IFERROR(N(IF(TuanConfig!$B$2="C",INDEX(SoTiet!$B$3:$J$18,MATCH($A6,SoTiet!$A$3:$A$18,0),6),INDEX(SoTiet!$L$3:$T$18,MATCH($A6,SoTiet!$A$3:$A$18,0),6))),0)</f>
        <v>0</v>
      </c>
      <c r="H6" s="30">
        <f>SUMPRODUCT((TKB_Nhap!$A$2:$A$73=H$3)*(TKB_Nhap!$D$2:$J$73=$A6))-IFERROR(N(IF(TuanConfig!$B$2="C",INDEX(SoTiet!$B$3:$J$18,MATCH($A6,SoTiet!$A$3:$A$18,0),7),INDEX(SoTiet!$L$3:$T$18,MATCH($A6,SoTiet!$A$3:$A$18,0),7))),0)</f>
        <v>0</v>
      </c>
      <c r="I6" s="30">
        <f>SUMPRODUCT((TKB_Nhap!$A$2:$A$73=I$3)*(TKB_Nhap!$D$2:$J$73=$A6))-IFERROR(N(IF(TuanConfig!$B$2="C",INDEX(SoTiet!$B$3:$J$18,MATCH($A6,SoTiet!$A$3:$A$18,0),8),INDEX(SoTiet!$L$3:$T$18,MATCH($A6,SoTiet!$A$3:$A$18,0),8))),0)</f>
        <v>0</v>
      </c>
      <c r="J6" s="30">
        <f>SUMPRODUCT((TKB_Nhap!$A$2:$A$73=J$3)*(TKB_Nhap!$D$2:$J$73=$A6))-IFERROR(N(IF(TuanConfig!$B$2="C",INDEX(SoTiet!$B$3:$J$18,MATCH($A6,SoTiet!$A$3:$A$18,0),9),INDEX(SoTiet!$L$3:$T$18,MATCH($A6,SoTiet!$A$3:$A$18,0),9))),0)</f>
        <v>0</v>
      </c>
    </row>
    <row r="7" spans="1:10" ht="15" customHeight="1" x14ac:dyDescent="0.25">
      <c r="A7" s="26" t="s">
        <v>105</v>
      </c>
      <c r="B7" s="30">
        <f>SUMPRODUCT((TKB_Nhap!$A$2:$A$73=B$3)*(TKB_Nhap!$D$2:$J$73=$A7))-IFERROR(N(IF(TuanConfig!$B$2="C",INDEX(SoTiet!$B$3:$J$18,MATCH($A7,SoTiet!$A$3:$A$18,0),1),INDEX(SoTiet!$L$3:$T$18,MATCH($A7,SoTiet!$A$3:$A$18,0),1))),0)</f>
        <v>0</v>
      </c>
      <c r="C7" s="30">
        <f>SUMPRODUCT((TKB_Nhap!$A$2:$A$73=C$3)*(TKB_Nhap!$D$2:$J$73=$A7))-IFERROR(N(IF(TuanConfig!$B$2="C",INDEX(SoTiet!$B$3:$J$18,MATCH($A7,SoTiet!$A$3:$A$18,0),2),INDEX(SoTiet!$L$3:$T$18,MATCH($A7,SoTiet!$A$3:$A$18,0),2))),0)</f>
        <v>0</v>
      </c>
      <c r="D7" s="30">
        <f>SUMPRODUCT((TKB_Nhap!$A$2:$A$73=D$3)*(TKB_Nhap!$D$2:$J$73=$A7))-IFERROR(N(IF(TuanConfig!$B$2="C",INDEX(SoTiet!$B$3:$J$18,MATCH($A7,SoTiet!$A$3:$A$18,0),3),INDEX(SoTiet!$L$3:$T$18,MATCH($A7,SoTiet!$A$3:$A$18,0),3))),0)</f>
        <v>0</v>
      </c>
      <c r="E7" s="30">
        <f>SUMPRODUCT((TKB_Nhap!$A$2:$A$73=E$3)*(TKB_Nhap!$D$2:$J$73=$A7))-IFERROR(N(IF(TuanConfig!$B$2="C",INDEX(SoTiet!$B$3:$J$18,MATCH($A7,SoTiet!$A$3:$A$18,0),4),INDEX(SoTiet!$L$3:$T$18,MATCH($A7,SoTiet!$A$3:$A$18,0),4))),0)</f>
        <v>0</v>
      </c>
      <c r="F7" s="30">
        <f>SUMPRODUCT((TKB_Nhap!$A$2:$A$73=F$3)*(TKB_Nhap!$D$2:$J$73=$A7))-IFERROR(N(IF(TuanConfig!$B$2="C",INDEX(SoTiet!$B$3:$J$18,MATCH($A7,SoTiet!$A$3:$A$18,0),5),INDEX(SoTiet!$L$3:$T$18,MATCH($A7,SoTiet!$A$3:$A$18,0),5))),0)</f>
        <v>0</v>
      </c>
      <c r="G7" s="30">
        <f>SUMPRODUCT((TKB_Nhap!$A$2:$A$73=G$3)*(TKB_Nhap!$D$2:$J$73=$A7))-IFERROR(N(IF(TuanConfig!$B$2="C",INDEX(SoTiet!$B$3:$J$18,MATCH($A7,SoTiet!$A$3:$A$18,0),6),INDEX(SoTiet!$L$3:$T$18,MATCH($A7,SoTiet!$A$3:$A$18,0),6))),0)</f>
        <v>0</v>
      </c>
      <c r="H7" s="30">
        <f>SUMPRODUCT((TKB_Nhap!$A$2:$A$73=H$3)*(TKB_Nhap!$D$2:$J$73=$A7))-IFERROR(N(IF(TuanConfig!$B$2="C",INDEX(SoTiet!$B$3:$J$18,MATCH($A7,SoTiet!$A$3:$A$18,0),7),INDEX(SoTiet!$L$3:$T$18,MATCH($A7,SoTiet!$A$3:$A$18,0),7))),0)</f>
        <v>0</v>
      </c>
      <c r="I7" s="30">
        <f>SUMPRODUCT((TKB_Nhap!$A$2:$A$73=I$3)*(TKB_Nhap!$D$2:$J$73=$A7))-IFERROR(N(IF(TuanConfig!$B$2="C",INDEX(SoTiet!$B$3:$J$18,MATCH($A7,SoTiet!$A$3:$A$18,0),8),INDEX(SoTiet!$L$3:$T$18,MATCH($A7,SoTiet!$A$3:$A$18,0),8))),0)</f>
        <v>0</v>
      </c>
      <c r="J7" s="30">
        <f>SUMPRODUCT((TKB_Nhap!$A$2:$A$73=J$3)*(TKB_Nhap!$D$2:$J$73=$A7))-IFERROR(N(IF(TuanConfig!$B$2="C",INDEX(SoTiet!$B$3:$J$18,MATCH($A7,SoTiet!$A$3:$A$18,0),9),INDEX(SoTiet!$L$3:$T$18,MATCH($A7,SoTiet!$A$3:$A$18,0),9))),0)</f>
        <v>0</v>
      </c>
    </row>
    <row r="8" spans="1:10" ht="15" customHeight="1" x14ac:dyDescent="0.25">
      <c r="A8" s="26" t="s">
        <v>107</v>
      </c>
      <c r="B8" s="30">
        <f>SUMPRODUCT((TKB_Nhap!$A$2:$A$73=B$3)*(TKB_Nhap!$D$2:$J$73=$A8))-IFERROR(N(IF(TuanConfig!$B$2="C",INDEX(SoTiet!$B$3:$J$18,MATCH($A8,SoTiet!$A$3:$A$18,0),1),INDEX(SoTiet!$L$3:$T$18,MATCH($A8,SoTiet!$A$3:$A$18,0),1))),0)</f>
        <v>0</v>
      </c>
      <c r="C8" s="30">
        <f>SUMPRODUCT((TKB_Nhap!$A$2:$A$73=C$3)*(TKB_Nhap!$D$2:$J$73=$A8))-IFERROR(N(IF(TuanConfig!$B$2="C",INDEX(SoTiet!$B$3:$J$18,MATCH($A8,SoTiet!$A$3:$A$18,0),2),INDEX(SoTiet!$L$3:$T$18,MATCH($A8,SoTiet!$A$3:$A$18,0),2))),0)</f>
        <v>0</v>
      </c>
      <c r="D8" s="30">
        <f>SUMPRODUCT((TKB_Nhap!$A$2:$A$73=D$3)*(TKB_Nhap!$D$2:$J$73=$A8))-IFERROR(N(IF(TuanConfig!$B$2="C",INDEX(SoTiet!$B$3:$J$18,MATCH($A8,SoTiet!$A$3:$A$18,0),3),INDEX(SoTiet!$L$3:$T$18,MATCH($A8,SoTiet!$A$3:$A$18,0),3))),0)</f>
        <v>0</v>
      </c>
      <c r="E8" s="30">
        <f>SUMPRODUCT((TKB_Nhap!$A$2:$A$73=E$3)*(TKB_Nhap!$D$2:$J$73=$A8))-IFERROR(N(IF(TuanConfig!$B$2="C",INDEX(SoTiet!$B$3:$J$18,MATCH($A8,SoTiet!$A$3:$A$18,0),4),INDEX(SoTiet!$L$3:$T$18,MATCH($A8,SoTiet!$A$3:$A$18,0),4))),0)</f>
        <v>0</v>
      </c>
      <c r="F8" s="30">
        <f>SUMPRODUCT((TKB_Nhap!$A$2:$A$73=F$3)*(TKB_Nhap!$D$2:$J$73=$A8))-IFERROR(N(IF(TuanConfig!$B$2="C",INDEX(SoTiet!$B$3:$J$18,MATCH($A8,SoTiet!$A$3:$A$18,0),5),INDEX(SoTiet!$L$3:$T$18,MATCH($A8,SoTiet!$A$3:$A$18,0),5))),0)</f>
        <v>0</v>
      </c>
      <c r="G8" s="30">
        <f>SUMPRODUCT((TKB_Nhap!$A$2:$A$73=G$3)*(TKB_Nhap!$D$2:$J$73=$A8))-IFERROR(N(IF(TuanConfig!$B$2="C",INDEX(SoTiet!$B$3:$J$18,MATCH($A8,SoTiet!$A$3:$A$18,0),6),INDEX(SoTiet!$L$3:$T$18,MATCH($A8,SoTiet!$A$3:$A$18,0),6))),0)</f>
        <v>0</v>
      </c>
      <c r="H8" s="30">
        <f>SUMPRODUCT((TKB_Nhap!$A$2:$A$73=H$3)*(TKB_Nhap!$D$2:$J$73=$A8))-IFERROR(N(IF(TuanConfig!$B$2="C",INDEX(SoTiet!$B$3:$J$18,MATCH($A8,SoTiet!$A$3:$A$18,0),7),INDEX(SoTiet!$L$3:$T$18,MATCH($A8,SoTiet!$A$3:$A$18,0),7))),0)</f>
        <v>0</v>
      </c>
      <c r="I8" s="30">
        <f>SUMPRODUCT((TKB_Nhap!$A$2:$A$73=I$3)*(TKB_Nhap!$D$2:$J$73=$A8))-IFERROR(N(IF(TuanConfig!$B$2="C",INDEX(SoTiet!$B$3:$J$18,MATCH($A8,SoTiet!$A$3:$A$18,0),8),INDEX(SoTiet!$L$3:$T$18,MATCH($A8,SoTiet!$A$3:$A$18,0),8))),0)</f>
        <v>0</v>
      </c>
      <c r="J8" s="30">
        <f>SUMPRODUCT((TKB_Nhap!$A$2:$A$73=J$3)*(TKB_Nhap!$D$2:$J$73=$A8))-IFERROR(N(IF(TuanConfig!$B$2="C",INDEX(SoTiet!$B$3:$J$18,MATCH($A8,SoTiet!$A$3:$A$18,0),9),INDEX(SoTiet!$L$3:$T$18,MATCH($A8,SoTiet!$A$3:$A$18,0),9))),0)</f>
        <v>0</v>
      </c>
    </row>
    <row r="9" spans="1:10" ht="15" customHeight="1" x14ac:dyDescent="0.25">
      <c r="A9" s="26" t="s">
        <v>110</v>
      </c>
      <c r="B9" s="30">
        <f>SUMPRODUCT((TKB_Nhap!$A$2:$A$73=B$3)*(TKB_Nhap!$D$2:$J$73=$A9))-IFERROR(N(IF(TuanConfig!$B$2="C",INDEX(SoTiet!$B$3:$J$18,MATCH($A9,SoTiet!$A$3:$A$18,0),1),INDEX(SoTiet!$L$3:$T$18,MATCH($A9,SoTiet!$A$3:$A$18,0),1))),0)</f>
        <v>0</v>
      </c>
      <c r="C9" s="30">
        <f>SUMPRODUCT((TKB_Nhap!$A$2:$A$73=C$3)*(TKB_Nhap!$D$2:$J$73=$A9))-IFERROR(N(IF(TuanConfig!$B$2="C",INDEX(SoTiet!$B$3:$J$18,MATCH($A9,SoTiet!$A$3:$A$18,0),2),INDEX(SoTiet!$L$3:$T$18,MATCH($A9,SoTiet!$A$3:$A$18,0),2))),0)</f>
        <v>0</v>
      </c>
      <c r="D9" s="30">
        <f>SUMPRODUCT((TKB_Nhap!$A$2:$A$73=D$3)*(TKB_Nhap!$D$2:$J$73=$A9))-IFERROR(N(IF(TuanConfig!$B$2="C",INDEX(SoTiet!$B$3:$J$18,MATCH($A9,SoTiet!$A$3:$A$18,0),3),INDEX(SoTiet!$L$3:$T$18,MATCH($A9,SoTiet!$A$3:$A$18,0),3))),0)</f>
        <v>0</v>
      </c>
      <c r="E9" s="30">
        <f>SUMPRODUCT((TKB_Nhap!$A$2:$A$73=E$3)*(TKB_Nhap!$D$2:$J$73=$A9))-IFERROR(N(IF(TuanConfig!$B$2="C",INDEX(SoTiet!$B$3:$J$18,MATCH($A9,SoTiet!$A$3:$A$18,0),4),INDEX(SoTiet!$L$3:$T$18,MATCH($A9,SoTiet!$A$3:$A$18,0),4))),0)</f>
        <v>0</v>
      </c>
      <c r="F9" s="30">
        <f>SUMPRODUCT((TKB_Nhap!$A$2:$A$73=F$3)*(TKB_Nhap!$D$2:$J$73=$A9))-IFERROR(N(IF(TuanConfig!$B$2="C",INDEX(SoTiet!$B$3:$J$18,MATCH($A9,SoTiet!$A$3:$A$18,0),5),INDEX(SoTiet!$L$3:$T$18,MATCH($A9,SoTiet!$A$3:$A$18,0),5))),0)</f>
        <v>0</v>
      </c>
      <c r="G9" s="30">
        <f>SUMPRODUCT((TKB_Nhap!$A$2:$A$73=G$3)*(TKB_Nhap!$D$2:$J$73=$A9))-IFERROR(N(IF(TuanConfig!$B$2="C",INDEX(SoTiet!$B$3:$J$18,MATCH($A9,SoTiet!$A$3:$A$18,0),6),INDEX(SoTiet!$L$3:$T$18,MATCH($A9,SoTiet!$A$3:$A$18,0),6))),0)</f>
        <v>0</v>
      </c>
      <c r="H9" s="30">
        <f>SUMPRODUCT((TKB_Nhap!$A$2:$A$73=H$3)*(TKB_Nhap!$D$2:$J$73=$A9))-IFERROR(N(IF(TuanConfig!$B$2="C",INDEX(SoTiet!$B$3:$J$18,MATCH($A9,SoTiet!$A$3:$A$18,0),7),INDEX(SoTiet!$L$3:$T$18,MATCH($A9,SoTiet!$A$3:$A$18,0),7))),0)</f>
        <v>0</v>
      </c>
      <c r="I9" s="30">
        <f>SUMPRODUCT((TKB_Nhap!$A$2:$A$73=I$3)*(TKB_Nhap!$D$2:$J$73=$A9))-IFERROR(N(IF(TuanConfig!$B$2="C",INDEX(SoTiet!$B$3:$J$18,MATCH($A9,SoTiet!$A$3:$A$18,0),8),INDEX(SoTiet!$L$3:$T$18,MATCH($A9,SoTiet!$A$3:$A$18,0),8))),0)</f>
        <v>0</v>
      </c>
      <c r="J9" s="30">
        <f>SUMPRODUCT((TKB_Nhap!$A$2:$A$73=J$3)*(TKB_Nhap!$D$2:$J$73=$A9))-IFERROR(N(IF(TuanConfig!$B$2="C",INDEX(SoTiet!$B$3:$J$18,MATCH($A9,SoTiet!$A$3:$A$18,0),9),INDEX(SoTiet!$L$3:$T$18,MATCH($A9,SoTiet!$A$3:$A$18,0),9))),0)</f>
        <v>0</v>
      </c>
    </row>
    <row r="10" spans="1:10" ht="15" customHeight="1" x14ac:dyDescent="0.25">
      <c r="A10" s="26" t="s">
        <v>111</v>
      </c>
      <c r="B10" s="30">
        <f>SUMPRODUCT((TKB_Nhap!$A$2:$A$73=B$3)*(TKB_Nhap!$D$2:$J$73=$A10))-IFERROR(N(IF(TuanConfig!$B$2="C",INDEX(SoTiet!$B$3:$J$18,MATCH($A10,SoTiet!$A$3:$A$18,0),1),INDEX(SoTiet!$L$3:$T$18,MATCH($A10,SoTiet!$A$3:$A$18,0),1))),0)</f>
        <v>0</v>
      </c>
      <c r="C10" s="30">
        <f>SUMPRODUCT((TKB_Nhap!$A$2:$A$73=C$3)*(TKB_Nhap!$D$2:$J$73=$A10))-IFERROR(N(IF(TuanConfig!$B$2="C",INDEX(SoTiet!$B$3:$J$18,MATCH($A10,SoTiet!$A$3:$A$18,0),2),INDEX(SoTiet!$L$3:$T$18,MATCH($A10,SoTiet!$A$3:$A$18,0),2))),0)</f>
        <v>0</v>
      </c>
      <c r="D10" s="30">
        <f>SUMPRODUCT((TKB_Nhap!$A$2:$A$73=D$3)*(TKB_Nhap!$D$2:$J$73=$A10))-IFERROR(N(IF(TuanConfig!$B$2="C",INDEX(SoTiet!$B$3:$J$18,MATCH($A10,SoTiet!$A$3:$A$18,0),3),INDEX(SoTiet!$L$3:$T$18,MATCH($A10,SoTiet!$A$3:$A$18,0),3))),0)</f>
        <v>0</v>
      </c>
      <c r="E10" s="30">
        <f>SUMPRODUCT((TKB_Nhap!$A$2:$A$73=E$3)*(TKB_Nhap!$D$2:$J$73=$A10))-IFERROR(N(IF(TuanConfig!$B$2="C",INDEX(SoTiet!$B$3:$J$18,MATCH($A10,SoTiet!$A$3:$A$18,0),4),INDEX(SoTiet!$L$3:$T$18,MATCH($A10,SoTiet!$A$3:$A$18,0),4))),0)</f>
        <v>0</v>
      </c>
      <c r="F10" s="30">
        <f>SUMPRODUCT((TKB_Nhap!$A$2:$A$73=F$3)*(TKB_Nhap!$D$2:$J$73=$A10))-IFERROR(N(IF(TuanConfig!$B$2="C",INDEX(SoTiet!$B$3:$J$18,MATCH($A10,SoTiet!$A$3:$A$18,0),5),INDEX(SoTiet!$L$3:$T$18,MATCH($A10,SoTiet!$A$3:$A$18,0),5))),0)</f>
        <v>0</v>
      </c>
      <c r="G10" s="30">
        <f>SUMPRODUCT((TKB_Nhap!$A$2:$A$73=G$3)*(TKB_Nhap!$D$2:$J$73=$A10))-IFERROR(N(IF(TuanConfig!$B$2="C",INDEX(SoTiet!$B$3:$J$18,MATCH($A10,SoTiet!$A$3:$A$18,0),6),INDEX(SoTiet!$L$3:$T$18,MATCH($A10,SoTiet!$A$3:$A$18,0),6))),0)</f>
        <v>0</v>
      </c>
      <c r="H10" s="30">
        <f>SUMPRODUCT((TKB_Nhap!$A$2:$A$73=H$3)*(TKB_Nhap!$D$2:$J$73=$A10))-IFERROR(N(IF(TuanConfig!$B$2="C",INDEX(SoTiet!$B$3:$J$18,MATCH($A10,SoTiet!$A$3:$A$18,0),7),INDEX(SoTiet!$L$3:$T$18,MATCH($A10,SoTiet!$A$3:$A$18,0),7))),0)</f>
        <v>0</v>
      </c>
      <c r="I10" s="30">
        <f>SUMPRODUCT((TKB_Nhap!$A$2:$A$73=I$3)*(TKB_Nhap!$D$2:$J$73=$A10))-IFERROR(N(IF(TuanConfig!$B$2="C",INDEX(SoTiet!$B$3:$J$18,MATCH($A10,SoTiet!$A$3:$A$18,0),8),INDEX(SoTiet!$L$3:$T$18,MATCH($A10,SoTiet!$A$3:$A$18,0),8))),0)</f>
        <v>0</v>
      </c>
      <c r="J10" s="30">
        <f>SUMPRODUCT((TKB_Nhap!$A$2:$A$73=J$3)*(TKB_Nhap!$D$2:$J$73=$A10))-IFERROR(N(IF(TuanConfig!$B$2="C",INDEX(SoTiet!$B$3:$J$18,MATCH($A10,SoTiet!$A$3:$A$18,0),9),INDEX(SoTiet!$L$3:$T$18,MATCH($A10,SoTiet!$A$3:$A$18,0),9))),0)</f>
        <v>0</v>
      </c>
    </row>
    <row r="11" spans="1:10" ht="15" customHeight="1" x14ac:dyDescent="0.25">
      <c r="A11" s="26" t="s">
        <v>114</v>
      </c>
      <c r="B11" s="30">
        <f>SUMPRODUCT((TKB_Nhap!$A$2:$A$73=B$3)*(TKB_Nhap!$D$2:$J$73=$A11))-IFERROR(N(IF(TuanConfig!$B$2="C",INDEX(SoTiet!$B$3:$J$18,MATCH($A11,SoTiet!$A$3:$A$18,0),1),INDEX(SoTiet!$L$3:$T$18,MATCH($A11,SoTiet!$A$3:$A$18,0),1))),0)</f>
        <v>0</v>
      </c>
      <c r="C11" s="30">
        <f>SUMPRODUCT((TKB_Nhap!$A$2:$A$73=C$3)*(TKB_Nhap!$D$2:$J$73=$A11))-IFERROR(N(IF(TuanConfig!$B$2="C",INDEX(SoTiet!$B$3:$J$18,MATCH($A11,SoTiet!$A$3:$A$18,0),2),INDEX(SoTiet!$L$3:$T$18,MATCH($A11,SoTiet!$A$3:$A$18,0),2))),0)</f>
        <v>0</v>
      </c>
      <c r="D11" s="30">
        <f>SUMPRODUCT((TKB_Nhap!$A$2:$A$73=D$3)*(TKB_Nhap!$D$2:$J$73=$A11))-IFERROR(N(IF(TuanConfig!$B$2="C",INDEX(SoTiet!$B$3:$J$18,MATCH($A11,SoTiet!$A$3:$A$18,0),3),INDEX(SoTiet!$L$3:$T$18,MATCH($A11,SoTiet!$A$3:$A$18,0),3))),0)</f>
        <v>0</v>
      </c>
      <c r="E11" s="30">
        <f>SUMPRODUCT((TKB_Nhap!$A$2:$A$73=E$3)*(TKB_Nhap!$D$2:$J$73=$A11))-IFERROR(N(IF(TuanConfig!$B$2="C",INDEX(SoTiet!$B$3:$J$18,MATCH($A11,SoTiet!$A$3:$A$18,0),4),INDEX(SoTiet!$L$3:$T$18,MATCH($A11,SoTiet!$A$3:$A$18,0),4))),0)</f>
        <v>0</v>
      </c>
      <c r="F11" s="30">
        <f>SUMPRODUCT((TKB_Nhap!$A$2:$A$73=F$3)*(TKB_Nhap!$D$2:$J$73=$A11))-IFERROR(N(IF(TuanConfig!$B$2="C",INDEX(SoTiet!$B$3:$J$18,MATCH($A11,SoTiet!$A$3:$A$18,0),5),INDEX(SoTiet!$L$3:$T$18,MATCH($A11,SoTiet!$A$3:$A$18,0),5))),0)</f>
        <v>0</v>
      </c>
      <c r="G11" s="30">
        <f>SUMPRODUCT((TKB_Nhap!$A$2:$A$73=G$3)*(TKB_Nhap!$D$2:$J$73=$A11))-IFERROR(N(IF(TuanConfig!$B$2="C",INDEX(SoTiet!$B$3:$J$18,MATCH($A11,SoTiet!$A$3:$A$18,0),6),INDEX(SoTiet!$L$3:$T$18,MATCH($A11,SoTiet!$A$3:$A$18,0),6))),0)</f>
        <v>0</v>
      </c>
      <c r="H11" s="30">
        <f>SUMPRODUCT((TKB_Nhap!$A$2:$A$73=H$3)*(TKB_Nhap!$D$2:$J$73=$A11))-IFERROR(N(IF(TuanConfig!$B$2="C",INDEX(SoTiet!$B$3:$J$18,MATCH($A11,SoTiet!$A$3:$A$18,0),7),INDEX(SoTiet!$L$3:$T$18,MATCH($A11,SoTiet!$A$3:$A$18,0),7))),0)</f>
        <v>0</v>
      </c>
      <c r="I11" s="30">
        <f>SUMPRODUCT((TKB_Nhap!$A$2:$A$73=I$3)*(TKB_Nhap!$D$2:$J$73=$A11))-IFERROR(N(IF(TuanConfig!$B$2="C",INDEX(SoTiet!$B$3:$J$18,MATCH($A11,SoTiet!$A$3:$A$18,0),8),INDEX(SoTiet!$L$3:$T$18,MATCH($A11,SoTiet!$A$3:$A$18,0),8))),0)</f>
        <v>0</v>
      </c>
      <c r="J11" s="30">
        <f>SUMPRODUCT((TKB_Nhap!$A$2:$A$73=J$3)*(TKB_Nhap!$D$2:$J$73=$A11))-IFERROR(N(IF(TuanConfig!$B$2="C",INDEX(SoTiet!$B$3:$J$18,MATCH($A11,SoTiet!$A$3:$A$18,0),9),INDEX(SoTiet!$L$3:$T$18,MATCH($A11,SoTiet!$A$3:$A$18,0),9))),0)</f>
        <v>0</v>
      </c>
    </row>
    <row r="12" spans="1:10" ht="15" customHeight="1" x14ac:dyDescent="0.25">
      <c r="A12" s="26" t="s">
        <v>115</v>
      </c>
      <c r="B12" s="30">
        <f>SUMPRODUCT((TKB_Nhap!$A$2:$A$73=B$3)*(TKB_Nhap!$D$2:$J$73=$A12))-IFERROR(N(IF(TuanConfig!$B$2="C",INDEX(SoTiet!$B$3:$J$18,MATCH($A12,SoTiet!$A$3:$A$18,0),1),INDEX(SoTiet!$L$3:$T$18,MATCH($A12,SoTiet!$A$3:$A$18,0),1))),0)</f>
        <v>0</v>
      </c>
      <c r="C12" s="30">
        <f>SUMPRODUCT((TKB_Nhap!$A$2:$A$73=C$3)*(TKB_Nhap!$D$2:$J$73=$A12))-IFERROR(N(IF(TuanConfig!$B$2="C",INDEX(SoTiet!$B$3:$J$18,MATCH($A12,SoTiet!$A$3:$A$18,0),2),INDEX(SoTiet!$L$3:$T$18,MATCH($A12,SoTiet!$A$3:$A$18,0),2))),0)</f>
        <v>0</v>
      </c>
      <c r="D12" s="30">
        <f>SUMPRODUCT((TKB_Nhap!$A$2:$A$73=D$3)*(TKB_Nhap!$D$2:$J$73=$A12))-IFERROR(N(IF(TuanConfig!$B$2="C",INDEX(SoTiet!$B$3:$J$18,MATCH($A12,SoTiet!$A$3:$A$18,0),3),INDEX(SoTiet!$L$3:$T$18,MATCH($A12,SoTiet!$A$3:$A$18,0),3))),0)</f>
        <v>0</v>
      </c>
      <c r="E12" s="30">
        <f>SUMPRODUCT((TKB_Nhap!$A$2:$A$73=E$3)*(TKB_Nhap!$D$2:$J$73=$A12))-IFERROR(N(IF(TuanConfig!$B$2="C",INDEX(SoTiet!$B$3:$J$18,MATCH($A12,SoTiet!$A$3:$A$18,0),4),INDEX(SoTiet!$L$3:$T$18,MATCH($A12,SoTiet!$A$3:$A$18,0),4))),0)</f>
        <v>0</v>
      </c>
      <c r="F12" s="30">
        <f>SUMPRODUCT((TKB_Nhap!$A$2:$A$73=F$3)*(TKB_Nhap!$D$2:$J$73=$A12))-IFERROR(N(IF(TuanConfig!$B$2="C",INDEX(SoTiet!$B$3:$J$18,MATCH($A12,SoTiet!$A$3:$A$18,0),5),INDEX(SoTiet!$L$3:$T$18,MATCH($A12,SoTiet!$A$3:$A$18,0),5))),0)</f>
        <v>0</v>
      </c>
      <c r="G12" s="30">
        <f>SUMPRODUCT((TKB_Nhap!$A$2:$A$73=G$3)*(TKB_Nhap!$D$2:$J$73=$A12))-IFERROR(N(IF(TuanConfig!$B$2="C",INDEX(SoTiet!$B$3:$J$18,MATCH($A12,SoTiet!$A$3:$A$18,0),6),INDEX(SoTiet!$L$3:$T$18,MATCH($A12,SoTiet!$A$3:$A$18,0),6))),0)</f>
        <v>0</v>
      </c>
      <c r="H12" s="30">
        <f>SUMPRODUCT((TKB_Nhap!$A$2:$A$73=H$3)*(TKB_Nhap!$D$2:$J$73=$A12))-IFERROR(N(IF(TuanConfig!$B$2="C",INDEX(SoTiet!$B$3:$J$18,MATCH($A12,SoTiet!$A$3:$A$18,0),7),INDEX(SoTiet!$L$3:$T$18,MATCH($A12,SoTiet!$A$3:$A$18,0),7))),0)</f>
        <v>0</v>
      </c>
      <c r="I12" s="30">
        <f>SUMPRODUCT((TKB_Nhap!$A$2:$A$73=I$3)*(TKB_Nhap!$D$2:$J$73=$A12))-IFERROR(N(IF(TuanConfig!$B$2="C",INDEX(SoTiet!$B$3:$J$18,MATCH($A12,SoTiet!$A$3:$A$18,0),8),INDEX(SoTiet!$L$3:$T$18,MATCH($A12,SoTiet!$A$3:$A$18,0),8))),0)</f>
        <v>0</v>
      </c>
      <c r="J12" s="30">
        <f>SUMPRODUCT((TKB_Nhap!$A$2:$A$73=J$3)*(TKB_Nhap!$D$2:$J$73=$A12))-IFERROR(N(IF(TuanConfig!$B$2="C",INDEX(SoTiet!$B$3:$J$18,MATCH($A12,SoTiet!$A$3:$A$18,0),9),INDEX(SoTiet!$L$3:$T$18,MATCH($A12,SoTiet!$A$3:$A$18,0),9))),0)</f>
        <v>0</v>
      </c>
    </row>
    <row r="13" spans="1:10" ht="15" customHeight="1" x14ac:dyDescent="0.25">
      <c r="A13" s="26" t="s">
        <v>116</v>
      </c>
      <c r="B13" s="30">
        <f>SUMPRODUCT((TKB_Nhap!$A$2:$A$73=B$3)*(TKB_Nhap!$D$2:$J$73=$A13))-IFERROR(N(IF(TuanConfig!$B$2="C",INDEX(SoTiet!$B$3:$J$18,MATCH($A13,SoTiet!$A$3:$A$18,0),1),INDEX(SoTiet!$L$3:$T$18,MATCH($A13,SoTiet!$A$3:$A$18,0),1))),0)</f>
        <v>0</v>
      </c>
      <c r="C13" s="30">
        <f>SUMPRODUCT((TKB_Nhap!$A$2:$A$73=C$3)*(TKB_Nhap!$D$2:$J$73=$A13))-IFERROR(N(IF(TuanConfig!$B$2="C",INDEX(SoTiet!$B$3:$J$18,MATCH($A13,SoTiet!$A$3:$A$18,0),2),INDEX(SoTiet!$L$3:$T$18,MATCH($A13,SoTiet!$A$3:$A$18,0),2))),0)</f>
        <v>0</v>
      </c>
      <c r="D13" s="30">
        <f>SUMPRODUCT((TKB_Nhap!$A$2:$A$73=D$3)*(TKB_Nhap!$D$2:$J$73=$A13))-IFERROR(N(IF(TuanConfig!$B$2="C",INDEX(SoTiet!$B$3:$J$18,MATCH($A13,SoTiet!$A$3:$A$18,0),3),INDEX(SoTiet!$L$3:$T$18,MATCH($A13,SoTiet!$A$3:$A$18,0),3))),0)</f>
        <v>0</v>
      </c>
      <c r="E13" s="30">
        <f>SUMPRODUCT((TKB_Nhap!$A$2:$A$73=E$3)*(TKB_Nhap!$D$2:$J$73=$A13))-IFERROR(N(IF(TuanConfig!$B$2="C",INDEX(SoTiet!$B$3:$J$18,MATCH($A13,SoTiet!$A$3:$A$18,0),4),INDEX(SoTiet!$L$3:$T$18,MATCH($A13,SoTiet!$A$3:$A$18,0),4))),0)</f>
        <v>0</v>
      </c>
      <c r="F13" s="30">
        <f>SUMPRODUCT((TKB_Nhap!$A$2:$A$73=F$3)*(TKB_Nhap!$D$2:$J$73=$A13))-IFERROR(N(IF(TuanConfig!$B$2="C",INDEX(SoTiet!$B$3:$J$18,MATCH($A13,SoTiet!$A$3:$A$18,0),5),INDEX(SoTiet!$L$3:$T$18,MATCH($A13,SoTiet!$A$3:$A$18,0),5))),0)</f>
        <v>0</v>
      </c>
      <c r="G13" s="30">
        <f>SUMPRODUCT((TKB_Nhap!$A$2:$A$73=G$3)*(TKB_Nhap!$D$2:$J$73=$A13))-IFERROR(N(IF(TuanConfig!$B$2="C",INDEX(SoTiet!$B$3:$J$18,MATCH($A13,SoTiet!$A$3:$A$18,0),6),INDEX(SoTiet!$L$3:$T$18,MATCH($A13,SoTiet!$A$3:$A$18,0),6))),0)</f>
        <v>0</v>
      </c>
      <c r="H13" s="30">
        <f>SUMPRODUCT((TKB_Nhap!$A$2:$A$73=H$3)*(TKB_Nhap!$D$2:$J$73=$A13))-IFERROR(N(IF(TuanConfig!$B$2="C",INDEX(SoTiet!$B$3:$J$18,MATCH($A13,SoTiet!$A$3:$A$18,0),7),INDEX(SoTiet!$L$3:$T$18,MATCH($A13,SoTiet!$A$3:$A$18,0),7))),0)</f>
        <v>0</v>
      </c>
      <c r="I13" s="30">
        <f>SUMPRODUCT((TKB_Nhap!$A$2:$A$73=I$3)*(TKB_Nhap!$D$2:$J$73=$A13))-IFERROR(N(IF(TuanConfig!$B$2="C",INDEX(SoTiet!$B$3:$J$18,MATCH($A13,SoTiet!$A$3:$A$18,0),8),INDEX(SoTiet!$L$3:$T$18,MATCH($A13,SoTiet!$A$3:$A$18,0),8))),0)</f>
        <v>0</v>
      </c>
      <c r="J13" s="30">
        <f>SUMPRODUCT((TKB_Nhap!$A$2:$A$73=J$3)*(TKB_Nhap!$D$2:$J$73=$A13))-IFERROR(N(IF(TuanConfig!$B$2="C",INDEX(SoTiet!$B$3:$J$18,MATCH($A13,SoTiet!$A$3:$A$18,0),9),INDEX(SoTiet!$L$3:$T$18,MATCH($A13,SoTiet!$A$3:$A$18,0),9))),0)</f>
        <v>0</v>
      </c>
    </row>
    <row r="14" spans="1:10" ht="15" customHeight="1" x14ac:dyDescent="0.25">
      <c r="A14" s="26" t="s">
        <v>117</v>
      </c>
      <c r="B14" s="30">
        <f>SUMPRODUCT((TKB_Nhap!$A$2:$A$73=B$3)*(TKB_Nhap!$D$2:$J$73=$A14))-IFERROR(N(IF(TuanConfig!$B$2="C",INDEX(SoTiet!$B$3:$J$18,MATCH($A14,SoTiet!$A$3:$A$18,0),1),INDEX(SoTiet!$L$3:$T$18,MATCH($A14,SoTiet!$A$3:$A$18,0),1))),0)</f>
        <v>0</v>
      </c>
      <c r="C14" s="30">
        <f>SUMPRODUCT((TKB_Nhap!$A$2:$A$73=C$3)*(TKB_Nhap!$D$2:$J$73=$A14))-IFERROR(N(IF(TuanConfig!$B$2="C",INDEX(SoTiet!$B$3:$J$18,MATCH($A14,SoTiet!$A$3:$A$18,0),2),INDEX(SoTiet!$L$3:$T$18,MATCH($A14,SoTiet!$A$3:$A$18,0),2))),0)</f>
        <v>0</v>
      </c>
      <c r="D14" s="30">
        <f>SUMPRODUCT((TKB_Nhap!$A$2:$A$73=D$3)*(TKB_Nhap!$D$2:$J$73=$A14))-IFERROR(N(IF(TuanConfig!$B$2="C",INDEX(SoTiet!$B$3:$J$18,MATCH($A14,SoTiet!$A$3:$A$18,0),3),INDEX(SoTiet!$L$3:$T$18,MATCH($A14,SoTiet!$A$3:$A$18,0),3))),0)</f>
        <v>0</v>
      </c>
      <c r="E14" s="30">
        <f>SUMPRODUCT((TKB_Nhap!$A$2:$A$73=E$3)*(TKB_Nhap!$D$2:$J$73=$A14))-IFERROR(N(IF(TuanConfig!$B$2="C",INDEX(SoTiet!$B$3:$J$18,MATCH($A14,SoTiet!$A$3:$A$18,0),4),INDEX(SoTiet!$L$3:$T$18,MATCH($A14,SoTiet!$A$3:$A$18,0),4))),0)</f>
        <v>0</v>
      </c>
      <c r="F14" s="30">
        <f>SUMPRODUCT((TKB_Nhap!$A$2:$A$73=F$3)*(TKB_Nhap!$D$2:$J$73=$A14))-IFERROR(N(IF(TuanConfig!$B$2="C",INDEX(SoTiet!$B$3:$J$18,MATCH($A14,SoTiet!$A$3:$A$18,0),5),INDEX(SoTiet!$L$3:$T$18,MATCH($A14,SoTiet!$A$3:$A$18,0),5))),0)</f>
        <v>0</v>
      </c>
      <c r="G14" s="30">
        <f>SUMPRODUCT((TKB_Nhap!$A$2:$A$73=G$3)*(TKB_Nhap!$D$2:$J$73=$A14))-IFERROR(N(IF(TuanConfig!$B$2="C",INDEX(SoTiet!$B$3:$J$18,MATCH($A14,SoTiet!$A$3:$A$18,0),6),INDEX(SoTiet!$L$3:$T$18,MATCH($A14,SoTiet!$A$3:$A$18,0),6))),0)</f>
        <v>0</v>
      </c>
      <c r="H14" s="30">
        <f>SUMPRODUCT((TKB_Nhap!$A$2:$A$73=H$3)*(TKB_Nhap!$D$2:$J$73=$A14))-IFERROR(N(IF(TuanConfig!$B$2="C",INDEX(SoTiet!$B$3:$J$18,MATCH($A14,SoTiet!$A$3:$A$18,0),7),INDEX(SoTiet!$L$3:$T$18,MATCH($A14,SoTiet!$A$3:$A$18,0),7))),0)</f>
        <v>0</v>
      </c>
      <c r="I14" s="30">
        <f>SUMPRODUCT((TKB_Nhap!$A$2:$A$73=I$3)*(TKB_Nhap!$D$2:$J$73=$A14))-IFERROR(N(IF(TuanConfig!$B$2="C",INDEX(SoTiet!$B$3:$J$18,MATCH($A14,SoTiet!$A$3:$A$18,0),8),INDEX(SoTiet!$L$3:$T$18,MATCH($A14,SoTiet!$A$3:$A$18,0),8))),0)</f>
        <v>0</v>
      </c>
      <c r="J14" s="30">
        <f>SUMPRODUCT((TKB_Nhap!$A$2:$A$73=J$3)*(TKB_Nhap!$D$2:$J$73=$A14))-IFERROR(N(IF(TuanConfig!$B$2="C",INDEX(SoTiet!$B$3:$J$18,MATCH($A14,SoTiet!$A$3:$A$18,0),9),INDEX(SoTiet!$L$3:$T$18,MATCH($A14,SoTiet!$A$3:$A$18,0),9))),0)</f>
        <v>0</v>
      </c>
    </row>
    <row r="15" spans="1:10" ht="15" customHeight="1" x14ac:dyDescent="0.25">
      <c r="A15" s="26" t="s">
        <v>118</v>
      </c>
      <c r="B15" s="30">
        <f>SUMPRODUCT((TKB_Nhap!$A$2:$A$73=B$3)*(TKB_Nhap!$D$2:$J$73=$A15))-IFERROR(N(IF(TuanConfig!$B$2="C",INDEX(SoTiet!$B$3:$J$18,MATCH($A15,SoTiet!$A$3:$A$18,0),1),INDEX(SoTiet!$L$3:$T$18,MATCH($A15,SoTiet!$A$3:$A$18,0),1))),0)</f>
        <v>0</v>
      </c>
      <c r="C15" s="30">
        <f>SUMPRODUCT((TKB_Nhap!$A$2:$A$73=C$3)*(TKB_Nhap!$D$2:$J$73=$A15))-IFERROR(N(IF(TuanConfig!$B$2="C",INDEX(SoTiet!$B$3:$J$18,MATCH($A15,SoTiet!$A$3:$A$18,0),2),INDEX(SoTiet!$L$3:$T$18,MATCH($A15,SoTiet!$A$3:$A$18,0),2))),0)</f>
        <v>0</v>
      </c>
      <c r="D15" s="30">
        <f>SUMPRODUCT((TKB_Nhap!$A$2:$A$73=D$3)*(TKB_Nhap!$D$2:$J$73=$A15))-IFERROR(N(IF(TuanConfig!$B$2="C",INDEX(SoTiet!$B$3:$J$18,MATCH($A15,SoTiet!$A$3:$A$18,0),3),INDEX(SoTiet!$L$3:$T$18,MATCH($A15,SoTiet!$A$3:$A$18,0),3))),0)</f>
        <v>0</v>
      </c>
      <c r="E15" s="30">
        <f>SUMPRODUCT((TKB_Nhap!$A$2:$A$73=E$3)*(TKB_Nhap!$D$2:$J$73=$A15))-IFERROR(N(IF(TuanConfig!$B$2="C",INDEX(SoTiet!$B$3:$J$18,MATCH($A15,SoTiet!$A$3:$A$18,0),4),INDEX(SoTiet!$L$3:$T$18,MATCH($A15,SoTiet!$A$3:$A$18,0),4))),0)</f>
        <v>0</v>
      </c>
      <c r="F15" s="30">
        <f>SUMPRODUCT((TKB_Nhap!$A$2:$A$73=F$3)*(TKB_Nhap!$D$2:$J$73=$A15))-IFERROR(N(IF(TuanConfig!$B$2="C",INDEX(SoTiet!$B$3:$J$18,MATCH($A15,SoTiet!$A$3:$A$18,0),5),INDEX(SoTiet!$L$3:$T$18,MATCH($A15,SoTiet!$A$3:$A$18,0),5))),0)</f>
        <v>0</v>
      </c>
      <c r="G15" s="30">
        <f>SUMPRODUCT((TKB_Nhap!$A$2:$A$73=G$3)*(TKB_Nhap!$D$2:$J$73=$A15))-IFERROR(N(IF(TuanConfig!$B$2="C",INDEX(SoTiet!$B$3:$J$18,MATCH($A15,SoTiet!$A$3:$A$18,0),6),INDEX(SoTiet!$L$3:$T$18,MATCH($A15,SoTiet!$A$3:$A$18,0),6))),0)</f>
        <v>0</v>
      </c>
      <c r="H15" s="30">
        <f>SUMPRODUCT((TKB_Nhap!$A$2:$A$73=H$3)*(TKB_Nhap!$D$2:$J$73=$A15))-IFERROR(N(IF(TuanConfig!$B$2="C",INDEX(SoTiet!$B$3:$J$18,MATCH($A15,SoTiet!$A$3:$A$18,0),7),INDEX(SoTiet!$L$3:$T$18,MATCH($A15,SoTiet!$A$3:$A$18,0),7))),0)</f>
        <v>0</v>
      </c>
      <c r="I15" s="30">
        <f>SUMPRODUCT((TKB_Nhap!$A$2:$A$73=I$3)*(TKB_Nhap!$D$2:$J$73=$A15))-IFERROR(N(IF(TuanConfig!$B$2="C",INDEX(SoTiet!$B$3:$J$18,MATCH($A15,SoTiet!$A$3:$A$18,0),8),INDEX(SoTiet!$L$3:$T$18,MATCH($A15,SoTiet!$A$3:$A$18,0),8))),0)</f>
        <v>0</v>
      </c>
      <c r="J15" s="30">
        <f>SUMPRODUCT((TKB_Nhap!$A$2:$A$73=J$3)*(TKB_Nhap!$D$2:$J$73=$A15))-IFERROR(N(IF(TuanConfig!$B$2="C",INDEX(SoTiet!$B$3:$J$18,MATCH($A15,SoTiet!$A$3:$A$18,0),9),INDEX(SoTiet!$L$3:$T$18,MATCH($A15,SoTiet!$A$3:$A$18,0),9))),0)</f>
        <v>0</v>
      </c>
    </row>
    <row r="16" spans="1:10" ht="15" customHeight="1" x14ac:dyDescent="0.25">
      <c r="A16" s="26" t="s">
        <v>120</v>
      </c>
      <c r="B16" s="30">
        <f>SUMPRODUCT((TKB_Nhap!$A$2:$A$73=B$3)*(TKB_Nhap!$D$2:$J$73=$A16))-IFERROR(N(IF(TuanConfig!$B$2="C",INDEX(SoTiet!$B$3:$J$18,MATCH($A16,SoTiet!$A$3:$A$18,0),1),INDEX(SoTiet!$L$3:$T$18,MATCH($A16,SoTiet!$A$3:$A$18,0),1))),0)</f>
        <v>0</v>
      </c>
      <c r="C16" s="30">
        <f>SUMPRODUCT((TKB_Nhap!$A$2:$A$73=C$3)*(TKB_Nhap!$D$2:$J$73=$A16))-IFERROR(N(IF(TuanConfig!$B$2="C",INDEX(SoTiet!$B$3:$J$18,MATCH($A16,SoTiet!$A$3:$A$18,0),2),INDEX(SoTiet!$L$3:$T$18,MATCH($A16,SoTiet!$A$3:$A$18,0),2))),0)</f>
        <v>0</v>
      </c>
      <c r="D16" s="30">
        <f>SUMPRODUCT((TKB_Nhap!$A$2:$A$73=D$3)*(TKB_Nhap!$D$2:$J$73=$A16))-IFERROR(N(IF(TuanConfig!$B$2="C",INDEX(SoTiet!$B$3:$J$18,MATCH($A16,SoTiet!$A$3:$A$18,0),3),INDEX(SoTiet!$L$3:$T$18,MATCH($A16,SoTiet!$A$3:$A$18,0),3))),0)</f>
        <v>0</v>
      </c>
      <c r="E16" s="30">
        <f>SUMPRODUCT((TKB_Nhap!$A$2:$A$73=E$3)*(TKB_Nhap!$D$2:$J$73=$A16))-IFERROR(N(IF(TuanConfig!$B$2="C",INDEX(SoTiet!$B$3:$J$18,MATCH($A16,SoTiet!$A$3:$A$18,0),4),INDEX(SoTiet!$L$3:$T$18,MATCH($A16,SoTiet!$A$3:$A$18,0),4))),0)</f>
        <v>0</v>
      </c>
      <c r="F16" s="30">
        <f>SUMPRODUCT((TKB_Nhap!$A$2:$A$73=F$3)*(TKB_Nhap!$D$2:$J$73=$A16))-IFERROR(N(IF(TuanConfig!$B$2="C",INDEX(SoTiet!$B$3:$J$18,MATCH($A16,SoTiet!$A$3:$A$18,0),5),INDEX(SoTiet!$L$3:$T$18,MATCH($A16,SoTiet!$A$3:$A$18,0),5))),0)</f>
        <v>0</v>
      </c>
      <c r="G16" s="30">
        <f>SUMPRODUCT((TKB_Nhap!$A$2:$A$73=G$3)*(TKB_Nhap!$D$2:$J$73=$A16))-IFERROR(N(IF(TuanConfig!$B$2="C",INDEX(SoTiet!$B$3:$J$18,MATCH($A16,SoTiet!$A$3:$A$18,0),6),INDEX(SoTiet!$L$3:$T$18,MATCH($A16,SoTiet!$A$3:$A$18,0),6))),0)</f>
        <v>0</v>
      </c>
      <c r="H16" s="30">
        <f>SUMPRODUCT((TKB_Nhap!$A$2:$A$73=H$3)*(TKB_Nhap!$D$2:$J$73=$A16))-IFERROR(N(IF(TuanConfig!$B$2="C",INDEX(SoTiet!$B$3:$J$18,MATCH($A16,SoTiet!$A$3:$A$18,0),7),INDEX(SoTiet!$L$3:$T$18,MATCH($A16,SoTiet!$A$3:$A$18,0),7))),0)</f>
        <v>0</v>
      </c>
      <c r="I16" s="30">
        <f>SUMPRODUCT((TKB_Nhap!$A$2:$A$73=I$3)*(TKB_Nhap!$D$2:$J$73=$A16))-IFERROR(N(IF(TuanConfig!$B$2="C",INDEX(SoTiet!$B$3:$J$18,MATCH($A16,SoTiet!$A$3:$A$18,0),8),INDEX(SoTiet!$L$3:$T$18,MATCH($A16,SoTiet!$A$3:$A$18,0),8))),0)</f>
        <v>0</v>
      </c>
      <c r="J16" s="30">
        <f>SUMPRODUCT((TKB_Nhap!$A$2:$A$73=J$3)*(TKB_Nhap!$D$2:$J$73=$A16))-IFERROR(N(IF(TuanConfig!$B$2="C",INDEX(SoTiet!$B$3:$J$18,MATCH($A16,SoTiet!$A$3:$A$18,0),9),INDEX(SoTiet!$L$3:$T$18,MATCH($A16,SoTiet!$A$3:$A$18,0),9))),0)</f>
        <v>0</v>
      </c>
    </row>
    <row r="17" spans="1:10" ht="15" customHeight="1" x14ac:dyDescent="0.25">
      <c r="A17" s="26" t="s">
        <v>122</v>
      </c>
      <c r="B17" s="30">
        <f>SUMPRODUCT((TKB_Nhap!$A$2:$A$73=B$3)*(TKB_Nhap!$D$2:$J$73=$A17))-IFERROR(N(IF(TuanConfig!$B$2="C",INDEX(SoTiet!$B$3:$J$18,MATCH($A17,SoTiet!$A$3:$A$18,0),1),INDEX(SoTiet!$L$3:$T$18,MATCH($A17,SoTiet!$A$3:$A$18,0),1))),0)</f>
        <v>0</v>
      </c>
      <c r="C17" s="30">
        <f>SUMPRODUCT((TKB_Nhap!$A$2:$A$73=C$3)*(TKB_Nhap!$D$2:$J$73=$A17))-IFERROR(N(IF(TuanConfig!$B$2="C",INDEX(SoTiet!$B$3:$J$18,MATCH($A17,SoTiet!$A$3:$A$18,0),2),INDEX(SoTiet!$L$3:$T$18,MATCH($A17,SoTiet!$A$3:$A$18,0),2))),0)</f>
        <v>0</v>
      </c>
      <c r="D17" s="30">
        <f>SUMPRODUCT((TKB_Nhap!$A$2:$A$73=D$3)*(TKB_Nhap!$D$2:$J$73=$A17))-IFERROR(N(IF(TuanConfig!$B$2="C",INDEX(SoTiet!$B$3:$J$18,MATCH($A17,SoTiet!$A$3:$A$18,0),3),INDEX(SoTiet!$L$3:$T$18,MATCH($A17,SoTiet!$A$3:$A$18,0),3))),0)</f>
        <v>0</v>
      </c>
      <c r="E17" s="30">
        <f>SUMPRODUCT((TKB_Nhap!$A$2:$A$73=E$3)*(TKB_Nhap!$D$2:$J$73=$A17))-IFERROR(N(IF(TuanConfig!$B$2="C",INDEX(SoTiet!$B$3:$J$18,MATCH($A17,SoTiet!$A$3:$A$18,0),4),INDEX(SoTiet!$L$3:$T$18,MATCH($A17,SoTiet!$A$3:$A$18,0),4))),0)</f>
        <v>0</v>
      </c>
      <c r="F17" s="30">
        <f>SUMPRODUCT((TKB_Nhap!$A$2:$A$73=F$3)*(TKB_Nhap!$D$2:$J$73=$A17))-IFERROR(N(IF(TuanConfig!$B$2="C",INDEX(SoTiet!$B$3:$J$18,MATCH($A17,SoTiet!$A$3:$A$18,0),5),INDEX(SoTiet!$L$3:$T$18,MATCH($A17,SoTiet!$A$3:$A$18,0),5))),0)</f>
        <v>0</v>
      </c>
      <c r="G17" s="30">
        <f>SUMPRODUCT((TKB_Nhap!$A$2:$A$73=G$3)*(TKB_Nhap!$D$2:$J$73=$A17))-IFERROR(N(IF(TuanConfig!$B$2="C",INDEX(SoTiet!$B$3:$J$18,MATCH($A17,SoTiet!$A$3:$A$18,0),6),INDEX(SoTiet!$L$3:$T$18,MATCH($A17,SoTiet!$A$3:$A$18,0),6))),0)</f>
        <v>0</v>
      </c>
      <c r="H17" s="30">
        <f>SUMPRODUCT((TKB_Nhap!$A$2:$A$73=H$3)*(TKB_Nhap!$D$2:$J$73=$A17))-IFERROR(N(IF(TuanConfig!$B$2="C",INDEX(SoTiet!$B$3:$J$18,MATCH($A17,SoTiet!$A$3:$A$18,0),7),INDEX(SoTiet!$L$3:$T$18,MATCH($A17,SoTiet!$A$3:$A$18,0),7))),0)</f>
        <v>0</v>
      </c>
      <c r="I17" s="30">
        <f>SUMPRODUCT((TKB_Nhap!$A$2:$A$73=I$3)*(TKB_Nhap!$D$2:$J$73=$A17))-IFERROR(N(IF(TuanConfig!$B$2="C",INDEX(SoTiet!$B$3:$J$18,MATCH($A17,SoTiet!$A$3:$A$18,0),8),INDEX(SoTiet!$L$3:$T$18,MATCH($A17,SoTiet!$A$3:$A$18,0),8))),0)</f>
        <v>0</v>
      </c>
      <c r="J17" s="30">
        <f>SUMPRODUCT((TKB_Nhap!$A$2:$A$73=J$3)*(TKB_Nhap!$D$2:$J$73=$A17))-IFERROR(N(IF(TuanConfig!$B$2="C",INDEX(SoTiet!$B$3:$J$18,MATCH($A17,SoTiet!$A$3:$A$18,0),9),INDEX(SoTiet!$L$3:$T$18,MATCH($A17,SoTiet!$A$3:$A$18,0),9))),0)</f>
        <v>0</v>
      </c>
    </row>
    <row r="18" spans="1:10" ht="15" customHeight="1" x14ac:dyDescent="0.25">
      <c r="A18" s="26" t="s">
        <v>123</v>
      </c>
      <c r="B18" s="30">
        <f>SUMPRODUCT((TKB_Nhap!$A$2:$A$73=B$3)*(TKB_Nhap!$D$2:$J$73=$A18))-IFERROR(N(IF(TuanConfig!$B$2="C",INDEX(SoTiet!$B$3:$J$18,MATCH($A18,SoTiet!$A$3:$A$18,0),1),INDEX(SoTiet!$L$3:$T$18,MATCH($A18,SoTiet!$A$3:$A$18,0),1))),0)</f>
        <v>0</v>
      </c>
      <c r="C18" s="30">
        <f>SUMPRODUCT((TKB_Nhap!$A$2:$A$73=C$3)*(TKB_Nhap!$D$2:$J$73=$A18))-IFERROR(N(IF(TuanConfig!$B$2="C",INDEX(SoTiet!$B$3:$J$18,MATCH($A18,SoTiet!$A$3:$A$18,0),2),INDEX(SoTiet!$L$3:$T$18,MATCH($A18,SoTiet!$A$3:$A$18,0),2))),0)</f>
        <v>0</v>
      </c>
      <c r="D18" s="30">
        <f>SUMPRODUCT((TKB_Nhap!$A$2:$A$73=D$3)*(TKB_Nhap!$D$2:$J$73=$A18))-IFERROR(N(IF(TuanConfig!$B$2="C",INDEX(SoTiet!$B$3:$J$18,MATCH($A18,SoTiet!$A$3:$A$18,0),3),INDEX(SoTiet!$L$3:$T$18,MATCH($A18,SoTiet!$A$3:$A$18,0),3))),0)</f>
        <v>0</v>
      </c>
      <c r="E18" s="30">
        <f>SUMPRODUCT((TKB_Nhap!$A$2:$A$73=E$3)*(TKB_Nhap!$D$2:$J$73=$A18))-IFERROR(N(IF(TuanConfig!$B$2="C",INDEX(SoTiet!$B$3:$J$18,MATCH($A18,SoTiet!$A$3:$A$18,0),4),INDEX(SoTiet!$L$3:$T$18,MATCH($A18,SoTiet!$A$3:$A$18,0),4))),0)</f>
        <v>0</v>
      </c>
      <c r="F18" s="30">
        <f>SUMPRODUCT((TKB_Nhap!$A$2:$A$73=F$3)*(TKB_Nhap!$D$2:$J$73=$A18))-IFERROR(N(IF(TuanConfig!$B$2="C",INDEX(SoTiet!$B$3:$J$18,MATCH($A18,SoTiet!$A$3:$A$18,0),5),INDEX(SoTiet!$L$3:$T$18,MATCH($A18,SoTiet!$A$3:$A$18,0),5))),0)</f>
        <v>0</v>
      </c>
      <c r="G18" s="30">
        <f>SUMPRODUCT((TKB_Nhap!$A$2:$A$73=G$3)*(TKB_Nhap!$D$2:$J$73=$A18))-IFERROR(N(IF(TuanConfig!$B$2="C",INDEX(SoTiet!$B$3:$J$18,MATCH($A18,SoTiet!$A$3:$A$18,0),6),INDEX(SoTiet!$L$3:$T$18,MATCH($A18,SoTiet!$A$3:$A$18,0),6))),0)</f>
        <v>0</v>
      </c>
      <c r="H18" s="30">
        <f>SUMPRODUCT((TKB_Nhap!$A$2:$A$73=H$3)*(TKB_Nhap!$D$2:$J$73=$A18))-IFERROR(N(IF(TuanConfig!$B$2="C",INDEX(SoTiet!$B$3:$J$18,MATCH($A18,SoTiet!$A$3:$A$18,0),7),INDEX(SoTiet!$L$3:$T$18,MATCH($A18,SoTiet!$A$3:$A$18,0),7))),0)</f>
        <v>0</v>
      </c>
      <c r="I18" s="30">
        <f>SUMPRODUCT((TKB_Nhap!$A$2:$A$73=I$3)*(TKB_Nhap!$D$2:$J$73=$A18))-IFERROR(N(IF(TuanConfig!$B$2="C",INDEX(SoTiet!$B$3:$J$18,MATCH($A18,SoTiet!$A$3:$A$18,0),8),INDEX(SoTiet!$L$3:$T$18,MATCH($A18,SoTiet!$A$3:$A$18,0),8))),0)</f>
        <v>0</v>
      </c>
      <c r="J18" s="30">
        <f>SUMPRODUCT((TKB_Nhap!$A$2:$A$73=J$3)*(TKB_Nhap!$D$2:$J$73=$A18))-IFERROR(N(IF(TuanConfig!$B$2="C",INDEX(SoTiet!$B$3:$J$18,MATCH($A18,SoTiet!$A$3:$A$18,0),9),INDEX(SoTiet!$L$3:$T$18,MATCH($A18,SoTiet!$A$3:$A$18,0),9))),0)</f>
        <v>0</v>
      </c>
    </row>
    <row r="19" spans="1:10" ht="15" customHeight="1" x14ac:dyDescent="0.25">
      <c r="A19" s="26" t="s">
        <v>125</v>
      </c>
      <c r="B19" s="30">
        <f>SUMPRODUCT((TKB_Nhap!$A$2:$A$73=B$3)*(TKB_Nhap!$D$2:$J$73=$A19))-IFERROR(N(IF(TuanConfig!$B$2="C",INDEX(SoTiet!$B$3:$J$18,MATCH($A19,SoTiet!$A$3:$A$18,0),1),INDEX(SoTiet!$L$3:$T$18,MATCH($A19,SoTiet!$A$3:$A$18,0),1))),0)</f>
        <v>0</v>
      </c>
      <c r="C19" s="30">
        <f>SUMPRODUCT((TKB_Nhap!$A$2:$A$73=C$3)*(TKB_Nhap!$D$2:$J$73=$A19))-IFERROR(N(IF(TuanConfig!$B$2="C",INDEX(SoTiet!$B$3:$J$18,MATCH($A19,SoTiet!$A$3:$A$18,0),2),INDEX(SoTiet!$L$3:$T$18,MATCH($A19,SoTiet!$A$3:$A$18,0),2))),0)</f>
        <v>0</v>
      </c>
      <c r="D19" s="30">
        <f>SUMPRODUCT((TKB_Nhap!$A$2:$A$73=D$3)*(TKB_Nhap!$D$2:$J$73=$A19))-IFERROR(N(IF(TuanConfig!$B$2="C",INDEX(SoTiet!$B$3:$J$18,MATCH($A19,SoTiet!$A$3:$A$18,0),3),INDEX(SoTiet!$L$3:$T$18,MATCH($A19,SoTiet!$A$3:$A$18,0),3))),0)</f>
        <v>0</v>
      </c>
      <c r="E19" s="30">
        <f>SUMPRODUCT((TKB_Nhap!$A$2:$A$73=E$3)*(TKB_Nhap!$D$2:$J$73=$A19))-IFERROR(N(IF(TuanConfig!$B$2="C",INDEX(SoTiet!$B$3:$J$18,MATCH($A19,SoTiet!$A$3:$A$18,0),4),INDEX(SoTiet!$L$3:$T$18,MATCH($A19,SoTiet!$A$3:$A$18,0),4))),0)</f>
        <v>0</v>
      </c>
      <c r="F19" s="30">
        <f>SUMPRODUCT((TKB_Nhap!$A$2:$A$73=F$3)*(TKB_Nhap!$D$2:$J$73=$A19))-IFERROR(N(IF(TuanConfig!$B$2="C",INDEX(SoTiet!$B$3:$J$18,MATCH($A19,SoTiet!$A$3:$A$18,0),5),INDEX(SoTiet!$L$3:$T$18,MATCH($A19,SoTiet!$A$3:$A$18,0),5))),0)</f>
        <v>0</v>
      </c>
      <c r="G19" s="30">
        <f>SUMPRODUCT((TKB_Nhap!$A$2:$A$73=G$3)*(TKB_Nhap!$D$2:$J$73=$A19))-IFERROR(N(IF(TuanConfig!$B$2="C",INDEX(SoTiet!$B$3:$J$18,MATCH($A19,SoTiet!$A$3:$A$18,0),6),INDEX(SoTiet!$L$3:$T$18,MATCH($A19,SoTiet!$A$3:$A$18,0),6))),0)</f>
        <v>0</v>
      </c>
      <c r="H19" s="30">
        <f>SUMPRODUCT((TKB_Nhap!$A$2:$A$73=H$3)*(TKB_Nhap!$D$2:$J$73=$A19))-IFERROR(N(IF(TuanConfig!$B$2="C",INDEX(SoTiet!$B$3:$J$18,MATCH($A19,SoTiet!$A$3:$A$18,0),7),INDEX(SoTiet!$L$3:$T$18,MATCH($A19,SoTiet!$A$3:$A$18,0),7))),0)</f>
        <v>0</v>
      </c>
      <c r="I19" s="30">
        <f>SUMPRODUCT((TKB_Nhap!$A$2:$A$73=I$3)*(TKB_Nhap!$D$2:$J$73=$A19))-IFERROR(N(IF(TuanConfig!$B$2="C",INDEX(SoTiet!$B$3:$J$18,MATCH($A19,SoTiet!$A$3:$A$18,0),8),INDEX(SoTiet!$L$3:$T$18,MATCH($A19,SoTiet!$A$3:$A$18,0),8))),0)</f>
        <v>0</v>
      </c>
      <c r="J19" s="30">
        <f>SUMPRODUCT((TKB_Nhap!$A$2:$A$73=J$3)*(TKB_Nhap!$D$2:$J$73=$A19))-IFERROR(N(IF(TuanConfig!$B$2="C",INDEX(SoTiet!$B$3:$J$18,MATCH($A19,SoTiet!$A$3:$A$18,0),9),INDEX(SoTiet!$L$3:$T$18,MATCH($A19,SoTiet!$A$3:$A$18,0),9))),0)</f>
        <v>0</v>
      </c>
    </row>
    <row r="20" spans="1:10" ht="15" customHeight="1" x14ac:dyDescent="0.25">
      <c r="A20" s="15" t="s">
        <v>190</v>
      </c>
      <c r="B20" s="11">
        <f>SUMPRODUCT((TKB_Nhap!$A$2:$A$73=B$3)*(TKB_Nhap!$D$2:$J$73&lt;&gt;""))-IF(TuanConfig!$B$2="C",SUM(SoTiet!B3:B18),SUM(SoTiet!L3:L18))</f>
        <v>0</v>
      </c>
      <c r="C20" s="11">
        <f>SUMPRODUCT((TKB_Nhap!$A$2:$A$73=C$3)*(TKB_Nhap!$D$2:$J$73&lt;&gt;""))-IF(TuanConfig!$B$2="C",SUM(SoTiet!C3:C18),SUM(SoTiet!M3:M18))</f>
        <v>0</v>
      </c>
      <c r="D20" s="11">
        <f>SUMPRODUCT((TKB_Nhap!$A$2:$A$73=D$3)*(TKB_Nhap!$D$2:$J$73&lt;&gt;""))-IF(TuanConfig!$B$2="C",SUM(SoTiet!D3:D18),SUM(SoTiet!N3:N18))</f>
        <v>0</v>
      </c>
      <c r="E20" s="11">
        <f>SUMPRODUCT((TKB_Nhap!$A$2:$A$73=E$3)*(TKB_Nhap!$D$2:$J$73&lt;&gt;""))-IF(TuanConfig!$B$2="C",SUM(SoTiet!E3:E18),SUM(SoTiet!O3:O18))</f>
        <v>0</v>
      </c>
      <c r="F20" s="11">
        <f>SUMPRODUCT((TKB_Nhap!$A$2:$A$73=F$3)*(TKB_Nhap!$D$2:$J$73&lt;&gt;""))-IF(TuanConfig!$B$2="C",SUM(SoTiet!F3:F18),SUM(SoTiet!P3:P18))</f>
        <v>0</v>
      </c>
      <c r="G20" s="11">
        <f>SUMPRODUCT((TKB_Nhap!$A$2:$A$73=G$3)*(TKB_Nhap!$D$2:$J$73&lt;&gt;""))-IF(TuanConfig!$B$2="C",SUM(SoTiet!G3:G18),SUM(SoTiet!Q3:Q18))</f>
        <v>0</v>
      </c>
      <c r="H20" s="11">
        <f>SUMPRODUCT((TKB_Nhap!$A$2:$A$73=H$3)*(TKB_Nhap!$D$2:$J$73&lt;&gt;""))-IF(TuanConfig!$B$2="C",SUM(SoTiet!H3:H18),SUM(SoTiet!R3:R18))</f>
        <v>0</v>
      </c>
      <c r="I20" s="11">
        <f>SUMPRODUCT((TKB_Nhap!$A$2:$A$73=I$3)*(TKB_Nhap!$D$2:$J$73&lt;&gt;""))-IF(TuanConfig!$B$2="C",SUM(SoTiet!I3:I18),SUM(SoTiet!S3:S18))</f>
        <v>0</v>
      </c>
      <c r="J20" s="11">
        <f>SUMPRODUCT((TKB_Nhap!$A$2:$A$73=J$3)*(TKB_Nhap!$D$2:$J$73&lt;&gt;""))-IF(TuanConfig!$B$2="C",SUM(SoTiet!J3:J18),SUM(SoTiet!T3:T18))</f>
        <v>0</v>
      </c>
    </row>
    <row r="21" spans="1:10" ht="15" customHeight="1" x14ac:dyDescent="0.25">
      <c r="A21" s="5"/>
      <c r="B21" s="12"/>
      <c r="C21" s="12"/>
      <c r="D21" s="12"/>
      <c r="E21" s="12"/>
      <c r="F21" s="12"/>
      <c r="G21" s="12"/>
      <c r="H21" s="12"/>
      <c r="I21" s="12"/>
      <c r="J21" s="12"/>
    </row>
    <row r="22" spans="1:10" ht="15" customHeight="1" x14ac:dyDescent="0.25">
      <c r="A22" s="5" t="s">
        <v>191</v>
      </c>
      <c r="B22" s="31">
        <f>SUM(TKB_GV!$L$2:$R$73)</f>
        <v>0</v>
      </c>
    </row>
    <row r="23" spans="1:10" ht="15" customHeight="1" x14ac:dyDescent="0.25">
      <c r="A23" s="5"/>
      <c r="B23" s="12"/>
      <c r="C23" s="40"/>
    </row>
    <row r="24" spans="1:10" ht="15" customHeight="1" x14ac:dyDescent="0.25"/>
    <row r="25" spans="1:10" ht="15" customHeight="1" x14ac:dyDescent="0.25">
      <c r="A25" s="41"/>
    </row>
    <row r="26" spans="1:10" ht="15" customHeight="1" x14ac:dyDescent="0.25">
      <c r="A26" s="5"/>
      <c r="B26" s="5"/>
    </row>
    <row r="27" spans="1:10" ht="15" customHeight="1" x14ac:dyDescent="0.25">
      <c r="A27" s="4"/>
      <c r="B27" s="19"/>
    </row>
    <row r="28" spans="1:10" ht="15" customHeight="1" x14ac:dyDescent="0.25">
      <c r="A28" s="4"/>
      <c r="B28" s="19"/>
    </row>
    <row r="29" spans="1:10" ht="15" customHeight="1" x14ac:dyDescent="0.25">
      <c r="A29" s="4"/>
      <c r="B29" s="19"/>
    </row>
    <row r="30" spans="1:10" ht="15" customHeight="1" x14ac:dyDescent="0.25">
      <c r="A30" s="4"/>
      <c r="B30" s="19"/>
    </row>
    <row r="31" spans="1:10" ht="15" customHeight="1" x14ac:dyDescent="0.25">
      <c r="A31" s="4"/>
      <c r="B31" s="19"/>
    </row>
    <row r="32" spans="1:10" ht="15" customHeight="1" x14ac:dyDescent="0.25">
      <c r="A32" s="4"/>
      <c r="B32" s="19"/>
    </row>
    <row r="33" spans="1:2" ht="15" customHeight="1" x14ac:dyDescent="0.25">
      <c r="A33" s="4"/>
      <c r="B33" s="19"/>
    </row>
    <row r="34" spans="1:2" ht="15" customHeight="1" x14ac:dyDescent="0.25">
      <c r="A34" s="4"/>
      <c r="B34" s="19"/>
    </row>
    <row r="35" spans="1:2" ht="15" customHeight="1" x14ac:dyDescent="0.25">
      <c r="A35" s="4"/>
      <c r="B35" s="19"/>
    </row>
    <row r="36" spans="1:2" ht="15" customHeight="1" x14ac:dyDescent="0.25">
      <c r="A36" s="4"/>
      <c r="B36" s="19"/>
    </row>
    <row r="37" spans="1:2" ht="15" customHeight="1" x14ac:dyDescent="0.25">
      <c r="A37" s="4"/>
      <c r="B37" s="19"/>
    </row>
    <row r="38" spans="1:2" ht="15" customHeight="1" x14ac:dyDescent="0.25">
      <c r="A38" s="4"/>
      <c r="B38" s="19"/>
    </row>
    <row r="39" spans="1:2" ht="15" customHeight="1" x14ac:dyDescent="0.25">
      <c r="A39" s="4"/>
      <c r="B39" s="19"/>
    </row>
    <row r="40" spans="1:2" ht="15" customHeight="1" x14ac:dyDescent="0.25">
      <c r="A40" s="4"/>
      <c r="B40" s="19"/>
    </row>
    <row r="41" spans="1:2" ht="15" customHeight="1" x14ac:dyDescent="0.25">
      <c r="A41" s="4"/>
      <c r="B41" s="19"/>
    </row>
    <row r="42" spans="1:2" ht="15" customHeight="1" x14ac:dyDescent="0.25">
      <c r="A42" s="4"/>
      <c r="B42" s="19"/>
    </row>
    <row r="43" spans="1:2" ht="15" customHeight="1" x14ac:dyDescent="0.25">
      <c r="A43" s="4"/>
      <c r="B43" s="19"/>
    </row>
    <row r="44" spans="1:2" ht="15" customHeight="1" x14ac:dyDescent="0.25">
      <c r="A44" s="4"/>
      <c r="B44" s="19"/>
    </row>
    <row r="45" spans="1:2" ht="15" customHeight="1" x14ac:dyDescent="0.25"/>
    <row r="46" spans="1:2" ht="15" customHeight="1" x14ac:dyDescent="0.25"/>
    <row r="47" spans="1:2" ht="15" customHeight="1" x14ac:dyDescent="0.25"/>
    <row r="48" spans="1:2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</sheetData>
  <mergeCells count="1">
    <mergeCell ref="A1:J1"/>
  </mergeCells>
  <conditionalFormatting sqref="B22:B23">
    <cfRule type="expression" dxfId="2" priority="3">
      <formula>B22&gt;0</formula>
    </cfRule>
  </conditionalFormatting>
  <conditionalFormatting sqref="B4:I20">
    <cfRule type="expression" dxfId="1" priority="9">
      <formula>B4&lt;&gt;0</formula>
    </cfRule>
  </conditionalFormatting>
  <conditionalFormatting sqref="B4:J21">
    <cfRule type="expression" dxfId="0" priority="2">
      <formula>B4&lt;&gt;0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D2:I73"/>
  <sheetViews>
    <sheetView zoomScaleNormal="100" workbookViewId="0"/>
  </sheetViews>
  <sheetFormatPr defaultColWidth="8.7109375" defaultRowHeight="15" x14ac:dyDescent="0.25"/>
  <sheetData>
    <row r="2" spans="4:9" ht="15" customHeight="1" x14ac:dyDescent="0.25">
      <c r="D2" t="s">
        <v>192</v>
      </c>
      <c r="E2" t="s">
        <v>192</v>
      </c>
      <c r="F2" t="s">
        <v>192</v>
      </c>
      <c r="G2" t="s">
        <v>192</v>
      </c>
      <c r="H2" t="s">
        <v>192</v>
      </c>
      <c r="I2" t="s">
        <v>192</v>
      </c>
    </row>
    <row r="3" spans="4:9" ht="15" customHeight="1" x14ac:dyDescent="0.25">
      <c r="D3" t="s">
        <v>192</v>
      </c>
      <c r="E3" t="s">
        <v>192</v>
      </c>
      <c r="F3" t="s">
        <v>192</v>
      </c>
      <c r="G3" t="s">
        <v>192</v>
      </c>
      <c r="H3" t="s">
        <v>192</v>
      </c>
      <c r="I3" t="s">
        <v>192</v>
      </c>
    </row>
    <row r="4" spans="4:9" ht="15" customHeight="1" x14ac:dyDescent="0.25">
      <c r="D4" t="s">
        <v>192</v>
      </c>
      <c r="E4" t="s">
        <v>192</v>
      </c>
      <c r="F4" t="s">
        <v>192</v>
      </c>
      <c r="G4" t="s">
        <v>192</v>
      </c>
      <c r="H4" t="s">
        <v>192</v>
      </c>
      <c r="I4" t="s">
        <v>192</v>
      </c>
    </row>
    <row r="5" spans="4:9" ht="15" customHeight="1" x14ac:dyDescent="0.25">
      <c r="D5" t="s">
        <v>192</v>
      </c>
      <c r="E5" t="s">
        <v>192</v>
      </c>
      <c r="F5" t="s">
        <v>192</v>
      </c>
      <c r="G5" t="s">
        <v>192</v>
      </c>
      <c r="H5" t="s">
        <v>192</v>
      </c>
      <c r="I5" t="s">
        <v>192</v>
      </c>
    </row>
    <row r="6" spans="4:9" ht="15" customHeight="1" x14ac:dyDescent="0.25">
      <c r="D6" t="s">
        <v>192</v>
      </c>
      <c r="E6" t="s">
        <v>192</v>
      </c>
      <c r="F6" t="s">
        <v>192</v>
      </c>
      <c r="G6" t="s">
        <v>192</v>
      </c>
      <c r="H6" t="s">
        <v>192</v>
      </c>
      <c r="I6" t="s">
        <v>192</v>
      </c>
    </row>
    <row r="7" spans="4:9" ht="15" customHeight="1" x14ac:dyDescent="0.25"/>
    <row r="8" spans="4:9" ht="15" customHeight="1" x14ac:dyDescent="0.25"/>
    <row r="9" spans="4:9" ht="15" customHeight="1" x14ac:dyDescent="0.25"/>
    <row r="10" spans="4:9" ht="15" customHeight="1" x14ac:dyDescent="0.25">
      <c r="D10" t="s">
        <v>192</v>
      </c>
      <c r="E10" t="s">
        <v>192</v>
      </c>
      <c r="F10" t="s">
        <v>192</v>
      </c>
      <c r="G10" t="s">
        <v>192</v>
      </c>
      <c r="H10" t="s">
        <v>192</v>
      </c>
      <c r="I10" t="s">
        <v>192</v>
      </c>
    </row>
    <row r="11" spans="4:9" ht="15" customHeight="1" x14ac:dyDescent="0.25">
      <c r="D11" t="s">
        <v>192</v>
      </c>
      <c r="E11" t="s">
        <v>192</v>
      </c>
      <c r="F11" t="s">
        <v>192</v>
      </c>
      <c r="G11" t="s">
        <v>192</v>
      </c>
      <c r="H11" t="s">
        <v>192</v>
      </c>
      <c r="I11" t="s">
        <v>192</v>
      </c>
    </row>
    <row r="12" spans="4:9" ht="15" customHeight="1" x14ac:dyDescent="0.25">
      <c r="D12" t="s">
        <v>192</v>
      </c>
      <c r="E12" t="s">
        <v>192</v>
      </c>
      <c r="F12" t="s">
        <v>192</v>
      </c>
      <c r="G12" t="s">
        <v>192</v>
      </c>
      <c r="H12" t="s">
        <v>192</v>
      </c>
      <c r="I12" t="s">
        <v>192</v>
      </c>
    </row>
    <row r="13" spans="4:9" ht="15" customHeight="1" x14ac:dyDescent="0.25">
      <c r="D13" t="s">
        <v>192</v>
      </c>
      <c r="E13" t="s">
        <v>192</v>
      </c>
      <c r="F13" t="s">
        <v>192</v>
      </c>
      <c r="G13" t="s">
        <v>192</v>
      </c>
      <c r="H13" t="s">
        <v>192</v>
      </c>
      <c r="I13" t="s">
        <v>192</v>
      </c>
    </row>
    <row r="14" spans="4:9" ht="15" customHeight="1" x14ac:dyDescent="0.25">
      <c r="D14" t="s">
        <v>192</v>
      </c>
      <c r="E14" t="s">
        <v>192</v>
      </c>
      <c r="F14" t="s">
        <v>192</v>
      </c>
      <c r="G14" t="s">
        <v>192</v>
      </c>
      <c r="H14" t="s">
        <v>192</v>
      </c>
      <c r="I14" t="s">
        <v>192</v>
      </c>
    </row>
    <row r="15" spans="4:9" ht="15" customHeight="1" x14ac:dyDescent="0.25"/>
    <row r="16" spans="4:9" ht="15" customHeight="1" x14ac:dyDescent="0.25"/>
    <row r="17" spans="4:9" ht="15" customHeight="1" x14ac:dyDescent="0.25"/>
    <row r="18" spans="4:9" ht="15" customHeight="1" x14ac:dyDescent="0.25">
      <c r="D18" t="s">
        <v>192</v>
      </c>
      <c r="E18" t="s">
        <v>192</v>
      </c>
      <c r="F18" t="s">
        <v>192</v>
      </c>
      <c r="G18" t="s">
        <v>192</v>
      </c>
      <c r="H18" t="s">
        <v>192</v>
      </c>
      <c r="I18" t="s">
        <v>192</v>
      </c>
    </row>
    <row r="19" spans="4:9" ht="15" customHeight="1" x14ac:dyDescent="0.25">
      <c r="D19" t="s">
        <v>192</v>
      </c>
      <c r="E19" t="s">
        <v>192</v>
      </c>
      <c r="F19" t="s">
        <v>192</v>
      </c>
      <c r="G19" t="s">
        <v>192</v>
      </c>
      <c r="H19" t="s">
        <v>192</v>
      </c>
      <c r="I19" t="s">
        <v>192</v>
      </c>
    </row>
    <row r="20" spans="4:9" ht="15" customHeight="1" x14ac:dyDescent="0.25">
      <c r="D20" t="s">
        <v>192</v>
      </c>
      <c r="E20" t="s">
        <v>192</v>
      </c>
      <c r="F20" t="s">
        <v>192</v>
      </c>
      <c r="G20" t="s">
        <v>192</v>
      </c>
      <c r="H20" t="s">
        <v>192</v>
      </c>
      <c r="I20" t="s">
        <v>192</v>
      </c>
    </row>
    <row r="21" spans="4:9" ht="15" customHeight="1" x14ac:dyDescent="0.25">
      <c r="D21" t="s">
        <v>192</v>
      </c>
      <c r="E21" t="s">
        <v>192</v>
      </c>
      <c r="F21" t="s">
        <v>192</v>
      </c>
      <c r="G21" t="s">
        <v>192</v>
      </c>
      <c r="H21" t="s">
        <v>192</v>
      </c>
      <c r="I21" t="s">
        <v>192</v>
      </c>
    </row>
    <row r="22" spans="4:9" ht="15" customHeight="1" x14ac:dyDescent="0.25">
      <c r="D22" t="s">
        <v>192</v>
      </c>
      <c r="E22" t="s">
        <v>192</v>
      </c>
      <c r="F22" t="s">
        <v>192</v>
      </c>
      <c r="G22" t="s">
        <v>192</v>
      </c>
      <c r="H22" t="s">
        <v>192</v>
      </c>
      <c r="I22" t="s">
        <v>192</v>
      </c>
    </row>
    <row r="23" spans="4:9" ht="15" customHeight="1" x14ac:dyDescent="0.25"/>
    <row r="24" spans="4:9" ht="15" customHeight="1" x14ac:dyDescent="0.25"/>
    <row r="25" spans="4:9" ht="15" customHeight="1" x14ac:dyDescent="0.25"/>
    <row r="26" spans="4:9" ht="15" customHeight="1" x14ac:dyDescent="0.25">
      <c r="D26" t="s">
        <v>192</v>
      </c>
      <c r="E26" t="s">
        <v>192</v>
      </c>
      <c r="F26" t="s">
        <v>192</v>
      </c>
      <c r="G26" t="s">
        <v>192</v>
      </c>
      <c r="H26" t="s">
        <v>192</v>
      </c>
      <c r="I26" t="s">
        <v>192</v>
      </c>
    </row>
    <row r="27" spans="4:9" ht="15" customHeight="1" x14ac:dyDescent="0.25">
      <c r="D27" t="s">
        <v>192</v>
      </c>
      <c r="E27" t="s">
        <v>192</v>
      </c>
      <c r="F27" t="s">
        <v>192</v>
      </c>
      <c r="G27" t="s">
        <v>192</v>
      </c>
      <c r="H27" t="s">
        <v>192</v>
      </c>
      <c r="I27" t="s">
        <v>192</v>
      </c>
    </row>
    <row r="28" spans="4:9" ht="15" customHeight="1" x14ac:dyDescent="0.25">
      <c r="D28" t="s">
        <v>192</v>
      </c>
      <c r="E28" t="s">
        <v>192</v>
      </c>
      <c r="F28" t="s">
        <v>192</v>
      </c>
      <c r="G28" t="s">
        <v>192</v>
      </c>
      <c r="H28" t="s">
        <v>192</v>
      </c>
      <c r="I28" t="s">
        <v>192</v>
      </c>
    </row>
    <row r="29" spans="4:9" ht="15" customHeight="1" x14ac:dyDescent="0.25">
      <c r="D29" t="s">
        <v>192</v>
      </c>
      <c r="E29" t="s">
        <v>192</v>
      </c>
      <c r="F29" t="s">
        <v>192</v>
      </c>
      <c r="G29" t="s">
        <v>192</v>
      </c>
      <c r="H29" t="s">
        <v>192</v>
      </c>
      <c r="I29" t="s">
        <v>192</v>
      </c>
    </row>
    <row r="30" spans="4:9" ht="15" customHeight="1" x14ac:dyDescent="0.25">
      <c r="D30" t="s">
        <v>192</v>
      </c>
      <c r="E30" t="s">
        <v>192</v>
      </c>
      <c r="F30" t="s">
        <v>192</v>
      </c>
      <c r="G30" t="s">
        <v>192</v>
      </c>
      <c r="H30" t="s">
        <v>192</v>
      </c>
      <c r="I30" t="s">
        <v>192</v>
      </c>
    </row>
    <row r="31" spans="4:9" ht="15" customHeight="1" x14ac:dyDescent="0.25"/>
    <row r="32" spans="4:9" ht="15" customHeight="1" x14ac:dyDescent="0.25"/>
    <row r="33" spans="4:9" ht="15" customHeight="1" x14ac:dyDescent="0.25"/>
    <row r="34" spans="4:9" ht="15" customHeight="1" x14ac:dyDescent="0.25">
      <c r="D34" t="s">
        <v>192</v>
      </c>
      <c r="E34" t="s">
        <v>192</v>
      </c>
      <c r="F34" t="s">
        <v>192</v>
      </c>
      <c r="G34" t="s">
        <v>192</v>
      </c>
      <c r="H34" t="s">
        <v>192</v>
      </c>
      <c r="I34" t="s">
        <v>192</v>
      </c>
    </row>
    <row r="35" spans="4:9" ht="15" customHeight="1" x14ac:dyDescent="0.25">
      <c r="D35" t="s">
        <v>192</v>
      </c>
      <c r="E35" t="s">
        <v>192</v>
      </c>
      <c r="F35" t="s">
        <v>192</v>
      </c>
      <c r="G35" t="s">
        <v>192</v>
      </c>
      <c r="H35" t="s">
        <v>192</v>
      </c>
      <c r="I35" t="s">
        <v>192</v>
      </c>
    </row>
    <row r="36" spans="4:9" ht="15" customHeight="1" x14ac:dyDescent="0.25">
      <c r="D36" t="s">
        <v>192</v>
      </c>
      <c r="E36" t="s">
        <v>192</v>
      </c>
      <c r="F36" t="s">
        <v>192</v>
      </c>
      <c r="G36" t="s">
        <v>192</v>
      </c>
      <c r="H36" t="s">
        <v>192</v>
      </c>
      <c r="I36" t="s">
        <v>192</v>
      </c>
    </row>
    <row r="37" spans="4:9" ht="15" customHeight="1" x14ac:dyDescent="0.25">
      <c r="D37" t="s">
        <v>192</v>
      </c>
      <c r="E37" t="s">
        <v>192</v>
      </c>
      <c r="F37" t="s">
        <v>192</v>
      </c>
      <c r="G37" t="s">
        <v>192</v>
      </c>
      <c r="H37" t="s">
        <v>192</v>
      </c>
      <c r="I37" t="s">
        <v>192</v>
      </c>
    </row>
    <row r="38" spans="4:9" ht="15" customHeight="1" x14ac:dyDescent="0.25">
      <c r="D38" t="s">
        <v>192</v>
      </c>
      <c r="E38" t="s">
        <v>192</v>
      </c>
      <c r="F38" t="s">
        <v>192</v>
      </c>
      <c r="G38" t="s">
        <v>192</v>
      </c>
      <c r="H38" t="s">
        <v>192</v>
      </c>
      <c r="I38" t="s">
        <v>192</v>
      </c>
    </row>
    <row r="39" spans="4:9" ht="15" customHeight="1" x14ac:dyDescent="0.25"/>
    <row r="40" spans="4:9" ht="15" customHeight="1" x14ac:dyDescent="0.25"/>
    <row r="41" spans="4:9" ht="15" customHeight="1" x14ac:dyDescent="0.25"/>
    <row r="42" spans="4:9" ht="15" customHeight="1" x14ac:dyDescent="0.25">
      <c r="D42" t="s">
        <v>192</v>
      </c>
      <c r="E42" t="s">
        <v>192</v>
      </c>
      <c r="F42" t="s">
        <v>192</v>
      </c>
      <c r="G42" t="s">
        <v>192</v>
      </c>
      <c r="H42" t="s">
        <v>192</v>
      </c>
      <c r="I42" t="s">
        <v>192</v>
      </c>
    </row>
    <row r="43" spans="4:9" ht="15" customHeight="1" x14ac:dyDescent="0.25">
      <c r="D43" t="s">
        <v>192</v>
      </c>
      <c r="E43" t="s">
        <v>192</v>
      </c>
      <c r="F43" t="s">
        <v>192</v>
      </c>
      <c r="G43" t="s">
        <v>192</v>
      </c>
      <c r="H43" t="s">
        <v>192</v>
      </c>
      <c r="I43" t="s">
        <v>192</v>
      </c>
    </row>
    <row r="44" spans="4:9" ht="15" customHeight="1" x14ac:dyDescent="0.25">
      <c r="D44" t="s">
        <v>192</v>
      </c>
      <c r="E44" t="s">
        <v>192</v>
      </c>
      <c r="F44" t="s">
        <v>192</v>
      </c>
      <c r="G44" t="s">
        <v>192</v>
      </c>
      <c r="H44" t="s">
        <v>192</v>
      </c>
      <c r="I44" t="s">
        <v>192</v>
      </c>
    </row>
    <row r="45" spans="4:9" ht="15" customHeight="1" x14ac:dyDescent="0.25">
      <c r="D45" t="s">
        <v>192</v>
      </c>
      <c r="E45" t="s">
        <v>192</v>
      </c>
      <c r="F45" t="s">
        <v>192</v>
      </c>
      <c r="G45" t="s">
        <v>192</v>
      </c>
      <c r="H45" t="s">
        <v>192</v>
      </c>
      <c r="I45" t="s">
        <v>192</v>
      </c>
    </row>
    <row r="46" spans="4:9" ht="15" customHeight="1" x14ac:dyDescent="0.25">
      <c r="D46" t="s">
        <v>192</v>
      </c>
      <c r="E46" t="s">
        <v>192</v>
      </c>
      <c r="F46" t="s">
        <v>192</v>
      </c>
      <c r="G46" t="s">
        <v>192</v>
      </c>
      <c r="H46" t="s">
        <v>192</v>
      </c>
      <c r="I46" t="s">
        <v>192</v>
      </c>
    </row>
    <row r="47" spans="4:9" ht="15" customHeight="1" x14ac:dyDescent="0.25"/>
    <row r="48" spans="4:9" ht="15" customHeight="1" x14ac:dyDescent="0.25"/>
    <row r="49" spans="4:9" ht="15" customHeight="1" x14ac:dyDescent="0.25"/>
    <row r="50" spans="4:9" ht="15" customHeight="1" x14ac:dyDescent="0.25">
      <c r="D50" t="s">
        <v>192</v>
      </c>
      <c r="E50" t="s">
        <v>192</v>
      </c>
      <c r="F50" t="s">
        <v>192</v>
      </c>
      <c r="G50" t="s">
        <v>192</v>
      </c>
      <c r="H50" t="s">
        <v>192</v>
      </c>
      <c r="I50" t="s">
        <v>192</v>
      </c>
    </row>
    <row r="51" spans="4:9" ht="15" customHeight="1" x14ac:dyDescent="0.25">
      <c r="D51" t="s">
        <v>192</v>
      </c>
      <c r="E51" t="s">
        <v>192</v>
      </c>
      <c r="F51" t="s">
        <v>192</v>
      </c>
      <c r="G51" t="s">
        <v>192</v>
      </c>
      <c r="H51" t="s">
        <v>192</v>
      </c>
      <c r="I51" t="s">
        <v>192</v>
      </c>
    </row>
    <row r="52" spans="4:9" ht="15" customHeight="1" x14ac:dyDescent="0.25">
      <c r="D52" t="s">
        <v>192</v>
      </c>
      <c r="E52" t="s">
        <v>192</v>
      </c>
      <c r="F52" t="s">
        <v>192</v>
      </c>
      <c r="G52" t="s">
        <v>192</v>
      </c>
      <c r="H52" t="s">
        <v>192</v>
      </c>
      <c r="I52" t="s">
        <v>192</v>
      </c>
    </row>
    <row r="53" spans="4:9" ht="15" customHeight="1" x14ac:dyDescent="0.25">
      <c r="D53" t="s">
        <v>192</v>
      </c>
      <c r="E53" t="s">
        <v>192</v>
      </c>
      <c r="F53" t="s">
        <v>192</v>
      </c>
      <c r="G53" t="s">
        <v>192</v>
      </c>
      <c r="H53" t="s">
        <v>192</v>
      </c>
      <c r="I53" t="s">
        <v>192</v>
      </c>
    </row>
    <row r="54" spans="4:9" ht="15" customHeight="1" x14ac:dyDescent="0.25">
      <c r="D54" t="s">
        <v>192</v>
      </c>
      <c r="E54" t="s">
        <v>192</v>
      </c>
      <c r="F54" t="s">
        <v>192</v>
      </c>
      <c r="G54" t="s">
        <v>192</v>
      </c>
      <c r="H54" t="s">
        <v>192</v>
      </c>
      <c r="I54" t="s">
        <v>192</v>
      </c>
    </row>
    <row r="55" spans="4:9" ht="15" customHeight="1" x14ac:dyDescent="0.25"/>
    <row r="56" spans="4:9" ht="15" customHeight="1" x14ac:dyDescent="0.25"/>
    <row r="57" spans="4:9" ht="15" customHeight="1" x14ac:dyDescent="0.25"/>
    <row r="58" spans="4:9" ht="15" customHeight="1" x14ac:dyDescent="0.25">
      <c r="D58" t="s">
        <v>192</v>
      </c>
      <c r="E58" t="s">
        <v>192</v>
      </c>
      <c r="F58" t="s">
        <v>192</v>
      </c>
      <c r="G58" t="s">
        <v>192</v>
      </c>
      <c r="H58" t="s">
        <v>192</v>
      </c>
      <c r="I58" t="s">
        <v>192</v>
      </c>
    </row>
    <row r="59" spans="4:9" ht="15" customHeight="1" x14ac:dyDescent="0.25">
      <c r="D59" t="s">
        <v>192</v>
      </c>
      <c r="E59" t="s">
        <v>192</v>
      </c>
      <c r="F59" t="s">
        <v>192</v>
      </c>
      <c r="G59" t="s">
        <v>192</v>
      </c>
      <c r="H59" t="s">
        <v>192</v>
      </c>
      <c r="I59" t="s">
        <v>192</v>
      </c>
    </row>
    <row r="60" spans="4:9" ht="15" customHeight="1" x14ac:dyDescent="0.25">
      <c r="D60" t="s">
        <v>192</v>
      </c>
      <c r="E60" t="s">
        <v>192</v>
      </c>
      <c r="F60" t="s">
        <v>192</v>
      </c>
      <c r="G60" t="s">
        <v>192</v>
      </c>
      <c r="H60" t="s">
        <v>192</v>
      </c>
      <c r="I60" t="s">
        <v>192</v>
      </c>
    </row>
    <row r="61" spans="4:9" ht="15" customHeight="1" x14ac:dyDescent="0.25">
      <c r="D61" t="s">
        <v>192</v>
      </c>
      <c r="E61" t="s">
        <v>192</v>
      </c>
      <c r="F61" t="s">
        <v>192</v>
      </c>
      <c r="G61" t="s">
        <v>192</v>
      </c>
      <c r="H61" t="s">
        <v>192</v>
      </c>
      <c r="I61" t="s">
        <v>192</v>
      </c>
    </row>
    <row r="62" spans="4:9" ht="15" customHeight="1" x14ac:dyDescent="0.25">
      <c r="D62" t="s">
        <v>192</v>
      </c>
      <c r="E62" t="s">
        <v>192</v>
      </c>
      <c r="F62" t="s">
        <v>192</v>
      </c>
      <c r="G62" t="s">
        <v>192</v>
      </c>
      <c r="H62" t="s">
        <v>192</v>
      </c>
      <c r="I62" t="s">
        <v>192</v>
      </c>
    </row>
    <row r="63" spans="4:9" ht="15" customHeight="1" x14ac:dyDescent="0.25"/>
    <row r="64" spans="4:9" ht="15" customHeight="1" x14ac:dyDescent="0.25"/>
    <row r="65" spans="4:9" ht="15" customHeight="1" x14ac:dyDescent="0.25"/>
    <row r="66" spans="4:9" ht="15" customHeight="1" x14ac:dyDescent="0.25">
      <c r="D66" t="s">
        <v>192</v>
      </c>
      <c r="E66" t="s">
        <v>192</v>
      </c>
      <c r="F66" t="s">
        <v>192</v>
      </c>
      <c r="G66" t="s">
        <v>192</v>
      </c>
      <c r="H66" t="s">
        <v>192</v>
      </c>
      <c r="I66" t="s">
        <v>192</v>
      </c>
    </row>
    <row r="67" spans="4:9" ht="15" customHeight="1" x14ac:dyDescent="0.25">
      <c r="D67" t="s">
        <v>192</v>
      </c>
      <c r="E67" t="s">
        <v>192</v>
      </c>
      <c r="F67" t="s">
        <v>192</v>
      </c>
      <c r="G67" t="s">
        <v>192</v>
      </c>
      <c r="H67" t="s">
        <v>192</v>
      </c>
      <c r="I67" t="s">
        <v>192</v>
      </c>
    </row>
    <row r="68" spans="4:9" ht="15" customHeight="1" x14ac:dyDescent="0.25">
      <c r="D68" t="s">
        <v>192</v>
      </c>
      <c r="E68" t="s">
        <v>192</v>
      </c>
      <c r="F68" t="s">
        <v>192</v>
      </c>
      <c r="G68" t="s">
        <v>192</v>
      </c>
      <c r="H68" t="s">
        <v>192</v>
      </c>
      <c r="I68" t="s">
        <v>192</v>
      </c>
    </row>
    <row r="69" spans="4:9" ht="15" customHeight="1" x14ac:dyDescent="0.25">
      <c r="D69" t="s">
        <v>192</v>
      </c>
      <c r="E69" t="s">
        <v>192</v>
      </c>
      <c r="F69" t="s">
        <v>192</v>
      </c>
      <c r="G69" t="s">
        <v>192</v>
      </c>
      <c r="H69" t="s">
        <v>192</v>
      </c>
      <c r="I69" t="s">
        <v>192</v>
      </c>
    </row>
    <row r="70" spans="4:9" ht="15" customHeight="1" x14ac:dyDescent="0.25">
      <c r="D70" t="s">
        <v>192</v>
      </c>
      <c r="E70" t="s">
        <v>192</v>
      </c>
      <c r="F70" t="s">
        <v>192</v>
      </c>
      <c r="G70" t="s">
        <v>192</v>
      </c>
      <c r="H70" t="s">
        <v>192</v>
      </c>
      <c r="I70" t="s">
        <v>192</v>
      </c>
    </row>
    <row r="71" spans="4:9" ht="15" customHeight="1" x14ac:dyDescent="0.25"/>
    <row r="72" spans="4:9" ht="15" customHeight="1" x14ac:dyDescent="0.25"/>
    <row r="73" spans="4:9" ht="15" customHeight="1" x14ac:dyDescent="0.25"/>
  </sheetData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C3"/>
  <sheetViews>
    <sheetView zoomScaleNormal="100" workbookViewId="0"/>
  </sheetViews>
  <sheetFormatPr defaultColWidth="8.7109375" defaultRowHeight="15" x14ac:dyDescent="0.25"/>
  <cols>
    <col min="1" max="3" width="16" customWidth="1"/>
  </cols>
  <sheetData>
    <row r="1" spans="1:3" ht="15" customHeight="1" x14ac:dyDescent="0.25">
      <c r="A1" s="42" t="s">
        <v>193</v>
      </c>
      <c r="B1" s="42">
        <v>0</v>
      </c>
    </row>
    <row r="2" spans="1:3" ht="15" customHeight="1" x14ac:dyDescent="0.25">
      <c r="A2" s="5" t="s">
        <v>194</v>
      </c>
      <c r="B2" s="43" t="s">
        <v>187</v>
      </c>
    </row>
    <row r="3" spans="1:3" ht="15" customHeight="1" x14ac:dyDescent="0.25">
      <c r="A3" s="42" t="s">
        <v>195</v>
      </c>
      <c r="B3" s="42" t="s">
        <v>196</v>
      </c>
      <c r="C3" s="42" t="s">
        <v>197</v>
      </c>
    </row>
  </sheetData>
  <dataValidations count="1">
    <dataValidation type="list" sqref="B2" xr:uid="{00000000-0002-0000-0B00-000000000000}">
      <formula1>"C,L"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HuongDan</vt:lpstr>
      <vt:lpstr>HuongDan_ChiTiet</vt:lpstr>
      <vt:lpstr>PhanCong</vt:lpstr>
      <vt:lpstr>SoTiet</vt:lpstr>
      <vt:lpstr>GV_Ban</vt:lpstr>
      <vt:lpstr>DinhMuc_GV</vt:lpstr>
      <vt:lpstr>TKB_Nhap</vt:lpstr>
      <vt:lpstr>TKB</vt:lpstr>
      <vt:lpstr>TKB_GV</vt:lpstr>
      <vt:lpstr>KiemTra</vt:lpstr>
      <vt:lpstr>Khung</vt:lpstr>
      <vt:lpstr>TuanConfig</vt:lpstr>
      <vt:lpstr>DS_Mon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Nguyen Trung Kien</cp:lastModifiedBy>
  <cp:revision>0</cp:revision>
  <dcterms:created xsi:type="dcterms:W3CDTF">2026-07-05T16:53:43Z</dcterms:created>
  <dcterms:modified xsi:type="dcterms:W3CDTF">2026-07-07T02:08:55Z</dcterms:modified>
  <dc:language>en-US</dc:language>
</cp:coreProperties>
</file>