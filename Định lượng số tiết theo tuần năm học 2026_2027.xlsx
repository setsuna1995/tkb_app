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OneDrive - Trung tâm GDNN-GDTX huyện Đại Từ\Desktop\TỔ GIÁO VỤ\"/>
    </mc:Choice>
  </mc:AlternateContent>
  <xr:revisionPtr revIDLastSave="0" documentId="13_ncr:1_{1A0951A9-D654-4113-8449-83A1EB112C59}" xr6:coauthVersionLast="47" xr6:coauthVersionMax="47" xr10:uidLastSave="{00000000-0000-0000-0000-000000000000}"/>
  <bookViews>
    <workbookView xWindow="-108" yWindow="-108" windowWidth="23256" windowHeight="12576" tabRatio="960" xr2:uid="{00000000-000D-0000-FFFF-FFFF00000000}"/>
  </bookViews>
  <sheets>
    <sheet name="HKI_K6" sheetId="1" r:id="rId1"/>
    <sheet name="HK2_K6" sheetId="5" r:id="rId2"/>
    <sheet name="HKI_K7" sheetId="2" r:id="rId3"/>
    <sheet name="HK2_K7" sheetId="6" r:id="rId4"/>
    <sheet name="HKI_K8" sheetId="3" r:id="rId5"/>
    <sheet name="HK2_K8" sheetId="7" r:id="rId6"/>
    <sheet name="HKI_K9" sheetId="14" r:id="rId7"/>
    <sheet name="HK2_K9" sheetId="15" r:id="rId8"/>
    <sheet name="KHTN_LS&amp;ĐL KI 1" sheetId="16" r:id="rId9"/>
    <sheet name="KHTN_LS&amp;ĐL KI 2" sheetId="1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4" i="16" l="1"/>
  <c r="V23" i="16"/>
  <c r="V22" i="16"/>
  <c r="V21" i="16"/>
  <c r="V20" i="16"/>
  <c r="V19" i="16"/>
  <c r="V18" i="16"/>
  <c r="V17" i="16"/>
  <c r="V16" i="16"/>
  <c r="V15" i="16"/>
  <c r="V14" i="16"/>
  <c r="V13" i="16"/>
  <c r="V12" i="16"/>
  <c r="V11" i="16"/>
  <c r="V10" i="16"/>
  <c r="V9" i="16"/>
  <c r="V8" i="16"/>
  <c r="V7" i="16"/>
  <c r="V6" i="16"/>
  <c r="V5" i="16"/>
  <c r="U24" i="17"/>
  <c r="U23" i="17"/>
  <c r="U22" i="17"/>
  <c r="U21" i="17"/>
  <c r="U20" i="17"/>
  <c r="U19" i="17"/>
  <c r="U18" i="17"/>
  <c r="U17" i="17"/>
  <c r="U16" i="17"/>
  <c r="U15" i="17"/>
  <c r="U14" i="17"/>
  <c r="U13" i="17"/>
  <c r="U12" i="17"/>
  <c r="U11" i="17"/>
  <c r="U10" i="17"/>
  <c r="U9" i="17"/>
  <c r="U8" i="17"/>
  <c r="U7" i="17"/>
  <c r="U6" i="17"/>
  <c r="U5" i="17"/>
  <c r="U12" i="15"/>
  <c r="U11" i="15"/>
  <c r="U10" i="15"/>
  <c r="V13" i="14"/>
  <c r="V12" i="14"/>
  <c r="V11" i="14"/>
  <c r="U12" i="7"/>
  <c r="U11" i="7"/>
  <c r="U10" i="7"/>
  <c r="V13" i="3"/>
  <c r="V12" i="3"/>
  <c r="V11" i="3"/>
  <c r="U13" i="6"/>
  <c r="U12" i="6"/>
  <c r="U11" i="6"/>
  <c r="V13" i="2"/>
  <c r="V12" i="2"/>
  <c r="V11" i="2"/>
  <c r="U13" i="5"/>
  <c r="U12" i="5"/>
  <c r="U11" i="5"/>
  <c r="V13" i="1"/>
  <c r="V12" i="1"/>
  <c r="V11" i="1"/>
  <c r="W14" i="17" l="1"/>
  <c r="X14" i="17" s="1"/>
  <c r="W13" i="17"/>
  <c r="X13" i="17" s="1"/>
  <c r="W12" i="17"/>
  <c r="X12" i="17" s="1"/>
  <c r="W9" i="17"/>
  <c r="X9" i="17" s="1"/>
  <c r="W8" i="17"/>
  <c r="X8" i="17" s="1"/>
  <c r="W7" i="17"/>
  <c r="X7" i="17" s="1"/>
  <c r="U28" i="17"/>
  <c r="U27" i="17"/>
  <c r="U26" i="17"/>
  <c r="U25" i="17"/>
  <c r="W19" i="17"/>
  <c r="X19" i="17" s="1"/>
  <c r="W18" i="17"/>
  <c r="X18" i="17" s="1"/>
  <c r="W17" i="17"/>
  <c r="X17" i="17" s="1"/>
  <c r="V28" i="16"/>
  <c r="V27" i="16"/>
  <c r="V26" i="16"/>
  <c r="V25" i="16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D21" i="1"/>
  <c r="V18" i="1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D21" i="5"/>
  <c r="U18" i="5"/>
  <c r="V18" i="14"/>
  <c r="U17" i="15"/>
  <c r="U17" i="7"/>
  <c r="V18" i="3"/>
  <c r="U18" i="6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D21" i="2"/>
  <c r="U9" i="7"/>
  <c r="U8" i="7"/>
  <c r="V10" i="14"/>
  <c r="V9" i="14"/>
  <c r="U21" i="5" l="1"/>
  <c r="V21" i="1"/>
  <c r="U23" i="15" l="1"/>
  <c r="U22" i="15"/>
  <c r="U21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U19" i="15"/>
  <c r="U18" i="15"/>
  <c r="U16" i="15"/>
  <c r="U15" i="15"/>
  <c r="U14" i="15"/>
  <c r="U13" i="15"/>
  <c r="U9" i="15"/>
  <c r="U8" i="15"/>
  <c r="U7" i="15"/>
  <c r="U6" i="15"/>
  <c r="U5" i="15"/>
  <c r="U4" i="15"/>
  <c r="V25" i="14"/>
  <c r="V24" i="14"/>
  <c r="V23" i="14"/>
  <c r="V22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V20" i="14"/>
  <c r="V19" i="14"/>
  <c r="V17" i="14"/>
  <c r="V16" i="14"/>
  <c r="V15" i="14"/>
  <c r="V14" i="14"/>
  <c r="V8" i="14"/>
  <c r="V7" i="14"/>
  <c r="V6" i="14"/>
  <c r="V5" i="14"/>
  <c r="V6" i="2"/>
  <c r="V7" i="2"/>
  <c r="V8" i="2"/>
  <c r="V9" i="2"/>
  <c r="V10" i="2"/>
  <c r="V14" i="2"/>
  <c r="V15" i="2"/>
  <c r="V16" i="2"/>
  <c r="V17" i="2"/>
  <c r="V18" i="2"/>
  <c r="V19" i="2"/>
  <c r="V20" i="2"/>
  <c r="V22" i="2"/>
  <c r="V23" i="2"/>
  <c r="V24" i="2"/>
  <c r="V25" i="2"/>
  <c r="V5" i="2"/>
  <c r="U22" i="7"/>
  <c r="U23" i="7"/>
  <c r="U21" i="7"/>
  <c r="U20" i="15" l="1"/>
  <c r="V21" i="14"/>
  <c r="U23" i="6" l="1"/>
  <c r="U22" i="6"/>
  <c r="U23" i="5"/>
  <c r="U24" i="5"/>
  <c r="U22" i="5"/>
  <c r="V23" i="1"/>
  <c r="V24" i="1"/>
  <c r="V25" i="1"/>
  <c r="V22" i="1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D21" i="3"/>
  <c r="V23" i="3"/>
  <c r="V24" i="3"/>
  <c r="V25" i="3"/>
  <c r="V22" i="3"/>
  <c r="D20" i="7"/>
  <c r="U9" i="6"/>
  <c r="V6" i="1" l="1"/>
  <c r="V7" i="1"/>
  <c r="V8" i="1"/>
  <c r="V9" i="1"/>
  <c r="V10" i="1"/>
  <c r="V14" i="1"/>
  <c r="V15" i="1"/>
  <c r="V16" i="1"/>
  <c r="V17" i="1"/>
  <c r="V19" i="1"/>
  <c r="V20" i="1"/>
  <c r="V5" i="1"/>
  <c r="U6" i="5"/>
  <c r="U7" i="5"/>
  <c r="U8" i="5"/>
  <c r="U9" i="5"/>
  <c r="U10" i="5"/>
  <c r="U14" i="5"/>
  <c r="U15" i="5"/>
  <c r="U16" i="5"/>
  <c r="U17" i="5"/>
  <c r="U19" i="5"/>
  <c r="U20" i="5"/>
  <c r="U5" i="5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D21" i="6"/>
  <c r="U6" i="6"/>
  <c r="U7" i="6"/>
  <c r="U8" i="6"/>
  <c r="U10" i="6"/>
  <c r="U14" i="6"/>
  <c r="U15" i="6"/>
  <c r="U16" i="6"/>
  <c r="U17" i="6"/>
  <c r="U19" i="6"/>
  <c r="U20" i="6"/>
  <c r="U5" i="6"/>
  <c r="V6" i="3"/>
  <c r="V7" i="3"/>
  <c r="V8" i="3"/>
  <c r="V9" i="3"/>
  <c r="V10" i="3"/>
  <c r="V14" i="3"/>
  <c r="V15" i="3"/>
  <c r="V16" i="3"/>
  <c r="V17" i="3"/>
  <c r="V19" i="3"/>
  <c r="V20" i="3"/>
  <c r="V5" i="3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5" i="7"/>
  <c r="U6" i="7"/>
  <c r="U7" i="7"/>
  <c r="U13" i="7"/>
  <c r="U14" i="7"/>
  <c r="U15" i="7"/>
  <c r="U16" i="7"/>
  <c r="U18" i="7"/>
  <c r="U19" i="7"/>
  <c r="U4" i="7"/>
  <c r="U21" i="6" l="1"/>
  <c r="V21" i="2"/>
  <c r="U20" i="7"/>
  <c r="V21" i="3"/>
</calcChain>
</file>

<file path=xl/sharedStrings.xml><?xml version="1.0" encoding="utf-8"?>
<sst xmlns="http://schemas.openxmlformats.org/spreadsheetml/2006/main" count="323" uniqueCount="42">
  <si>
    <t>Stt</t>
  </si>
  <si>
    <t>Môn</t>
  </si>
  <si>
    <t>Toán</t>
  </si>
  <si>
    <t>Ngữ văn</t>
  </si>
  <si>
    <t>Tiếng Anh</t>
  </si>
  <si>
    <t>GDCD</t>
  </si>
  <si>
    <t>Lịch sử</t>
  </si>
  <si>
    <t>Địa lí</t>
  </si>
  <si>
    <t>LS&amp;ĐL</t>
  </si>
  <si>
    <t>KHTN</t>
  </si>
  <si>
    <t>Vật lí</t>
  </si>
  <si>
    <t>Hoá học</t>
  </si>
  <si>
    <t>Sinh học</t>
  </si>
  <si>
    <t>Công nghệ</t>
  </si>
  <si>
    <t>Tin học</t>
  </si>
  <si>
    <t>GDTC</t>
  </si>
  <si>
    <t>HĐTN</t>
  </si>
  <si>
    <t>GD địa phương</t>
  </si>
  <si>
    <t>Tổng</t>
  </si>
  <si>
    <t xml:space="preserve">Tuần </t>
  </si>
  <si>
    <t>Tổng tiết/tuần</t>
  </si>
  <si>
    <t>NT</t>
  </si>
  <si>
    <t>Â.nhạc</t>
  </si>
  <si>
    <t>MT</t>
  </si>
  <si>
    <t>Nghệ thuật</t>
  </si>
  <si>
    <t>AN</t>
  </si>
  <si>
    <t>Lịch Sử</t>
  </si>
  <si>
    <t>Ngữ Văn</t>
  </si>
  <si>
    <t>ÂN</t>
  </si>
  <si>
    <t>GDĐP học vào buổi chiều</t>
  </si>
  <si>
    <t>HĐ HN-TN</t>
  </si>
  <si>
    <t>GDĐP</t>
  </si>
  <si>
    <t>Khối</t>
  </si>
  <si>
    <t>ĐỊNH BIÊN SỐ TIẾT/TUẦN KHỐI 6 - HỌC KỲ I, NĂM HỌC 2026 - 2027</t>
  </si>
  <si>
    <t>ĐỊNH BIÊN SỐ TIẾT/TUẦN KHỐI 6 - HỌC KỲ II, NĂM HỌC 2026 - 2027</t>
  </si>
  <si>
    <t>ĐỊNH BIÊN SỐ TIẾT/TUẦN KHỐI 7 - HỌC KỲ I, NĂM HỌC 2026 - 2027</t>
  </si>
  <si>
    <t>ĐỊNH BIÊN SỐ TIẾT/TUẦN KHỐI 7 - HỌC KỲ II, NĂM HỌC 2026 - 2027</t>
  </si>
  <si>
    <t>ĐỊNH BIÊN SỐ TIẾT/TUẦN KHỐI 8 - HỌC KỲ I, NĂM HỌC 2026 - 2027</t>
  </si>
  <si>
    <t>ĐỊNH BIÊN SỐ TIẾT/TUẦN KHỐI 8 - HỌC KỲ II, NĂM HỌC 2026 - 2027</t>
  </si>
  <si>
    <t>ĐỊNH BIÊN SỐ TIẾT/TUẦN KHỐI 9 - HỌC KỲ I, NĂM HỌC 2026 - 2027</t>
  </si>
  <si>
    <t>ĐỊNH BIÊN SỐ TIẾT/TUẦN KHỐI 9 - HỌC KỲ II, NĂM HỌC 2026 - 2027</t>
  </si>
  <si>
    <t>ĐỊNH BIÊN SỐ TIẾT/TUẦN MÔN LS&amp;ĐL- KHTN  HỌC KỲ II, NĂM HỌC 2026 - 2027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</si>
</sst>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8"/>
      <name val="Calibri"/>
      <family val="2"/>
      <scheme val="minor"/>
    </font>
    <font>
      <b/>
      <sz val="13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11"/>
      <name val="Calibri"/>
      <family val="2"/>
      <scheme val="minor"/>
    </font>
    <font>
      <b/>
      <sz val="14"/>
      <name val="Times New Roman"/>
      <family val="1"/>
    </font>
    <font>
      <sz val="14"/>
      <name val="Times New Roman"/>
      <family val="1"/>
    </font>
    <font>
      <sz val="11"/>
      <color theme="0"/>
      <name val="Calibri"/>
      <family val="2"/>
      <scheme val="minor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  <font>
      <b/>
      <sz val="13"/>
      <color theme="0"/>
      <name val="Times New Roman"/>
      <family val="1"/>
    </font>
    <font>
      <sz val="14"/>
      <color theme="1"/>
      <name val="Times New Roman"/>
      <family val="1"/>
    </font>
    <font>
      <b/>
      <sz val="14"/>
      <color theme="0"/>
      <name val="Times New Roman"/>
      <family val="1"/>
    </font>
    <font>
      <sz val="14"/>
      <color theme="0"/>
      <name val="Times New Roman"/>
      <family val="1"/>
    </font>
    <font>
      <sz val="14"/>
      <color rgb="FFFF0000"/>
      <name val="Times New Roman"/>
      <family val="1"/>
    </font>
    <font>
      <b/>
      <sz val="14"/>
      <color rgb="FFFF0000"/>
      <name val="Times New Roman"/>
      <family val="1"/>
    </font>
    <font>
      <sz val="13"/>
      <color rgb="FFFF0000"/>
      <name val="Times New Roman"/>
      <family val="1"/>
    </font>
    <font>
      <sz val="10"/>
      <color rgb="FFFF0000"/>
      <name val="Arial"/>
      <family val="2"/>
    </font>
    <font>
      <sz val="10"/>
      <name val="Arial"/>
      <family val="2"/>
      <charset val="163"/>
    </font>
    <font>
      <sz val="13"/>
      <name val="Times New Roman"/>
      <family val="1"/>
      <charset val="163"/>
    </font>
    <font>
      <sz val="14"/>
      <name val="Times New Roman"/>
      <family val="1"/>
      <charset val="163"/>
    </font>
    <font>
      <sz val="10"/>
      <color rgb="FFFF0000"/>
      <name val="Arial"/>
      <family val="2"/>
      <charset val="163"/>
    </font>
    <font>
      <b/>
      <sz val="12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9" fillId="2" borderId="0" xfId="0" applyFont="1" applyFill="1"/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7" fillId="2" borderId="4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/>
    <xf numFmtId="0" fontId="10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0" fontId="14" fillId="2" borderId="0" xfId="0" applyFont="1" applyFill="1"/>
    <xf numFmtId="0" fontId="14" fillId="2" borderId="0" xfId="0" applyFont="1" applyFill="1" applyAlignment="1">
      <alignment horizontal="center"/>
    </xf>
    <xf numFmtId="0" fontId="14" fillId="0" borderId="0" xfId="0" applyFont="1"/>
    <xf numFmtId="0" fontId="15" fillId="2" borderId="0" xfId="0" applyFont="1" applyFill="1" applyAlignment="1">
      <alignment horizontal="center" vertical="center"/>
    </xf>
    <xf numFmtId="164" fontId="15" fillId="2" borderId="0" xfId="0" applyNumberFormat="1" applyFont="1" applyFill="1" applyAlignment="1">
      <alignment horizontal="center" vertical="center"/>
    </xf>
    <xf numFmtId="0" fontId="14" fillId="2" borderId="6" xfId="0" applyFont="1" applyFill="1" applyBorder="1" applyAlignment="1">
      <alignment horizontal="center"/>
    </xf>
    <xf numFmtId="0" fontId="14" fillId="2" borderId="6" xfId="0" applyFont="1" applyFill="1" applyBorder="1"/>
    <xf numFmtId="0" fontId="14" fillId="2" borderId="0" xfId="0" quotePrefix="1" applyFont="1" applyFill="1" applyAlignment="1">
      <alignment horizontal="center"/>
    </xf>
    <xf numFmtId="0" fontId="15" fillId="2" borderId="0" xfId="0" applyFont="1" applyFill="1" applyAlignment="1">
      <alignment vertical="center"/>
    </xf>
    <xf numFmtId="0" fontId="15" fillId="2" borderId="0" xfId="0" applyFont="1" applyFill="1" applyAlignment="1">
      <alignment horizontal="center"/>
    </xf>
    <xf numFmtId="0" fontId="14" fillId="0" borderId="0" xfId="0" quotePrefix="1" applyFont="1" applyAlignment="1">
      <alignment horizontal="center"/>
    </xf>
    <xf numFmtId="0" fontId="14" fillId="0" borderId="0" xfId="0" applyFont="1" applyAlignment="1">
      <alignment horizontal="center"/>
    </xf>
    <xf numFmtId="0" fontId="13" fillId="2" borderId="0" xfId="0" applyFont="1" applyFill="1" applyAlignment="1">
      <alignment horizontal="center" vertical="center"/>
    </xf>
    <xf numFmtId="0" fontId="13" fillId="2" borderId="0" xfId="0" applyFont="1" applyFill="1"/>
    <xf numFmtId="0" fontId="13" fillId="2" borderId="0" xfId="0" applyFont="1" applyFill="1" applyAlignment="1">
      <alignment horizontal="center"/>
    </xf>
    <xf numFmtId="0" fontId="13" fillId="0" borderId="0" xfId="0" applyFont="1"/>
    <xf numFmtId="0" fontId="16" fillId="2" borderId="0" xfId="0" applyFont="1" applyFill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  <xf numFmtId="0" fontId="17" fillId="0" borderId="0" xfId="0" applyFont="1"/>
    <xf numFmtId="0" fontId="11" fillId="2" borderId="1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9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quotePrefix="1" applyFont="1" applyAlignment="1">
      <alignment horizontal="center" vertical="center"/>
    </xf>
    <xf numFmtId="164" fontId="18" fillId="2" borderId="0" xfId="0" applyNumberFormat="1" applyFont="1" applyFill="1" applyAlignment="1">
      <alignment horizontal="center" vertical="center"/>
    </xf>
    <xf numFmtId="0" fontId="19" fillId="2" borderId="0" xfId="0" applyFont="1" applyFill="1"/>
    <xf numFmtId="0" fontId="19" fillId="2" borderId="0" xfId="0" applyFont="1" applyFill="1" applyAlignment="1">
      <alignment horizontal="center"/>
    </xf>
    <xf numFmtId="0" fontId="19" fillId="0" borderId="0" xfId="0" applyFont="1"/>
    <xf numFmtId="0" fontId="12" fillId="2" borderId="0" xfId="0" applyFont="1" applyFill="1" applyAlignment="1">
      <alignment horizontal="center" vertical="center"/>
    </xf>
    <xf numFmtId="0" fontId="12" fillId="2" borderId="0" xfId="0" applyFont="1" applyFill="1"/>
    <xf numFmtId="0" fontId="12" fillId="2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20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0" fontId="12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vertical="center"/>
    </xf>
    <xf numFmtId="0" fontId="18" fillId="2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17" fillId="2" borderId="0" xfId="0" applyFont="1" applyFill="1"/>
    <xf numFmtId="0" fontId="17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/>
    </xf>
    <xf numFmtId="0" fontId="4" fillId="2" borderId="0" xfId="0" applyFont="1" applyFill="1" applyAlignment="1">
      <alignment vertical="center"/>
    </xf>
    <xf numFmtId="0" fontId="8" fillId="3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2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9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9"/>
  <sheetViews>
    <sheetView tabSelected="1" zoomScale="85" zoomScaleNormal="85" workbookViewId="0">
      <selection activeCell="X24" sqref="X24"/>
    </sheetView>
  </sheetViews>
  <sheetFormatPr defaultColWidth="9.109375" defaultRowHeight="18" x14ac:dyDescent="0.35"/>
  <cols>
    <col min="1" max="1" width="4.5546875" style="57" customWidth="1"/>
    <col min="2" max="2" width="8.6640625" style="50" customWidth="1"/>
    <col min="3" max="3" width="9.5546875" style="50" customWidth="1"/>
    <col min="4" max="12" width="5.88671875" style="74" customWidth="1"/>
    <col min="13" max="19" width="6" style="74" customWidth="1"/>
    <col min="20" max="20" width="8.6640625" style="74" customWidth="1"/>
    <col min="21" max="21" width="5.6640625" style="74" customWidth="1"/>
    <col min="22" max="22" width="8.109375" style="50" customWidth="1"/>
    <col min="23" max="16384" width="9.109375" style="50"/>
  </cols>
  <sheetData>
    <row r="1" spans="1:22" ht="26.25" customHeight="1" x14ac:dyDescent="0.35">
      <c r="A1" s="111" t="s">
        <v>33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</row>
    <row r="2" spans="1:22" ht="10.5" customHeight="1" x14ac:dyDescent="0.35"/>
    <row r="3" spans="1:22" s="79" customFormat="1" ht="21" customHeight="1" x14ac:dyDescent="0.3">
      <c r="A3" s="110" t="s">
        <v>0</v>
      </c>
      <c r="B3" s="110" t="s">
        <v>1</v>
      </c>
      <c r="C3" s="110"/>
      <c r="D3" s="110" t="s">
        <v>19</v>
      </c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 t="s">
        <v>18</v>
      </c>
    </row>
    <row r="4" spans="1:22" s="80" customFormat="1" ht="21" customHeight="1" x14ac:dyDescent="0.3">
      <c r="A4" s="110"/>
      <c r="B4" s="110"/>
      <c r="C4" s="110"/>
      <c r="D4" s="51">
        <v>1</v>
      </c>
      <c r="E4" s="51">
        <v>2</v>
      </c>
      <c r="F4" s="51">
        <v>3</v>
      </c>
      <c r="G4" s="51">
        <v>4</v>
      </c>
      <c r="H4" s="51">
        <v>5</v>
      </c>
      <c r="I4" s="51">
        <v>6</v>
      </c>
      <c r="J4" s="51">
        <v>7</v>
      </c>
      <c r="K4" s="51">
        <v>8</v>
      </c>
      <c r="L4" s="51">
        <v>9</v>
      </c>
      <c r="M4" s="51">
        <v>10</v>
      </c>
      <c r="N4" s="51">
        <v>11</v>
      </c>
      <c r="O4" s="51">
        <v>12</v>
      </c>
      <c r="P4" s="51">
        <v>13</v>
      </c>
      <c r="Q4" s="51">
        <v>14</v>
      </c>
      <c r="R4" s="51">
        <v>15</v>
      </c>
      <c r="S4" s="51">
        <v>16</v>
      </c>
      <c r="T4" s="51">
        <v>17</v>
      </c>
      <c r="U4" s="51">
        <v>18</v>
      </c>
      <c r="V4" s="110"/>
    </row>
    <row r="5" spans="1:22" s="79" customFormat="1" ht="22.8" customHeight="1" x14ac:dyDescent="0.3">
      <c r="A5" s="54">
        <v>1</v>
      </c>
      <c r="B5" s="112" t="s">
        <v>3</v>
      </c>
      <c r="C5" s="112"/>
      <c r="D5" s="54">
        <v>4</v>
      </c>
      <c r="E5" s="54">
        <v>4</v>
      </c>
      <c r="F5" s="54">
        <v>4</v>
      </c>
      <c r="G5" s="54">
        <v>4</v>
      </c>
      <c r="H5" s="54">
        <v>4</v>
      </c>
      <c r="I5" s="54">
        <v>4</v>
      </c>
      <c r="J5" s="54">
        <v>4</v>
      </c>
      <c r="K5" s="54">
        <v>4</v>
      </c>
      <c r="L5" s="54">
        <v>4</v>
      </c>
      <c r="M5" s="54">
        <v>4</v>
      </c>
      <c r="N5" s="54">
        <v>4</v>
      </c>
      <c r="O5" s="54">
        <v>4</v>
      </c>
      <c r="P5" s="54">
        <v>4</v>
      </c>
      <c r="Q5" s="54">
        <v>4</v>
      </c>
      <c r="R5" s="54">
        <v>4</v>
      </c>
      <c r="S5" s="54">
        <v>4</v>
      </c>
      <c r="T5" s="54">
        <v>4</v>
      </c>
      <c r="U5" s="54">
        <v>4</v>
      </c>
      <c r="V5" s="56">
        <f>SUM(D5:U5)</f>
        <v>72</v>
      </c>
    </row>
    <row r="6" spans="1:22" s="79" customFormat="1" ht="22.8" customHeight="1" x14ac:dyDescent="0.3">
      <c r="A6" s="54">
        <v>2</v>
      </c>
      <c r="B6" s="112" t="s">
        <v>2</v>
      </c>
      <c r="C6" s="112"/>
      <c r="D6" s="54">
        <v>4</v>
      </c>
      <c r="E6" s="54">
        <v>4</v>
      </c>
      <c r="F6" s="54">
        <v>4</v>
      </c>
      <c r="G6" s="54">
        <v>4</v>
      </c>
      <c r="H6" s="54">
        <v>4</v>
      </c>
      <c r="I6" s="54">
        <v>4</v>
      </c>
      <c r="J6" s="54">
        <v>4</v>
      </c>
      <c r="K6" s="54">
        <v>4</v>
      </c>
      <c r="L6" s="54">
        <v>4</v>
      </c>
      <c r="M6" s="54">
        <v>4</v>
      </c>
      <c r="N6" s="54">
        <v>4</v>
      </c>
      <c r="O6" s="54">
        <v>4</v>
      </c>
      <c r="P6" s="54">
        <v>4</v>
      </c>
      <c r="Q6" s="54">
        <v>4</v>
      </c>
      <c r="R6" s="54">
        <v>4</v>
      </c>
      <c r="S6" s="54">
        <v>4</v>
      </c>
      <c r="T6" s="54">
        <v>4</v>
      </c>
      <c r="U6" s="54">
        <v>4</v>
      </c>
      <c r="V6" s="56">
        <f t="shared" ref="V6:V21" si="0">SUM(D6:U6)</f>
        <v>72</v>
      </c>
    </row>
    <row r="7" spans="1:22" s="79" customFormat="1" ht="22.8" customHeight="1" x14ac:dyDescent="0.3">
      <c r="A7" s="54">
        <v>3</v>
      </c>
      <c r="B7" s="112" t="s">
        <v>4</v>
      </c>
      <c r="C7" s="112"/>
      <c r="D7" s="54">
        <v>3</v>
      </c>
      <c r="E7" s="54">
        <v>3</v>
      </c>
      <c r="F7" s="54">
        <v>3</v>
      </c>
      <c r="G7" s="54">
        <v>3</v>
      </c>
      <c r="H7" s="54">
        <v>3</v>
      </c>
      <c r="I7" s="54">
        <v>3</v>
      </c>
      <c r="J7" s="54">
        <v>3</v>
      </c>
      <c r="K7" s="54">
        <v>3</v>
      </c>
      <c r="L7" s="54">
        <v>3</v>
      </c>
      <c r="M7" s="54">
        <v>3</v>
      </c>
      <c r="N7" s="54">
        <v>3</v>
      </c>
      <c r="O7" s="54">
        <v>3</v>
      </c>
      <c r="P7" s="54">
        <v>3</v>
      </c>
      <c r="Q7" s="54">
        <v>3</v>
      </c>
      <c r="R7" s="54">
        <v>3</v>
      </c>
      <c r="S7" s="54">
        <v>3</v>
      </c>
      <c r="T7" s="54">
        <v>3</v>
      </c>
      <c r="U7" s="54">
        <v>3</v>
      </c>
      <c r="V7" s="56">
        <f t="shared" si="0"/>
        <v>54</v>
      </c>
    </row>
    <row r="8" spans="1:22" s="79" customFormat="1" ht="22.8" customHeight="1" x14ac:dyDescent="0.3">
      <c r="A8" s="54">
        <v>4</v>
      </c>
      <c r="B8" s="112" t="s">
        <v>5</v>
      </c>
      <c r="C8" s="112"/>
      <c r="D8" s="54">
        <v>1</v>
      </c>
      <c r="E8" s="54">
        <v>1</v>
      </c>
      <c r="F8" s="54">
        <v>1</v>
      </c>
      <c r="G8" s="54">
        <v>1</v>
      </c>
      <c r="H8" s="54">
        <v>1</v>
      </c>
      <c r="I8" s="54">
        <v>1</v>
      </c>
      <c r="J8" s="54">
        <v>1</v>
      </c>
      <c r="K8" s="54">
        <v>1</v>
      </c>
      <c r="L8" s="54">
        <v>1</v>
      </c>
      <c r="M8" s="54">
        <v>1</v>
      </c>
      <c r="N8" s="54">
        <v>1</v>
      </c>
      <c r="O8" s="54">
        <v>1</v>
      </c>
      <c r="P8" s="54">
        <v>1</v>
      </c>
      <c r="Q8" s="54">
        <v>1</v>
      </c>
      <c r="R8" s="54">
        <v>1</v>
      </c>
      <c r="S8" s="54">
        <v>1</v>
      </c>
      <c r="T8" s="54">
        <v>1</v>
      </c>
      <c r="U8" s="54">
        <v>1</v>
      </c>
      <c r="V8" s="56">
        <f t="shared" si="0"/>
        <v>18</v>
      </c>
    </row>
    <row r="9" spans="1:22" s="79" customFormat="1" ht="22.8" customHeight="1" x14ac:dyDescent="0.3">
      <c r="A9" s="113">
        <v>5</v>
      </c>
      <c r="B9" s="113" t="s">
        <v>8</v>
      </c>
      <c r="C9" s="55" t="s">
        <v>6</v>
      </c>
      <c r="D9" s="28">
        <v>1</v>
      </c>
      <c r="E9" s="28">
        <v>1</v>
      </c>
      <c r="F9" s="28">
        <v>1</v>
      </c>
      <c r="G9" s="28">
        <v>1</v>
      </c>
      <c r="H9" s="28">
        <v>1</v>
      </c>
      <c r="I9" s="28">
        <v>2</v>
      </c>
      <c r="J9" s="28">
        <v>2</v>
      </c>
      <c r="K9" s="28">
        <v>2</v>
      </c>
      <c r="L9" s="28">
        <v>2</v>
      </c>
      <c r="M9" s="28">
        <v>2</v>
      </c>
      <c r="N9" s="28">
        <v>1</v>
      </c>
      <c r="O9" s="28">
        <v>1</v>
      </c>
      <c r="P9" s="28">
        <v>1</v>
      </c>
      <c r="Q9" s="28">
        <v>1</v>
      </c>
      <c r="R9" s="28">
        <v>2</v>
      </c>
      <c r="S9" s="28">
        <v>2</v>
      </c>
      <c r="T9" s="28">
        <v>2</v>
      </c>
      <c r="U9" s="28">
        <v>2</v>
      </c>
      <c r="V9" s="81">
        <f t="shared" si="0"/>
        <v>27</v>
      </c>
    </row>
    <row r="10" spans="1:22" s="79" customFormat="1" ht="22.8" customHeight="1" x14ac:dyDescent="0.3">
      <c r="A10" s="113"/>
      <c r="B10" s="113"/>
      <c r="C10" s="55" t="s">
        <v>7</v>
      </c>
      <c r="D10" s="28">
        <v>2</v>
      </c>
      <c r="E10" s="28">
        <v>2</v>
      </c>
      <c r="F10" s="28">
        <v>2</v>
      </c>
      <c r="G10" s="28">
        <v>2</v>
      </c>
      <c r="H10" s="28">
        <v>2</v>
      </c>
      <c r="I10" s="28">
        <v>1</v>
      </c>
      <c r="J10" s="28">
        <v>1</v>
      </c>
      <c r="K10" s="28">
        <v>1</v>
      </c>
      <c r="L10" s="28">
        <v>1</v>
      </c>
      <c r="M10" s="28">
        <v>1</v>
      </c>
      <c r="N10" s="28">
        <v>2</v>
      </c>
      <c r="O10" s="28">
        <v>2</v>
      </c>
      <c r="P10" s="28">
        <v>2</v>
      </c>
      <c r="Q10" s="28">
        <v>2</v>
      </c>
      <c r="R10" s="28">
        <v>1</v>
      </c>
      <c r="S10" s="28">
        <v>1</v>
      </c>
      <c r="T10" s="28">
        <v>1</v>
      </c>
      <c r="U10" s="28">
        <v>1</v>
      </c>
      <c r="V10" s="81">
        <f t="shared" si="0"/>
        <v>27</v>
      </c>
    </row>
    <row r="11" spans="1:22" s="79" customFormat="1" ht="22.8" customHeight="1" x14ac:dyDescent="0.3">
      <c r="A11" s="113">
        <v>6</v>
      </c>
      <c r="B11" s="113" t="s">
        <v>9</v>
      </c>
      <c r="C11" s="55" t="s">
        <v>10</v>
      </c>
      <c r="D11" s="90"/>
      <c r="E11" s="90">
        <v>2</v>
      </c>
      <c r="F11" s="90">
        <v>2</v>
      </c>
      <c r="G11" s="90">
        <v>2</v>
      </c>
      <c r="H11" s="90">
        <v>2</v>
      </c>
      <c r="I11" s="90">
        <v>2</v>
      </c>
      <c r="J11" s="90">
        <v>2</v>
      </c>
      <c r="K11" s="90">
        <v>2</v>
      </c>
      <c r="L11" s="90">
        <v>0</v>
      </c>
      <c r="M11" s="91">
        <v>2</v>
      </c>
      <c r="N11" s="90">
        <v>1</v>
      </c>
      <c r="O11" s="90">
        <v>1</v>
      </c>
      <c r="P11" s="90">
        <v>1</v>
      </c>
      <c r="Q11" s="90">
        <v>1</v>
      </c>
      <c r="R11" s="90">
        <v>1</v>
      </c>
      <c r="S11" s="90">
        <v>1</v>
      </c>
      <c r="T11" s="90">
        <v>2</v>
      </c>
      <c r="U11" s="90">
        <v>2</v>
      </c>
      <c r="V11" s="92">
        <f t="shared" si="0"/>
        <v>26</v>
      </c>
    </row>
    <row r="12" spans="1:22" s="79" customFormat="1" ht="22.8" customHeight="1" x14ac:dyDescent="0.3">
      <c r="A12" s="113"/>
      <c r="B12" s="113"/>
      <c r="C12" s="55" t="s">
        <v>11</v>
      </c>
      <c r="D12" s="90">
        <v>4</v>
      </c>
      <c r="E12" s="90">
        <v>2</v>
      </c>
      <c r="F12" s="90">
        <v>1</v>
      </c>
      <c r="G12" s="90">
        <v>1</v>
      </c>
      <c r="H12" s="90">
        <v>1</v>
      </c>
      <c r="I12" s="90"/>
      <c r="J12" s="90"/>
      <c r="K12" s="90">
        <v>1</v>
      </c>
      <c r="L12" s="90">
        <v>2</v>
      </c>
      <c r="M12" s="90">
        <v>0</v>
      </c>
      <c r="N12" s="90">
        <v>1</v>
      </c>
      <c r="O12" s="90">
        <v>1</v>
      </c>
      <c r="P12" s="90">
        <v>1</v>
      </c>
      <c r="Q12" s="90">
        <v>1</v>
      </c>
      <c r="R12" s="90">
        <v>1</v>
      </c>
      <c r="S12" s="90">
        <v>1</v>
      </c>
      <c r="T12" s="91">
        <v>2</v>
      </c>
      <c r="U12" s="90">
        <v>0</v>
      </c>
      <c r="V12" s="92">
        <f t="shared" si="0"/>
        <v>20</v>
      </c>
    </row>
    <row r="13" spans="1:22" s="79" customFormat="1" ht="22.8" customHeight="1" x14ac:dyDescent="0.3">
      <c r="A13" s="113"/>
      <c r="B13" s="113"/>
      <c r="C13" s="55" t="s">
        <v>12</v>
      </c>
      <c r="D13" s="90"/>
      <c r="E13" s="90"/>
      <c r="F13" s="90">
        <v>1</v>
      </c>
      <c r="G13" s="90">
        <v>1</v>
      </c>
      <c r="H13" s="90">
        <v>1</v>
      </c>
      <c r="I13" s="90">
        <v>2</v>
      </c>
      <c r="J13" s="90">
        <v>2</v>
      </c>
      <c r="K13" s="90">
        <v>1</v>
      </c>
      <c r="L13" s="90">
        <v>2</v>
      </c>
      <c r="M13" s="90">
        <v>2</v>
      </c>
      <c r="N13" s="90">
        <v>2</v>
      </c>
      <c r="O13" s="90">
        <v>2</v>
      </c>
      <c r="P13" s="90">
        <v>2</v>
      </c>
      <c r="Q13" s="90">
        <v>2</v>
      </c>
      <c r="R13" s="90">
        <v>2</v>
      </c>
      <c r="S13" s="90">
        <v>2</v>
      </c>
      <c r="T13" s="90">
        <v>0</v>
      </c>
      <c r="U13" s="90">
        <v>2</v>
      </c>
      <c r="V13" s="92">
        <f>SUM(D13:U13)</f>
        <v>26</v>
      </c>
    </row>
    <row r="14" spans="1:22" s="79" customFormat="1" ht="22.8" customHeight="1" x14ac:dyDescent="0.3">
      <c r="A14" s="54">
        <v>7</v>
      </c>
      <c r="B14" s="112" t="s">
        <v>13</v>
      </c>
      <c r="C14" s="112"/>
      <c r="D14" s="54">
        <v>1</v>
      </c>
      <c r="E14" s="54">
        <v>1</v>
      </c>
      <c r="F14" s="54">
        <v>1</v>
      </c>
      <c r="G14" s="54">
        <v>1</v>
      </c>
      <c r="H14" s="54">
        <v>1</v>
      </c>
      <c r="I14" s="54">
        <v>1</v>
      </c>
      <c r="J14" s="54">
        <v>1</v>
      </c>
      <c r="K14" s="54">
        <v>1</v>
      </c>
      <c r="L14" s="54">
        <v>1</v>
      </c>
      <c r="M14" s="54">
        <v>1</v>
      </c>
      <c r="N14" s="54">
        <v>1</v>
      </c>
      <c r="O14" s="54">
        <v>1</v>
      </c>
      <c r="P14" s="54">
        <v>1</v>
      </c>
      <c r="Q14" s="54">
        <v>1</v>
      </c>
      <c r="R14" s="54">
        <v>1</v>
      </c>
      <c r="S14" s="54">
        <v>1</v>
      </c>
      <c r="T14" s="54">
        <v>1</v>
      </c>
      <c r="U14" s="54">
        <v>1</v>
      </c>
      <c r="V14" s="56">
        <f t="shared" si="0"/>
        <v>18</v>
      </c>
    </row>
    <row r="15" spans="1:22" s="79" customFormat="1" ht="22.8" customHeight="1" x14ac:dyDescent="0.3">
      <c r="A15" s="54">
        <v>8</v>
      </c>
      <c r="B15" s="112" t="s">
        <v>14</v>
      </c>
      <c r="C15" s="112"/>
      <c r="D15" s="54">
        <v>1</v>
      </c>
      <c r="E15" s="54">
        <v>1</v>
      </c>
      <c r="F15" s="54">
        <v>1</v>
      </c>
      <c r="G15" s="54">
        <v>1</v>
      </c>
      <c r="H15" s="54">
        <v>1</v>
      </c>
      <c r="I15" s="54">
        <v>1</v>
      </c>
      <c r="J15" s="54">
        <v>1</v>
      </c>
      <c r="K15" s="54">
        <v>1</v>
      </c>
      <c r="L15" s="54">
        <v>1</v>
      </c>
      <c r="M15" s="54">
        <v>1</v>
      </c>
      <c r="N15" s="54">
        <v>1</v>
      </c>
      <c r="O15" s="54">
        <v>1</v>
      </c>
      <c r="P15" s="54">
        <v>1</v>
      </c>
      <c r="Q15" s="54">
        <v>1</v>
      </c>
      <c r="R15" s="54">
        <v>1</v>
      </c>
      <c r="S15" s="54">
        <v>1</v>
      </c>
      <c r="T15" s="54">
        <v>1</v>
      </c>
      <c r="U15" s="54">
        <v>1</v>
      </c>
      <c r="V15" s="56">
        <f t="shared" si="0"/>
        <v>18</v>
      </c>
    </row>
    <row r="16" spans="1:22" s="79" customFormat="1" ht="22.8" customHeight="1" x14ac:dyDescent="0.3">
      <c r="A16" s="54">
        <v>9</v>
      </c>
      <c r="B16" s="112" t="s">
        <v>15</v>
      </c>
      <c r="C16" s="112"/>
      <c r="D16" s="54">
        <v>2</v>
      </c>
      <c r="E16" s="54">
        <v>2</v>
      </c>
      <c r="F16" s="54">
        <v>2</v>
      </c>
      <c r="G16" s="54">
        <v>2</v>
      </c>
      <c r="H16" s="54">
        <v>2</v>
      </c>
      <c r="I16" s="54">
        <v>2</v>
      </c>
      <c r="J16" s="54">
        <v>2</v>
      </c>
      <c r="K16" s="54">
        <v>2</v>
      </c>
      <c r="L16" s="54">
        <v>2</v>
      </c>
      <c r="M16" s="54">
        <v>2</v>
      </c>
      <c r="N16" s="54">
        <v>2</v>
      </c>
      <c r="O16" s="54">
        <v>2</v>
      </c>
      <c r="P16" s="54">
        <v>2</v>
      </c>
      <c r="Q16" s="54">
        <v>2</v>
      </c>
      <c r="R16" s="54">
        <v>2</v>
      </c>
      <c r="S16" s="54">
        <v>2</v>
      </c>
      <c r="T16" s="54">
        <v>2</v>
      </c>
      <c r="U16" s="54">
        <v>2</v>
      </c>
      <c r="V16" s="56">
        <f t="shared" si="0"/>
        <v>36</v>
      </c>
    </row>
    <row r="17" spans="1:22" s="79" customFormat="1" ht="22.8" customHeight="1" x14ac:dyDescent="0.3">
      <c r="A17" s="54">
        <v>10</v>
      </c>
      <c r="B17" s="112" t="s">
        <v>16</v>
      </c>
      <c r="C17" s="112"/>
      <c r="D17" s="54">
        <v>3</v>
      </c>
      <c r="E17" s="54">
        <v>3</v>
      </c>
      <c r="F17" s="54">
        <v>3</v>
      </c>
      <c r="G17" s="54">
        <v>3</v>
      </c>
      <c r="H17" s="54">
        <v>3</v>
      </c>
      <c r="I17" s="54">
        <v>3</v>
      </c>
      <c r="J17" s="54">
        <v>3</v>
      </c>
      <c r="K17" s="54">
        <v>3</v>
      </c>
      <c r="L17" s="54">
        <v>3</v>
      </c>
      <c r="M17" s="54">
        <v>3</v>
      </c>
      <c r="N17" s="54">
        <v>3</v>
      </c>
      <c r="O17" s="54">
        <v>3</v>
      </c>
      <c r="P17" s="54">
        <v>3</v>
      </c>
      <c r="Q17" s="54">
        <v>3</v>
      </c>
      <c r="R17" s="54">
        <v>3</v>
      </c>
      <c r="S17" s="54">
        <v>3</v>
      </c>
      <c r="T17" s="54">
        <v>3</v>
      </c>
      <c r="U17" s="54">
        <v>3</v>
      </c>
      <c r="V17" s="56">
        <f t="shared" si="0"/>
        <v>54</v>
      </c>
    </row>
    <row r="18" spans="1:22" s="52" customFormat="1" ht="22.8" customHeight="1" x14ac:dyDescent="0.3">
      <c r="A18" s="54">
        <v>11</v>
      </c>
      <c r="B18" s="112" t="s">
        <v>17</v>
      </c>
      <c r="C18" s="112"/>
      <c r="D18" s="54">
        <v>1</v>
      </c>
      <c r="E18" s="54">
        <v>1</v>
      </c>
      <c r="F18" s="54">
        <v>1</v>
      </c>
      <c r="G18" s="54">
        <v>1</v>
      </c>
      <c r="H18" s="54">
        <v>1</v>
      </c>
      <c r="I18" s="54">
        <v>1</v>
      </c>
      <c r="J18" s="54">
        <v>1</v>
      </c>
      <c r="K18" s="54">
        <v>1</v>
      </c>
      <c r="L18" s="54">
        <v>1</v>
      </c>
      <c r="M18" s="54">
        <v>1</v>
      </c>
      <c r="N18" s="54">
        <v>1</v>
      </c>
      <c r="O18" s="54">
        <v>1</v>
      </c>
      <c r="P18" s="54">
        <v>1</v>
      </c>
      <c r="Q18" s="54">
        <v>1</v>
      </c>
      <c r="R18" s="54">
        <v>1</v>
      </c>
      <c r="S18" s="54">
        <v>1</v>
      </c>
      <c r="T18" s="54">
        <v>1</v>
      </c>
      <c r="U18" s="54">
        <v>1</v>
      </c>
      <c r="V18" s="56">
        <f t="shared" si="0"/>
        <v>18</v>
      </c>
    </row>
    <row r="19" spans="1:22" s="79" customFormat="1" ht="22.8" customHeight="1" x14ac:dyDescent="0.3">
      <c r="A19" s="113">
        <v>11</v>
      </c>
      <c r="B19" s="113" t="s">
        <v>21</v>
      </c>
      <c r="C19" s="55" t="s">
        <v>22</v>
      </c>
      <c r="D19" s="54">
        <v>1</v>
      </c>
      <c r="E19" s="54">
        <v>1</v>
      </c>
      <c r="F19" s="54">
        <v>1</v>
      </c>
      <c r="G19" s="54">
        <v>1</v>
      </c>
      <c r="H19" s="54">
        <v>1</v>
      </c>
      <c r="I19" s="54">
        <v>1</v>
      </c>
      <c r="J19" s="54">
        <v>1</v>
      </c>
      <c r="K19" s="54">
        <v>1</v>
      </c>
      <c r="L19" s="54">
        <v>1</v>
      </c>
      <c r="M19" s="54">
        <v>1</v>
      </c>
      <c r="N19" s="54">
        <v>1</v>
      </c>
      <c r="O19" s="54">
        <v>1</v>
      </c>
      <c r="P19" s="54">
        <v>1</v>
      </c>
      <c r="Q19" s="54">
        <v>1</v>
      </c>
      <c r="R19" s="54">
        <v>1</v>
      </c>
      <c r="S19" s="54">
        <v>1</v>
      </c>
      <c r="T19" s="54">
        <v>1</v>
      </c>
      <c r="U19" s="54">
        <v>1</v>
      </c>
      <c r="V19" s="56">
        <f t="shared" si="0"/>
        <v>18</v>
      </c>
    </row>
    <row r="20" spans="1:22" s="79" customFormat="1" ht="22.8" customHeight="1" x14ac:dyDescent="0.3">
      <c r="A20" s="113"/>
      <c r="B20" s="113"/>
      <c r="C20" s="55" t="s">
        <v>23</v>
      </c>
      <c r="D20" s="54">
        <v>1</v>
      </c>
      <c r="E20" s="54">
        <v>1</v>
      </c>
      <c r="F20" s="54">
        <v>1</v>
      </c>
      <c r="G20" s="54">
        <v>1</v>
      </c>
      <c r="H20" s="54">
        <v>1</v>
      </c>
      <c r="I20" s="54">
        <v>1</v>
      </c>
      <c r="J20" s="54">
        <v>1</v>
      </c>
      <c r="K20" s="54">
        <v>1</v>
      </c>
      <c r="L20" s="54">
        <v>1</v>
      </c>
      <c r="M20" s="54">
        <v>1</v>
      </c>
      <c r="N20" s="54">
        <v>1</v>
      </c>
      <c r="O20" s="54">
        <v>1</v>
      </c>
      <c r="P20" s="54">
        <v>1</v>
      </c>
      <c r="Q20" s="54">
        <v>1</v>
      </c>
      <c r="R20" s="54">
        <v>1</v>
      </c>
      <c r="S20" s="54">
        <v>1</v>
      </c>
      <c r="T20" s="54">
        <v>1</v>
      </c>
      <c r="U20" s="54">
        <v>1</v>
      </c>
      <c r="V20" s="56">
        <f t="shared" si="0"/>
        <v>18</v>
      </c>
    </row>
    <row r="21" spans="1:22" s="80" customFormat="1" ht="24.75" customHeight="1" x14ac:dyDescent="0.3">
      <c r="A21" s="110" t="s">
        <v>20</v>
      </c>
      <c r="B21" s="110"/>
      <c r="C21" s="110"/>
      <c r="D21" s="51">
        <f>SUM(D5:D20)</f>
        <v>29</v>
      </c>
      <c r="E21" s="51">
        <f t="shared" ref="E21:U21" si="1">SUM(E5:E20)</f>
        <v>29</v>
      </c>
      <c r="F21" s="51">
        <f t="shared" si="1"/>
        <v>29</v>
      </c>
      <c r="G21" s="51">
        <f t="shared" si="1"/>
        <v>29</v>
      </c>
      <c r="H21" s="51">
        <f t="shared" si="1"/>
        <v>29</v>
      </c>
      <c r="I21" s="51">
        <f t="shared" si="1"/>
        <v>29</v>
      </c>
      <c r="J21" s="51">
        <f t="shared" si="1"/>
        <v>29</v>
      </c>
      <c r="K21" s="51">
        <f t="shared" si="1"/>
        <v>29</v>
      </c>
      <c r="L21" s="51">
        <f t="shared" si="1"/>
        <v>29</v>
      </c>
      <c r="M21" s="51">
        <f t="shared" si="1"/>
        <v>29</v>
      </c>
      <c r="N21" s="51">
        <f t="shared" si="1"/>
        <v>29</v>
      </c>
      <c r="O21" s="51">
        <f t="shared" si="1"/>
        <v>29</v>
      </c>
      <c r="P21" s="51">
        <f t="shared" si="1"/>
        <v>29</v>
      </c>
      <c r="Q21" s="51">
        <f t="shared" si="1"/>
        <v>29</v>
      </c>
      <c r="R21" s="51">
        <f t="shared" si="1"/>
        <v>29</v>
      </c>
      <c r="S21" s="51">
        <f t="shared" si="1"/>
        <v>29</v>
      </c>
      <c r="T21" s="51">
        <f t="shared" si="1"/>
        <v>29</v>
      </c>
      <c r="U21" s="51">
        <f t="shared" si="1"/>
        <v>29</v>
      </c>
      <c r="V21" s="56">
        <f t="shared" si="0"/>
        <v>522</v>
      </c>
    </row>
    <row r="22" spans="1:22" s="68" customFormat="1" ht="18.75" customHeight="1" x14ac:dyDescent="0.35">
      <c r="A22" s="114">
        <v>12</v>
      </c>
      <c r="B22" s="114" t="s">
        <v>17</v>
      </c>
      <c r="C22" s="68" t="s">
        <v>7</v>
      </c>
      <c r="D22" s="69"/>
      <c r="E22" s="69"/>
      <c r="F22" s="69"/>
      <c r="G22" s="69"/>
      <c r="H22" s="69"/>
      <c r="I22" s="69"/>
      <c r="J22" s="69"/>
      <c r="K22" s="69"/>
      <c r="L22" s="69"/>
      <c r="M22" s="82"/>
      <c r="N22" s="69"/>
      <c r="O22" s="69"/>
      <c r="P22" s="69"/>
      <c r="Q22" s="69"/>
      <c r="R22" s="69"/>
      <c r="S22" s="69">
        <v>3</v>
      </c>
      <c r="T22" s="69">
        <v>1.6</v>
      </c>
      <c r="U22" s="82"/>
      <c r="V22" s="83">
        <f>SUM(D22:U22)</f>
        <v>4.5999999999999996</v>
      </c>
    </row>
    <row r="23" spans="1:22" s="68" customFormat="1" ht="18.75" customHeight="1" x14ac:dyDescent="0.35">
      <c r="A23" s="114"/>
      <c r="B23" s="114"/>
      <c r="C23" s="68" t="s">
        <v>28</v>
      </c>
      <c r="D23" s="69"/>
      <c r="E23" s="69">
        <v>1</v>
      </c>
      <c r="F23" s="69"/>
      <c r="G23" s="69">
        <v>3</v>
      </c>
      <c r="H23" s="69"/>
      <c r="I23" s="69"/>
      <c r="J23" s="69"/>
      <c r="K23" s="69"/>
      <c r="L23" s="69"/>
      <c r="M23" s="82">
        <v>0.4</v>
      </c>
      <c r="N23" s="69"/>
      <c r="O23" s="69"/>
      <c r="P23" s="69"/>
      <c r="Q23" s="69"/>
      <c r="R23" s="69"/>
      <c r="S23" s="69"/>
      <c r="T23" s="69"/>
      <c r="U23" s="82"/>
      <c r="V23" s="83">
        <f t="shared" ref="V23:V25" si="2">SUM(D23:U23)</f>
        <v>4.4000000000000004</v>
      </c>
    </row>
    <row r="24" spans="1:22" s="68" customFormat="1" ht="18.75" customHeight="1" x14ac:dyDescent="0.35">
      <c r="A24" s="114"/>
      <c r="B24" s="114"/>
      <c r="C24" s="68" t="s">
        <v>23</v>
      </c>
      <c r="D24" s="69"/>
      <c r="E24" s="69"/>
      <c r="F24" s="69"/>
      <c r="G24" s="69"/>
      <c r="H24" s="69"/>
      <c r="I24" s="69"/>
      <c r="J24" s="69">
        <v>3</v>
      </c>
      <c r="K24" s="69"/>
      <c r="L24" s="69"/>
      <c r="M24" s="82">
        <v>2.6</v>
      </c>
      <c r="N24" s="69"/>
      <c r="O24" s="69"/>
      <c r="P24" s="69">
        <v>1</v>
      </c>
      <c r="Q24" s="69"/>
      <c r="R24" s="69"/>
      <c r="S24" s="69"/>
      <c r="T24" s="69">
        <v>0.1</v>
      </c>
      <c r="U24" s="82"/>
      <c r="V24" s="83">
        <f t="shared" si="2"/>
        <v>6.6999999999999993</v>
      </c>
    </row>
    <row r="25" spans="1:22" s="68" customFormat="1" ht="18.75" customHeight="1" x14ac:dyDescent="0.35">
      <c r="A25" s="114"/>
      <c r="B25" s="114"/>
      <c r="C25" s="68" t="s">
        <v>3</v>
      </c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>
        <v>2</v>
      </c>
      <c r="Q25" s="69"/>
      <c r="R25" s="69"/>
      <c r="S25" s="69"/>
      <c r="T25" s="69">
        <v>0.3</v>
      </c>
      <c r="U25" s="69"/>
      <c r="V25" s="83">
        <f t="shared" si="2"/>
        <v>2.2999999999999998</v>
      </c>
    </row>
    <row r="26" spans="1:22" s="70" customFormat="1" ht="21" customHeight="1" x14ac:dyDescent="0.35">
      <c r="A26" s="65"/>
      <c r="B26" s="68" t="s">
        <v>29</v>
      </c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</row>
    <row r="27" spans="1:22" ht="21" customHeight="1" x14ac:dyDescent="0.35"/>
    <row r="28" spans="1:22" ht="21" customHeight="1" x14ac:dyDescent="0.35"/>
    <row r="29" spans="1:22" ht="21" customHeight="1" x14ac:dyDescent="0.35"/>
  </sheetData>
  <mergeCells count="23">
    <mergeCell ref="B22:B25"/>
    <mergeCell ref="A22:A25"/>
    <mergeCell ref="B6:C6"/>
    <mergeCell ref="B7:C7"/>
    <mergeCell ref="B8:C8"/>
    <mergeCell ref="B19:B20"/>
    <mergeCell ref="A19:A20"/>
    <mergeCell ref="V3:V4"/>
    <mergeCell ref="A1:V1"/>
    <mergeCell ref="A21:C21"/>
    <mergeCell ref="B14:C14"/>
    <mergeCell ref="B15:C15"/>
    <mergeCell ref="B16:C16"/>
    <mergeCell ref="B17:C17"/>
    <mergeCell ref="A9:A10"/>
    <mergeCell ref="A11:A13"/>
    <mergeCell ref="D3:U3"/>
    <mergeCell ref="A3:A4"/>
    <mergeCell ref="B9:B10"/>
    <mergeCell ref="B3:C4"/>
    <mergeCell ref="B11:B13"/>
    <mergeCell ref="B5:C5"/>
    <mergeCell ref="B18:C18"/>
  </mergeCells>
  <pageMargins left="0.3" right="0.16" top="0.75" bottom="0.38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0"/>
  <sheetViews>
    <sheetView zoomScaleNormal="100" workbookViewId="0">
      <selection activeCell="D5" sqref="D5:U20"/>
    </sheetView>
  </sheetViews>
  <sheetFormatPr defaultRowHeight="14.4" x14ac:dyDescent="0.3"/>
  <cols>
    <col min="1" max="1" width="5.44140625" style="4" customWidth="1"/>
    <col min="2" max="2" width="9.6640625" customWidth="1"/>
    <col min="3" max="3" width="10.33203125" customWidth="1"/>
    <col min="4" max="11" width="5.88671875" style="1" customWidth="1"/>
    <col min="12" max="18" width="6.109375" style="1" customWidth="1"/>
    <col min="19" max="19" width="6.88671875" style="1" customWidth="1"/>
    <col min="20" max="20" width="6.44140625" style="1" customWidth="1"/>
    <col min="21" max="21" width="8.33203125" customWidth="1"/>
  </cols>
  <sheetData>
    <row r="1" spans="1:21" ht="26.25" customHeight="1" x14ac:dyDescent="0.3">
      <c r="A1" s="111" t="s">
        <v>34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</row>
    <row r="2" spans="1:21" ht="10.5" customHeight="1" x14ac:dyDescent="0.3"/>
    <row r="3" spans="1:21" s="6" customFormat="1" ht="21" customHeight="1" x14ac:dyDescent="0.3">
      <c r="A3" s="118" t="s">
        <v>0</v>
      </c>
      <c r="B3" s="118" t="s">
        <v>1</v>
      </c>
      <c r="C3" s="118"/>
      <c r="D3" s="118" t="s">
        <v>19</v>
      </c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 t="s">
        <v>18</v>
      </c>
    </row>
    <row r="4" spans="1:21" s="7" customFormat="1" ht="21" customHeight="1" x14ac:dyDescent="0.3">
      <c r="A4" s="118"/>
      <c r="B4" s="118"/>
      <c r="C4" s="118"/>
      <c r="D4" s="11">
        <v>19</v>
      </c>
      <c r="E4" s="11">
        <v>20</v>
      </c>
      <c r="F4" s="11">
        <v>21</v>
      </c>
      <c r="G4" s="11">
        <v>22</v>
      </c>
      <c r="H4" s="11">
        <v>23</v>
      </c>
      <c r="I4" s="11">
        <v>24</v>
      </c>
      <c r="J4" s="11">
        <v>25</v>
      </c>
      <c r="K4" s="11">
        <v>26</v>
      </c>
      <c r="L4" s="11">
        <v>27</v>
      </c>
      <c r="M4" s="11">
        <v>28</v>
      </c>
      <c r="N4" s="11">
        <v>29</v>
      </c>
      <c r="O4" s="11">
        <v>30</v>
      </c>
      <c r="P4" s="11">
        <v>31</v>
      </c>
      <c r="Q4" s="11">
        <v>32</v>
      </c>
      <c r="R4" s="11">
        <v>33</v>
      </c>
      <c r="S4" s="11">
        <v>34</v>
      </c>
      <c r="T4" s="11">
        <v>35</v>
      </c>
      <c r="U4" s="118"/>
    </row>
    <row r="5" spans="1:21" s="6" customFormat="1" ht="21" customHeight="1" x14ac:dyDescent="0.3">
      <c r="A5" s="14">
        <v>1</v>
      </c>
      <c r="B5" s="117" t="s">
        <v>3</v>
      </c>
      <c r="C5" s="117"/>
      <c r="D5" s="54">
        <v>4</v>
      </c>
      <c r="E5" s="54">
        <v>4</v>
      </c>
      <c r="F5" s="54">
        <v>4</v>
      </c>
      <c r="G5" s="54">
        <v>4</v>
      </c>
      <c r="H5" s="54">
        <v>4</v>
      </c>
      <c r="I5" s="54">
        <v>4</v>
      </c>
      <c r="J5" s="54">
        <v>4</v>
      </c>
      <c r="K5" s="54">
        <v>4</v>
      </c>
      <c r="L5" s="54">
        <v>4</v>
      </c>
      <c r="M5" s="54">
        <v>4</v>
      </c>
      <c r="N5" s="54">
        <v>4</v>
      </c>
      <c r="O5" s="54">
        <v>4</v>
      </c>
      <c r="P5" s="54">
        <v>4</v>
      </c>
      <c r="Q5" s="54">
        <v>4</v>
      </c>
      <c r="R5" s="54">
        <v>4</v>
      </c>
      <c r="S5" s="54">
        <v>4</v>
      </c>
      <c r="T5" s="54">
        <v>4</v>
      </c>
      <c r="U5" s="56">
        <f>SUM(D5:T5)</f>
        <v>68</v>
      </c>
    </row>
    <row r="6" spans="1:21" s="6" customFormat="1" ht="21" customHeight="1" x14ac:dyDescent="0.3">
      <c r="A6" s="14">
        <v>2</v>
      </c>
      <c r="B6" s="117" t="s">
        <v>2</v>
      </c>
      <c r="C6" s="117"/>
      <c r="D6" s="54">
        <v>4</v>
      </c>
      <c r="E6" s="54">
        <v>4</v>
      </c>
      <c r="F6" s="54">
        <v>4</v>
      </c>
      <c r="G6" s="54">
        <v>4</v>
      </c>
      <c r="H6" s="54">
        <v>4</v>
      </c>
      <c r="I6" s="54">
        <v>4</v>
      </c>
      <c r="J6" s="54">
        <v>4</v>
      </c>
      <c r="K6" s="54">
        <v>4</v>
      </c>
      <c r="L6" s="54">
        <v>4</v>
      </c>
      <c r="M6" s="54">
        <v>4</v>
      </c>
      <c r="N6" s="54">
        <v>4</v>
      </c>
      <c r="O6" s="54">
        <v>4</v>
      </c>
      <c r="P6" s="54">
        <v>4</v>
      </c>
      <c r="Q6" s="54">
        <v>4</v>
      </c>
      <c r="R6" s="54">
        <v>4</v>
      </c>
      <c r="S6" s="54">
        <v>4</v>
      </c>
      <c r="T6" s="54">
        <v>4</v>
      </c>
      <c r="U6" s="56">
        <f t="shared" ref="U6:U21" si="0">SUM(D6:T6)</f>
        <v>68</v>
      </c>
    </row>
    <row r="7" spans="1:21" s="6" customFormat="1" ht="21" customHeight="1" x14ac:dyDescent="0.3">
      <c r="A7" s="14">
        <v>3</v>
      </c>
      <c r="B7" s="117" t="s">
        <v>4</v>
      </c>
      <c r="C7" s="117"/>
      <c r="D7" s="54">
        <v>3</v>
      </c>
      <c r="E7" s="54">
        <v>3</v>
      </c>
      <c r="F7" s="54">
        <v>3</v>
      </c>
      <c r="G7" s="54">
        <v>3</v>
      </c>
      <c r="H7" s="54">
        <v>3</v>
      </c>
      <c r="I7" s="54">
        <v>3</v>
      </c>
      <c r="J7" s="54">
        <v>3</v>
      </c>
      <c r="K7" s="54">
        <v>3</v>
      </c>
      <c r="L7" s="54">
        <v>3</v>
      </c>
      <c r="M7" s="54">
        <v>3</v>
      </c>
      <c r="N7" s="54">
        <v>3</v>
      </c>
      <c r="O7" s="54">
        <v>3</v>
      </c>
      <c r="P7" s="54">
        <v>3</v>
      </c>
      <c r="Q7" s="54">
        <v>3</v>
      </c>
      <c r="R7" s="54">
        <v>3</v>
      </c>
      <c r="S7" s="54">
        <v>3</v>
      </c>
      <c r="T7" s="54">
        <v>3</v>
      </c>
      <c r="U7" s="56">
        <f t="shared" si="0"/>
        <v>51</v>
      </c>
    </row>
    <row r="8" spans="1:21" s="6" customFormat="1" ht="21" customHeight="1" x14ac:dyDescent="0.3">
      <c r="A8" s="14">
        <v>4</v>
      </c>
      <c r="B8" s="117" t="s">
        <v>5</v>
      </c>
      <c r="C8" s="117"/>
      <c r="D8" s="54">
        <v>1</v>
      </c>
      <c r="E8" s="54">
        <v>1</v>
      </c>
      <c r="F8" s="54">
        <v>1</v>
      </c>
      <c r="G8" s="54">
        <v>1</v>
      </c>
      <c r="H8" s="54">
        <v>1</v>
      </c>
      <c r="I8" s="54">
        <v>1</v>
      </c>
      <c r="J8" s="54">
        <v>1</v>
      </c>
      <c r="K8" s="54">
        <v>1</v>
      </c>
      <c r="L8" s="54">
        <v>1</v>
      </c>
      <c r="M8" s="54">
        <v>1</v>
      </c>
      <c r="N8" s="54">
        <v>1</v>
      </c>
      <c r="O8" s="54">
        <v>1</v>
      </c>
      <c r="P8" s="54">
        <v>1</v>
      </c>
      <c r="Q8" s="54">
        <v>1</v>
      </c>
      <c r="R8" s="54">
        <v>1</v>
      </c>
      <c r="S8" s="54">
        <v>1</v>
      </c>
      <c r="T8" s="54">
        <v>1</v>
      </c>
      <c r="U8" s="56">
        <f t="shared" si="0"/>
        <v>17</v>
      </c>
    </row>
    <row r="9" spans="1:21" s="6" customFormat="1" ht="21" customHeight="1" x14ac:dyDescent="0.3">
      <c r="A9" s="121">
        <v>5</v>
      </c>
      <c r="B9" s="117" t="s">
        <v>8</v>
      </c>
      <c r="C9" s="16" t="s">
        <v>6</v>
      </c>
      <c r="D9" s="28">
        <v>1</v>
      </c>
      <c r="E9" s="28">
        <v>1</v>
      </c>
      <c r="F9" s="28">
        <v>1</v>
      </c>
      <c r="G9" s="28">
        <v>1</v>
      </c>
      <c r="H9" s="28">
        <v>1</v>
      </c>
      <c r="I9" s="28">
        <v>2</v>
      </c>
      <c r="J9" s="28">
        <v>2</v>
      </c>
      <c r="K9" s="28">
        <v>2</v>
      </c>
      <c r="L9" s="28">
        <v>2</v>
      </c>
      <c r="M9" s="28">
        <v>2</v>
      </c>
      <c r="N9" s="28">
        <v>1</v>
      </c>
      <c r="O9" s="28">
        <v>1</v>
      </c>
      <c r="P9" s="28">
        <v>1</v>
      </c>
      <c r="Q9" s="28">
        <v>2</v>
      </c>
      <c r="R9" s="28">
        <v>2</v>
      </c>
      <c r="S9" s="28">
        <v>2</v>
      </c>
      <c r="T9" s="28">
        <v>2</v>
      </c>
      <c r="U9" s="81">
        <f t="shared" si="0"/>
        <v>26</v>
      </c>
    </row>
    <row r="10" spans="1:21" s="6" customFormat="1" ht="21" customHeight="1" x14ac:dyDescent="0.3">
      <c r="A10" s="121"/>
      <c r="B10" s="117"/>
      <c r="C10" s="16" t="s">
        <v>7</v>
      </c>
      <c r="D10" s="28">
        <v>2</v>
      </c>
      <c r="E10" s="28">
        <v>2</v>
      </c>
      <c r="F10" s="28">
        <v>2</v>
      </c>
      <c r="G10" s="28">
        <v>2</v>
      </c>
      <c r="H10" s="28">
        <v>2</v>
      </c>
      <c r="I10" s="28">
        <v>1</v>
      </c>
      <c r="J10" s="28">
        <v>1</v>
      </c>
      <c r="K10" s="28">
        <v>1</v>
      </c>
      <c r="L10" s="28">
        <v>1</v>
      </c>
      <c r="M10" s="28">
        <v>1</v>
      </c>
      <c r="N10" s="28">
        <v>2</v>
      </c>
      <c r="O10" s="28">
        <v>2</v>
      </c>
      <c r="P10" s="28">
        <v>2</v>
      </c>
      <c r="Q10" s="28">
        <v>1</v>
      </c>
      <c r="R10" s="28">
        <v>1</v>
      </c>
      <c r="S10" s="28">
        <v>1</v>
      </c>
      <c r="T10" s="28">
        <v>1</v>
      </c>
      <c r="U10" s="81">
        <f t="shared" si="0"/>
        <v>25</v>
      </c>
    </row>
    <row r="11" spans="1:21" s="8" customFormat="1" ht="21" customHeight="1" x14ac:dyDescent="0.3">
      <c r="A11" s="121">
        <v>6</v>
      </c>
      <c r="B11" s="117" t="s">
        <v>9</v>
      </c>
      <c r="C11" s="16" t="s">
        <v>10</v>
      </c>
      <c r="D11" s="90">
        <v>2</v>
      </c>
      <c r="E11" s="90">
        <v>2</v>
      </c>
      <c r="F11" s="90">
        <v>2</v>
      </c>
      <c r="G11" s="90">
        <v>2</v>
      </c>
      <c r="H11" s="90">
        <v>2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  <c r="P11" s="90">
        <v>1</v>
      </c>
      <c r="Q11" s="90">
        <v>1</v>
      </c>
      <c r="R11" s="90">
        <v>1</v>
      </c>
      <c r="S11" s="90">
        <v>0</v>
      </c>
      <c r="T11" s="90">
        <v>2</v>
      </c>
      <c r="U11" s="92">
        <f>SUM(D11:T11)</f>
        <v>22</v>
      </c>
    </row>
    <row r="12" spans="1:21" s="8" customFormat="1" ht="21" customHeight="1" x14ac:dyDescent="0.3">
      <c r="A12" s="121"/>
      <c r="B12" s="117"/>
      <c r="C12" s="16" t="s">
        <v>11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90">
        <v>1</v>
      </c>
      <c r="J12" s="90">
        <v>1</v>
      </c>
      <c r="K12" s="90">
        <v>0</v>
      </c>
      <c r="L12" s="91">
        <v>2</v>
      </c>
      <c r="M12" s="90">
        <v>1</v>
      </c>
      <c r="N12" s="90">
        <v>1</v>
      </c>
      <c r="O12" s="90">
        <v>0</v>
      </c>
      <c r="P12" s="90">
        <v>1</v>
      </c>
      <c r="Q12" s="90">
        <v>1</v>
      </c>
      <c r="R12" s="90">
        <v>1</v>
      </c>
      <c r="S12" s="91">
        <v>2</v>
      </c>
      <c r="T12" s="90">
        <v>0</v>
      </c>
      <c r="U12" s="92">
        <f t="shared" ref="U12:U13" si="1">SUM(D12:T12)</f>
        <v>16</v>
      </c>
    </row>
    <row r="13" spans="1:21" s="8" customFormat="1" ht="21" customHeight="1" x14ac:dyDescent="0.3">
      <c r="A13" s="121"/>
      <c r="B13" s="117"/>
      <c r="C13" s="16" t="s">
        <v>12</v>
      </c>
      <c r="D13" s="90">
        <v>1</v>
      </c>
      <c r="E13" s="90">
        <v>1</v>
      </c>
      <c r="F13" s="90">
        <v>1</v>
      </c>
      <c r="G13" s="90">
        <v>1</v>
      </c>
      <c r="H13" s="90">
        <v>1</v>
      </c>
      <c r="I13" s="90">
        <v>2</v>
      </c>
      <c r="J13" s="90">
        <v>2</v>
      </c>
      <c r="K13" s="90">
        <v>3</v>
      </c>
      <c r="L13" s="90">
        <v>1</v>
      </c>
      <c r="M13" s="90">
        <v>2</v>
      </c>
      <c r="N13" s="90">
        <v>2</v>
      </c>
      <c r="O13" s="90">
        <v>3</v>
      </c>
      <c r="P13" s="90">
        <v>2</v>
      </c>
      <c r="Q13" s="90">
        <v>2</v>
      </c>
      <c r="R13" s="90">
        <v>2</v>
      </c>
      <c r="S13" s="90">
        <v>2</v>
      </c>
      <c r="T13" s="90">
        <v>2</v>
      </c>
      <c r="U13" s="92">
        <f t="shared" si="1"/>
        <v>30</v>
      </c>
    </row>
    <row r="14" spans="1:21" s="6" customFormat="1" ht="21" customHeight="1" x14ac:dyDescent="0.3">
      <c r="A14" s="14">
        <v>7</v>
      </c>
      <c r="B14" s="117" t="s">
        <v>13</v>
      </c>
      <c r="C14" s="117"/>
      <c r="D14" s="54">
        <v>1</v>
      </c>
      <c r="E14" s="54">
        <v>1</v>
      </c>
      <c r="F14" s="54">
        <v>1</v>
      </c>
      <c r="G14" s="54">
        <v>1</v>
      </c>
      <c r="H14" s="54">
        <v>1</v>
      </c>
      <c r="I14" s="54">
        <v>1</v>
      </c>
      <c r="J14" s="54">
        <v>1</v>
      </c>
      <c r="K14" s="54">
        <v>1</v>
      </c>
      <c r="L14" s="54">
        <v>1</v>
      </c>
      <c r="M14" s="54">
        <v>1</v>
      </c>
      <c r="N14" s="54">
        <v>1</v>
      </c>
      <c r="O14" s="54">
        <v>1</v>
      </c>
      <c r="P14" s="54">
        <v>1</v>
      </c>
      <c r="Q14" s="54">
        <v>1</v>
      </c>
      <c r="R14" s="54">
        <v>1</v>
      </c>
      <c r="S14" s="54">
        <v>1</v>
      </c>
      <c r="T14" s="54">
        <v>1</v>
      </c>
      <c r="U14" s="56">
        <f t="shared" si="0"/>
        <v>17</v>
      </c>
    </row>
    <row r="15" spans="1:21" s="6" customFormat="1" ht="21" customHeight="1" x14ac:dyDescent="0.3">
      <c r="A15" s="14">
        <v>8</v>
      </c>
      <c r="B15" s="117" t="s">
        <v>14</v>
      </c>
      <c r="C15" s="117"/>
      <c r="D15" s="54">
        <v>1</v>
      </c>
      <c r="E15" s="54">
        <v>1</v>
      </c>
      <c r="F15" s="54">
        <v>1</v>
      </c>
      <c r="G15" s="54">
        <v>1</v>
      </c>
      <c r="H15" s="54">
        <v>1</v>
      </c>
      <c r="I15" s="54">
        <v>1</v>
      </c>
      <c r="J15" s="54">
        <v>1</v>
      </c>
      <c r="K15" s="54">
        <v>1</v>
      </c>
      <c r="L15" s="54">
        <v>1</v>
      </c>
      <c r="M15" s="54">
        <v>1</v>
      </c>
      <c r="N15" s="54">
        <v>1</v>
      </c>
      <c r="O15" s="54">
        <v>1</v>
      </c>
      <c r="P15" s="54">
        <v>1</v>
      </c>
      <c r="Q15" s="54">
        <v>1</v>
      </c>
      <c r="R15" s="54">
        <v>1</v>
      </c>
      <c r="S15" s="54">
        <v>1</v>
      </c>
      <c r="T15" s="54">
        <v>1</v>
      </c>
      <c r="U15" s="56">
        <f t="shared" si="0"/>
        <v>17</v>
      </c>
    </row>
    <row r="16" spans="1:21" s="6" customFormat="1" ht="21" customHeight="1" x14ac:dyDescent="0.3">
      <c r="A16" s="14">
        <v>9</v>
      </c>
      <c r="B16" s="117" t="s">
        <v>15</v>
      </c>
      <c r="C16" s="117"/>
      <c r="D16" s="54">
        <v>2</v>
      </c>
      <c r="E16" s="54">
        <v>2</v>
      </c>
      <c r="F16" s="54">
        <v>2</v>
      </c>
      <c r="G16" s="54">
        <v>2</v>
      </c>
      <c r="H16" s="54">
        <v>2</v>
      </c>
      <c r="I16" s="54">
        <v>2</v>
      </c>
      <c r="J16" s="54">
        <v>2</v>
      </c>
      <c r="K16" s="54">
        <v>2</v>
      </c>
      <c r="L16" s="54">
        <v>2</v>
      </c>
      <c r="M16" s="54">
        <v>2</v>
      </c>
      <c r="N16" s="54">
        <v>2</v>
      </c>
      <c r="O16" s="54">
        <v>2</v>
      </c>
      <c r="P16" s="54">
        <v>2</v>
      </c>
      <c r="Q16" s="54">
        <v>2</v>
      </c>
      <c r="R16" s="54">
        <v>2</v>
      </c>
      <c r="S16" s="54">
        <v>2</v>
      </c>
      <c r="T16" s="54">
        <v>2</v>
      </c>
      <c r="U16" s="56">
        <f t="shared" si="0"/>
        <v>34</v>
      </c>
    </row>
    <row r="17" spans="1:22" s="6" customFormat="1" ht="21" customHeight="1" x14ac:dyDescent="0.3">
      <c r="A17" s="14">
        <v>10</v>
      </c>
      <c r="B17" s="117" t="s">
        <v>16</v>
      </c>
      <c r="C17" s="117"/>
      <c r="D17" s="54">
        <v>3</v>
      </c>
      <c r="E17" s="54">
        <v>3</v>
      </c>
      <c r="F17" s="54">
        <v>3</v>
      </c>
      <c r="G17" s="54">
        <v>3</v>
      </c>
      <c r="H17" s="54">
        <v>3</v>
      </c>
      <c r="I17" s="54">
        <v>3</v>
      </c>
      <c r="J17" s="54">
        <v>3</v>
      </c>
      <c r="K17" s="54">
        <v>3</v>
      </c>
      <c r="L17" s="54">
        <v>3</v>
      </c>
      <c r="M17" s="54">
        <v>3</v>
      </c>
      <c r="N17" s="54">
        <v>3</v>
      </c>
      <c r="O17" s="54">
        <v>3</v>
      </c>
      <c r="P17" s="54">
        <v>3</v>
      </c>
      <c r="Q17" s="54">
        <v>3</v>
      </c>
      <c r="R17" s="54">
        <v>3</v>
      </c>
      <c r="S17" s="54">
        <v>3</v>
      </c>
      <c r="T17" s="54">
        <v>3</v>
      </c>
      <c r="U17" s="56">
        <f t="shared" si="0"/>
        <v>51</v>
      </c>
    </row>
    <row r="18" spans="1:22" s="6" customFormat="1" ht="21" customHeight="1" x14ac:dyDescent="0.3">
      <c r="A18" s="14">
        <v>11</v>
      </c>
      <c r="B18" s="115" t="s">
        <v>31</v>
      </c>
      <c r="C18" s="116"/>
      <c r="D18" s="54">
        <v>1</v>
      </c>
      <c r="E18" s="54">
        <v>1</v>
      </c>
      <c r="F18" s="54">
        <v>1</v>
      </c>
      <c r="G18" s="54">
        <v>1</v>
      </c>
      <c r="H18" s="54">
        <v>1</v>
      </c>
      <c r="I18" s="54">
        <v>1</v>
      </c>
      <c r="J18" s="54">
        <v>1</v>
      </c>
      <c r="K18" s="54">
        <v>1</v>
      </c>
      <c r="L18" s="54">
        <v>1</v>
      </c>
      <c r="M18" s="54">
        <v>1</v>
      </c>
      <c r="N18" s="54">
        <v>1</v>
      </c>
      <c r="O18" s="54">
        <v>1</v>
      </c>
      <c r="P18" s="54">
        <v>1</v>
      </c>
      <c r="Q18" s="54">
        <v>1</v>
      </c>
      <c r="R18" s="54">
        <v>1</v>
      </c>
      <c r="S18" s="54">
        <v>1</v>
      </c>
      <c r="T18" s="54">
        <v>1</v>
      </c>
      <c r="U18" s="56">
        <f t="shared" si="0"/>
        <v>17</v>
      </c>
      <c r="V18" s="9"/>
    </row>
    <row r="19" spans="1:22" s="6" customFormat="1" ht="21" customHeight="1" x14ac:dyDescent="0.3">
      <c r="A19" s="121">
        <v>12</v>
      </c>
      <c r="B19" s="117" t="s">
        <v>24</v>
      </c>
      <c r="C19" s="16" t="s">
        <v>25</v>
      </c>
      <c r="D19" s="54">
        <v>1</v>
      </c>
      <c r="E19" s="54">
        <v>1</v>
      </c>
      <c r="F19" s="54">
        <v>1</v>
      </c>
      <c r="G19" s="54">
        <v>1</v>
      </c>
      <c r="H19" s="54">
        <v>1</v>
      </c>
      <c r="I19" s="54">
        <v>1</v>
      </c>
      <c r="J19" s="54">
        <v>1</v>
      </c>
      <c r="K19" s="54">
        <v>1</v>
      </c>
      <c r="L19" s="54">
        <v>1</v>
      </c>
      <c r="M19" s="54">
        <v>1</v>
      </c>
      <c r="N19" s="54">
        <v>1</v>
      </c>
      <c r="O19" s="54">
        <v>1</v>
      </c>
      <c r="P19" s="54">
        <v>1</v>
      </c>
      <c r="Q19" s="54">
        <v>1</v>
      </c>
      <c r="R19" s="54">
        <v>1</v>
      </c>
      <c r="S19" s="54">
        <v>1</v>
      </c>
      <c r="T19" s="54">
        <v>1</v>
      </c>
      <c r="U19" s="56">
        <f t="shared" si="0"/>
        <v>17</v>
      </c>
    </row>
    <row r="20" spans="1:22" s="6" customFormat="1" ht="21" customHeight="1" x14ac:dyDescent="0.3">
      <c r="A20" s="122"/>
      <c r="B20" s="123"/>
      <c r="C20" s="49" t="s">
        <v>23</v>
      </c>
      <c r="D20" s="58">
        <v>1</v>
      </c>
      <c r="E20" s="58">
        <v>1</v>
      </c>
      <c r="F20" s="58">
        <v>1</v>
      </c>
      <c r="G20" s="58">
        <v>1</v>
      </c>
      <c r="H20" s="58">
        <v>1</v>
      </c>
      <c r="I20" s="58">
        <v>1</v>
      </c>
      <c r="J20" s="58">
        <v>1</v>
      </c>
      <c r="K20" s="58">
        <v>1</v>
      </c>
      <c r="L20" s="58">
        <v>1</v>
      </c>
      <c r="M20" s="58">
        <v>1</v>
      </c>
      <c r="N20" s="58">
        <v>1</v>
      </c>
      <c r="O20" s="58">
        <v>1</v>
      </c>
      <c r="P20" s="58">
        <v>1</v>
      </c>
      <c r="Q20" s="58">
        <v>1</v>
      </c>
      <c r="R20" s="58">
        <v>1</v>
      </c>
      <c r="S20" s="58">
        <v>1</v>
      </c>
      <c r="T20" s="58">
        <v>1</v>
      </c>
      <c r="U20" s="60">
        <f t="shared" si="0"/>
        <v>17</v>
      </c>
    </row>
    <row r="21" spans="1:22" s="7" customFormat="1" ht="23.25" customHeight="1" x14ac:dyDescent="0.3">
      <c r="A21" s="118" t="s">
        <v>20</v>
      </c>
      <c r="B21" s="118"/>
      <c r="C21" s="118"/>
      <c r="D21" s="11">
        <f>SUM(D5:D20)</f>
        <v>29</v>
      </c>
      <c r="E21" s="11">
        <f t="shared" ref="E21:T21" si="2">SUM(E5:E20)</f>
        <v>29</v>
      </c>
      <c r="F21" s="11">
        <f t="shared" si="2"/>
        <v>29</v>
      </c>
      <c r="G21" s="11">
        <f t="shared" si="2"/>
        <v>29</v>
      </c>
      <c r="H21" s="11">
        <f t="shared" si="2"/>
        <v>29</v>
      </c>
      <c r="I21" s="11">
        <f t="shared" si="2"/>
        <v>29</v>
      </c>
      <c r="J21" s="11">
        <f t="shared" si="2"/>
        <v>29</v>
      </c>
      <c r="K21" s="11">
        <f t="shared" si="2"/>
        <v>29</v>
      </c>
      <c r="L21" s="11">
        <f t="shared" si="2"/>
        <v>29</v>
      </c>
      <c r="M21" s="11">
        <f t="shared" si="2"/>
        <v>29</v>
      </c>
      <c r="N21" s="11">
        <f t="shared" si="2"/>
        <v>29</v>
      </c>
      <c r="O21" s="11">
        <f t="shared" si="2"/>
        <v>29</v>
      </c>
      <c r="P21" s="11">
        <f t="shared" si="2"/>
        <v>29</v>
      </c>
      <c r="Q21" s="11">
        <f t="shared" si="2"/>
        <v>29</v>
      </c>
      <c r="R21" s="11">
        <f t="shared" si="2"/>
        <v>29</v>
      </c>
      <c r="S21" s="11">
        <f t="shared" si="2"/>
        <v>29</v>
      </c>
      <c r="T21" s="11">
        <f t="shared" si="2"/>
        <v>29</v>
      </c>
      <c r="U21" s="15">
        <f t="shared" si="0"/>
        <v>493</v>
      </c>
    </row>
    <row r="22" spans="1:22" s="78" customFormat="1" ht="21" customHeight="1" x14ac:dyDescent="0.3">
      <c r="A22" s="119">
        <v>12</v>
      </c>
      <c r="B22" s="120" t="s">
        <v>17</v>
      </c>
      <c r="C22" s="77" t="s">
        <v>7</v>
      </c>
      <c r="D22" s="31"/>
      <c r="E22" s="31"/>
      <c r="F22" s="31"/>
      <c r="G22" s="31"/>
      <c r="H22" s="31"/>
      <c r="I22" s="31"/>
      <c r="J22" s="31"/>
      <c r="K22" s="40"/>
      <c r="L22" s="31"/>
      <c r="M22" s="40"/>
      <c r="N22" s="31"/>
      <c r="O22" s="31"/>
      <c r="P22" s="31"/>
      <c r="Q22" s="31"/>
      <c r="R22" s="31">
        <v>3</v>
      </c>
      <c r="S22" s="31">
        <v>0.4</v>
      </c>
      <c r="T22" s="35"/>
      <c r="U22" s="35">
        <f>SUM(D22:T22)</f>
        <v>3.4</v>
      </c>
    </row>
    <row r="23" spans="1:22" s="78" customFormat="1" ht="21" customHeight="1" x14ac:dyDescent="0.3">
      <c r="A23" s="119"/>
      <c r="B23" s="120"/>
      <c r="C23" s="77" t="s">
        <v>26</v>
      </c>
      <c r="D23" s="31"/>
      <c r="E23" s="31"/>
      <c r="F23" s="31"/>
      <c r="G23" s="31"/>
      <c r="H23" s="31"/>
      <c r="I23" s="31"/>
      <c r="J23" s="31"/>
      <c r="K23" s="31"/>
      <c r="L23" s="31"/>
      <c r="M23" s="31">
        <v>3</v>
      </c>
      <c r="N23" s="31"/>
      <c r="O23" s="31"/>
      <c r="P23" s="31">
        <v>3</v>
      </c>
      <c r="Q23" s="31"/>
      <c r="R23" s="31"/>
      <c r="S23" s="31">
        <v>0.6</v>
      </c>
      <c r="T23" s="35"/>
      <c r="U23" s="35">
        <f t="shared" ref="U23:U24" si="3">SUM(D23:T23)</f>
        <v>6.6</v>
      </c>
    </row>
    <row r="24" spans="1:22" s="78" customFormat="1" ht="21" customHeight="1" x14ac:dyDescent="0.3">
      <c r="A24" s="119"/>
      <c r="B24" s="120"/>
      <c r="C24" s="77" t="s">
        <v>27</v>
      </c>
      <c r="D24" s="31"/>
      <c r="E24" s="31"/>
      <c r="F24" s="31">
        <v>3</v>
      </c>
      <c r="G24" s="31"/>
      <c r="H24" s="31"/>
      <c r="I24" s="31">
        <v>3</v>
      </c>
      <c r="J24" s="31">
        <v>1</v>
      </c>
      <c r="K24" s="40"/>
      <c r="L24" s="31"/>
      <c r="M24" s="40"/>
      <c r="N24" s="31"/>
      <c r="O24" s="31"/>
      <c r="P24" s="31"/>
      <c r="Q24" s="31"/>
      <c r="R24" s="31"/>
      <c r="S24" s="31"/>
      <c r="T24" s="35"/>
      <c r="U24" s="36">
        <f t="shared" si="3"/>
        <v>7</v>
      </c>
    </row>
    <row r="25" spans="1:22" s="34" customFormat="1" ht="21" customHeight="1" x14ac:dyDescent="0.3">
      <c r="A25" s="31"/>
      <c r="B25" s="32"/>
      <c r="C25" s="32" t="s">
        <v>29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2"/>
    </row>
    <row r="26" spans="1:22" s="2" customFormat="1" ht="21" customHeight="1" x14ac:dyDescent="0.3">
      <c r="A26" s="5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2" ht="21" customHeight="1" x14ac:dyDescent="0.3"/>
    <row r="28" spans="1:22" ht="21" customHeight="1" x14ac:dyDescent="0.3"/>
    <row r="29" spans="1:22" ht="21" customHeight="1" x14ac:dyDescent="0.3"/>
    <row r="30" spans="1:22" ht="21" customHeight="1" x14ac:dyDescent="0.3"/>
  </sheetData>
  <mergeCells count="23">
    <mergeCell ref="A22:A24"/>
    <mergeCell ref="B22:B24"/>
    <mergeCell ref="B5:C5"/>
    <mergeCell ref="A19:A20"/>
    <mergeCell ref="B19:B20"/>
    <mergeCell ref="A21:C21"/>
    <mergeCell ref="B6:C6"/>
    <mergeCell ref="B7:C7"/>
    <mergeCell ref="B8:C8"/>
    <mergeCell ref="A9:A10"/>
    <mergeCell ref="B9:B10"/>
    <mergeCell ref="A11:A13"/>
    <mergeCell ref="B11:B13"/>
    <mergeCell ref="B14:C14"/>
    <mergeCell ref="B15:C15"/>
    <mergeCell ref="B16:C16"/>
    <mergeCell ref="B18:C18"/>
    <mergeCell ref="B17:C17"/>
    <mergeCell ref="A1:U1"/>
    <mergeCell ref="A3:A4"/>
    <mergeCell ref="B3:C4"/>
    <mergeCell ref="D3:T3"/>
    <mergeCell ref="U3:U4"/>
  </mergeCells>
  <pageMargins left="0.32" right="0.16" top="0.83" bottom="0.43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30"/>
  <sheetViews>
    <sheetView zoomScaleNormal="100" workbookViewId="0">
      <selection activeCell="A5" sqref="A5:XFD20"/>
    </sheetView>
  </sheetViews>
  <sheetFormatPr defaultRowHeight="14.4" x14ac:dyDescent="0.3"/>
  <cols>
    <col min="1" max="1" width="5.44140625" style="4" customWidth="1"/>
    <col min="2" max="2" width="9.88671875" customWidth="1"/>
    <col min="3" max="3" width="10.33203125" customWidth="1"/>
    <col min="4" max="21" width="5.5546875" style="1" customWidth="1"/>
    <col min="22" max="22" width="7.109375" customWidth="1"/>
  </cols>
  <sheetData>
    <row r="1" spans="1:22" ht="26.25" customHeight="1" x14ac:dyDescent="0.3">
      <c r="A1" s="111" t="s">
        <v>35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</row>
    <row r="2" spans="1:22" ht="10.5" customHeight="1" x14ac:dyDescent="0.3"/>
    <row r="3" spans="1:22" s="6" customFormat="1" ht="21" customHeight="1" x14ac:dyDescent="0.3">
      <c r="A3" s="118" t="s">
        <v>0</v>
      </c>
      <c r="B3" s="118" t="s">
        <v>1</v>
      </c>
      <c r="C3" s="118"/>
      <c r="D3" s="118" t="s">
        <v>19</v>
      </c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 t="s">
        <v>18</v>
      </c>
    </row>
    <row r="4" spans="1:22" s="7" customFormat="1" ht="21" customHeight="1" x14ac:dyDescent="0.3">
      <c r="A4" s="124"/>
      <c r="B4" s="124"/>
      <c r="C4" s="124"/>
      <c r="D4" s="20">
        <v>1</v>
      </c>
      <c r="E4" s="20">
        <v>2</v>
      </c>
      <c r="F4" s="20">
        <v>3</v>
      </c>
      <c r="G4" s="20">
        <v>4</v>
      </c>
      <c r="H4" s="20">
        <v>5</v>
      </c>
      <c r="I4" s="20">
        <v>6</v>
      </c>
      <c r="J4" s="20">
        <v>7</v>
      </c>
      <c r="K4" s="20">
        <v>8</v>
      </c>
      <c r="L4" s="20">
        <v>9</v>
      </c>
      <c r="M4" s="20">
        <v>10</v>
      </c>
      <c r="N4" s="20">
        <v>11</v>
      </c>
      <c r="O4" s="20">
        <v>12</v>
      </c>
      <c r="P4" s="20">
        <v>13</v>
      </c>
      <c r="Q4" s="20">
        <v>14</v>
      </c>
      <c r="R4" s="20">
        <v>15</v>
      </c>
      <c r="S4" s="20">
        <v>16</v>
      </c>
      <c r="T4" s="20">
        <v>17</v>
      </c>
      <c r="U4" s="20">
        <v>18</v>
      </c>
      <c r="V4" s="124"/>
    </row>
    <row r="5" spans="1:22" s="6" customFormat="1" ht="19.2" customHeight="1" x14ac:dyDescent="0.3">
      <c r="A5" s="14">
        <v>1</v>
      </c>
      <c r="B5" s="117" t="s">
        <v>3</v>
      </c>
      <c r="C5" s="117"/>
      <c r="D5" s="54">
        <v>4</v>
      </c>
      <c r="E5" s="54">
        <v>4</v>
      </c>
      <c r="F5" s="54">
        <v>4</v>
      </c>
      <c r="G5" s="54">
        <v>4</v>
      </c>
      <c r="H5" s="54">
        <v>4</v>
      </c>
      <c r="I5" s="54">
        <v>4</v>
      </c>
      <c r="J5" s="54">
        <v>4</v>
      </c>
      <c r="K5" s="54">
        <v>4</v>
      </c>
      <c r="L5" s="54">
        <v>4</v>
      </c>
      <c r="M5" s="54">
        <v>4</v>
      </c>
      <c r="N5" s="54">
        <v>4</v>
      </c>
      <c r="O5" s="54">
        <v>4</v>
      </c>
      <c r="P5" s="54">
        <v>4</v>
      </c>
      <c r="Q5" s="54">
        <v>4</v>
      </c>
      <c r="R5" s="54">
        <v>4</v>
      </c>
      <c r="S5" s="54">
        <v>4</v>
      </c>
      <c r="T5" s="54">
        <v>4</v>
      </c>
      <c r="U5" s="54">
        <v>4</v>
      </c>
      <c r="V5" s="56">
        <f>SUM(D5:U5)</f>
        <v>72</v>
      </c>
    </row>
    <row r="6" spans="1:22" s="6" customFormat="1" ht="19.2" customHeight="1" x14ac:dyDescent="0.3">
      <c r="A6" s="14">
        <v>2</v>
      </c>
      <c r="B6" s="117" t="s">
        <v>2</v>
      </c>
      <c r="C6" s="117"/>
      <c r="D6" s="54">
        <v>4</v>
      </c>
      <c r="E6" s="54">
        <v>4</v>
      </c>
      <c r="F6" s="54">
        <v>4</v>
      </c>
      <c r="G6" s="54">
        <v>4</v>
      </c>
      <c r="H6" s="54">
        <v>4</v>
      </c>
      <c r="I6" s="54">
        <v>4</v>
      </c>
      <c r="J6" s="54">
        <v>4</v>
      </c>
      <c r="K6" s="54">
        <v>4</v>
      </c>
      <c r="L6" s="54">
        <v>4</v>
      </c>
      <c r="M6" s="54">
        <v>4</v>
      </c>
      <c r="N6" s="54">
        <v>4</v>
      </c>
      <c r="O6" s="54">
        <v>4</v>
      </c>
      <c r="P6" s="54">
        <v>4</v>
      </c>
      <c r="Q6" s="54">
        <v>4</v>
      </c>
      <c r="R6" s="54">
        <v>4</v>
      </c>
      <c r="S6" s="54">
        <v>4</v>
      </c>
      <c r="T6" s="54">
        <v>4</v>
      </c>
      <c r="U6" s="54">
        <v>4</v>
      </c>
      <c r="V6" s="56">
        <f t="shared" ref="V6:V25" si="0">SUM(D6:U6)</f>
        <v>72</v>
      </c>
    </row>
    <row r="7" spans="1:22" s="6" customFormat="1" ht="19.2" customHeight="1" x14ac:dyDescent="0.3">
      <c r="A7" s="14">
        <v>3</v>
      </c>
      <c r="B7" s="117" t="s">
        <v>4</v>
      </c>
      <c r="C7" s="117"/>
      <c r="D7" s="54">
        <v>3</v>
      </c>
      <c r="E7" s="54">
        <v>3</v>
      </c>
      <c r="F7" s="54">
        <v>3</v>
      </c>
      <c r="G7" s="54">
        <v>3</v>
      </c>
      <c r="H7" s="54">
        <v>3</v>
      </c>
      <c r="I7" s="54">
        <v>3</v>
      </c>
      <c r="J7" s="54">
        <v>3</v>
      </c>
      <c r="K7" s="54">
        <v>3</v>
      </c>
      <c r="L7" s="54">
        <v>3</v>
      </c>
      <c r="M7" s="54">
        <v>3</v>
      </c>
      <c r="N7" s="54">
        <v>3</v>
      </c>
      <c r="O7" s="54">
        <v>3</v>
      </c>
      <c r="P7" s="54">
        <v>3</v>
      </c>
      <c r="Q7" s="54">
        <v>3</v>
      </c>
      <c r="R7" s="54">
        <v>3</v>
      </c>
      <c r="S7" s="54">
        <v>3</v>
      </c>
      <c r="T7" s="54">
        <v>3</v>
      </c>
      <c r="U7" s="54">
        <v>3</v>
      </c>
      <c r="V7" s="56">
        <f t="shared" si="0"/>
        <v>54</v>
      </c>
    </row>
    <row r="8" spans="1:22" s="6" customFormat="1" ht="19.2" customHeight="1" x14ac:dyDescent="0.3">
      <c r="A8" s="14">
        <v>4</v>
      </c>
      <c r="B8" s="117" t="s">
        <v>5</v>
      </c>
      <c r="C8" s="117"/>
      <c r="D8" s="54">
        <v>1</v>
      </c>
      <c r="E8" s="54">
        <v>1</v>
      </c>
      <c r="F8" s="54">
        <v>1</v>
      </c>
      <c r="G8" s="54">
        <v>1</v>
      </c>
      <c r="H8" s="54">
        <v>1</v>
      </c>
      <c r="I8" s="54">
        <v>1</v>
      </c>
      <c r="J8" s="54">
        <v>1</v>
      </c>
      <c r="K8" s="54">
        <v>1</v>
      </c>
      <c r="L8" s="54">
        <v>1</v>
      </c>
      <c r="M8" s="54">
        <v>1</v>
      </c>
      <c r="N8" s="54">
        <v>1</v>
      </c>
      <c r="O8" s="54">
        <v>1</v>
      </c>
      <c r="P8" s="54">
        <v>1</v>
      </c>
      <c r="Q8" s="54">
        <v>1</v>
      </c>
      <c r="R8" s="54">
        <v>1</v>
      </c>
      <c r="S8" s="54">
        <v>1</v>
      </c>
      <c r="T8" s="54">
        <v>1</v>
      </c>
      <c r="U8" s="54">
        <v>1</v>
      </c>
      <c r="V8" s="56">
        <f t="shared" si="0"/>
        <v>18</v>
      </c>
    </row>
    <row r="9" spans="1:22" s="6" customFormat="1" ht="19.2" customHeight="1" x14ac:dyDescent="0.3">
      <c r="A9" s="121">
        <v>5</v>
      </c>
      <c r="B9" s="117" t="s">
        <v>8</v>
      </c>
      <c r="C9" s="16" t="s">
        <v>6</v>
      </c>
      <c r="D9" s="28">
        <v>2</v>
      </c>
      <c r="E9" s="28">
        <v>2</v>
      </c>
      <c r="F9" s="28">
        <v>2</v>
      </c>
      <c r="G9" s="28">
        <v>2</v>
      </c>
      <c r="H9" s="28">
        <v>2</v>
      </c>
      <c r="I9" s="28">
        <v>1</v>
      </c>
      <c r="J9" s="28">
        <v>1</v>
      </c>
      <c r="K9" s="28">
        <v>1</v>
      </c>
      <c r="L9" s="28">
        <v>1</v>
      </c>
      <c r="M9" s="28">
        <v>1</v>
      </c>
      <c r="N9" s="28">
        <v>2</v>
      </c>
      <c r="O9" s="28">
        <v>2</v>
      </c>
      <c r="P9" s="28">
        <v>2</v>
      </c>
      <c r="Q9" s="28">
        <v>2</v>
      </c>
      <c r="R9" s="28">
        <v>1</v>
      </c>
      <c r="S9" s="28">
        <v>1</v>
      </c>
      <c r="T9" s="28">
        <v>1</v>
      </c>
      <c r="U9" s="28">
        <v>1</v>
      </c>
      <c r="V9" s="81">
        <f t="shared" si="0"/>
        <v>27</v>
      </c>
    </row>
    <row r="10" spans="1:22" s="6" customFormat="1" ht="19.2" customHeight="1" x14ac:dyDescent="0.3">
      <c r="A10" s="121"/>
      <c r="B10" s="117"/>
      <c r="C10" s="16" t="s">
        <v>7</v>
      </c>
      <c r="D10" s="28">
        <v>1</v>
      </c>
      <c r="E10" s="28">
        <v>1</v>
      </c>
      <c r="F10" s="28">
        <v>1</v>
      </c>
      <c r="G10" s="28">
        <v>1</v>
      </c>
      <c r="H10" s="28">
        <v>1</v>
      </c>
      <c r="I10" s="28">
        <v>2</v>
      </c>
      <c r="J10" s="28">
        <v>2</v>
      </c>
      <c r="K10" s="28">
        <v>2</v>
      </c>
      <c r="L10" s="28">
        <v>2</v>
      </c>
      <c r="M10" s="28">
        <v>2</v>
      </c>
      <c r="N10" s="28">
        <v>1</v>
      </c>
      <c r="O10" s="28">
        <v>1</v>
      </c>
      <c r="P10" s="28">
        <v>1</v>
      </c>
      <c r="Q10" s="28">
        <v>1</v>
      </c>
      <c r="R10" s="28">
        <v>2</v>
      </c>
      <c r="S10" s="28">
        <v>2</v>
      </c>
      <c r="T10" s="28">
        <v>2</v>
      </c>
      <c r="U10" s="28">
        <v>2</v>
      </c>
      <c r="V10" s="81">
        <f t="shared" si="0"/>
        <v>27</v>
      </c>
    </row>
    <row r="11" spans="1:22" s="6" customFormat="1" ht="19.2" customHeight="1" x14ac:dyDescent="0.3">
      <c r="A11" s="121">
        <v>6</v>
      </c>
      <c r="B11" s="117" t="s">
        <v>9</v>
      </c>
      <c r="C11" s="16" t="s">
        <v>10</v>
      </c>
      <c r="D11" s="90">
        <v>1</v>
      </c>
      <c r="E11" s="90">
        <v>1</v>
      </c>
      <c r="F11" s="90">
        <v>1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  <c r="P11" s="90">
        <v>1</v>
      </c>
      <c r="Q11" s="90">
        <v>1</v>
      </c>
      <c r="R11" s="90">
        <v>1</v>
      </c>
      <c r="S11" s="90">
        <v>1</v>
      </c>
      <c r="T11" s="90">
        <v>1</v>
      </c>
      <c r="U11" s="90">
        <v>1</v>
      </c>
      <c r="V11" s="92">
        <f>SUM(D11:U11)</f>
        <v>18</v>
      </c>
    </row>
    <row r="12" spans="1:22" s="6" customFormat="1" ht="19.2" customHeight="1" x14ac:dyDescent="0.3">
      <c r="A12" s="121"/>
      <c r="B12" s="117"/>
      <c r="C12" s="16" t="s">
        <v>11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90">
        <v>1</v>
      </c>
      <c r="J12" s="90">
        <v>1</v>
      </c>
      <c r="K12" s="90">
        <v>1</v>
      </c>
      <c r="L12" s="90">
        <v>0</v>
      </c>
      <c r="M12" s="91">
        <v>2</v>
      </c>
      <c r="N12" s="90">
        <v>1</v>
      </c>
      <c r="O12" s="90">
        <v>1</v>
      </c>
      <c r="P12" s="90">
        <v>1</v>
      </c>
      <c r="Q12" s="90">
        <v>1</v>
      </c>
      <c r="R12" s="90">
        <v>1</v>
      </c>
      <c r="S12" s="90">
        <v>1</v>
      </c>
      <c r="T12" s="90">
        <v>1</v>
      </c>
      <c r="U12" s="90">
        <v>1</v>
      </c>
      <c r="V12" s="92">
        <f t="shared" ref="V12:V13" si="1">SUM(D12:U12)</f>
        <v>18</v>
      </c>
    </row>
    <row r="13" spans="1:22" s="6" customFormat="1" ht="19.2" customHeight="1" x14ac:dyDescent="0.3">
      <c r="A13" s="121"/>
      <c r="B13" s="117"/>
      <c r="C13" s="16" t="s">
        <v>12</v>
      </c>
      <c r="D13" s="90">
        <v>2</v>
      </c>
      <c r="E13" s="90">
        <v>2</v>
      </c>
      <c r="F13" s="90">
        <v>2</v>
      </c>
      <c r="G13" s="90">
        <v>2</v>
      </c>
      <c r="H13" s="90">
        <v>2</v>
      </c>
      <c r="I13" s="90">
        <v>2</v>
      </c>
      <c r="J13" s="90">
        <v>2</v>
      </c>
      <c r="K13" s="90">
        <v>2</v>
      </c>
      <c r="L13" s="90">
        <v>3</v>
      </c>
      <c r="M13" s="90">
        <v>1</v>
      </c>
      <c r="N13" s="90">
        <v>2</v>
      </c>
      <c r="O13" s="90">
        <v>2</v>
      </c>
      <c r="P13" s="90">
        <v>2</v>
      </c>
      <c r="Q13" s="90">
        <v>2</v>
      </c>
      <c r="R13" s="90">
        <v>2</v>
      </c>
      <c r="S13" s="90">
        <v>2</v>
      </c>
      <c r="T13" s="91">
        <v>2</v>
      </c>
      <c r="U13" s="90">
        <v>2</v>
      </c>
      <c r="V13" s="92">
        <f t="shared" si="1"/>
        <v>36</v>
      </c>
    </row>
    <row r="14" spans="1:22" s="6" customFormat="1" ht="19.2" customHeight="1" x14ac:dyDescent="0.3">
      <c r="A14" s="14">
        <v>7</v>
      </c>
      <c r="B14" s="117" t="s">
        <v>13</v>
      </c>
      <c r="C14" s="117"/>
      <c r="D14" s="54">
        <v>1</v>
      </c>
      <c r="E14" s="54">
        <v>1</v>
      </c>
      <c r="F14" s="54">
        <v>1</v>
      </c>
      <c r="G14" s="54">
        <v>1</v>
      </c>
      <c r="H14" s="54">
        <v>1</v>
      </c>
      <c r="I14" s="54">
        <v>1</v>
      </c>
      <c r="J14" s="54">
        <v>1</v>
      </c>
      <c r="K14" s="54">
        <v>1</v>
      </c>
      <c r="L14" s="54">
        <v>1</v>
      </c>
      <c r="M14" s="54">
        <v>1</v>
      </c>
      <c r="N14" s="54">
        <v>1</v>
      </c>
      <c r="O14" s="54">
        <v>1</v>
      </c>
      <c r="P14" s="54">
        <v>1</v>
      </c>
      <c r="Q14" s="54">
        <v>1</v>
      </c>
      <c r="R14" s="54">
        <v>1</v>
      </c>
      <c r="S14" s="54">
        <v>1</v>
      </c>
      <c r="T14" s="54">
        <v>1</v>
      </c>
      <c r="U14" s="54">
        <v>1</v>
      </c>
      <c r="V14" s="56">
        <f t="shared" si="0"/>
        <v>18</v>
      </c>
    </row>
    <row r="15" spans="1:22" s="6" customFormat="1" ht="19.2" customHeight="1" x14ac:dyDescent="0.3">
      <c r="A15" s="14">
        <v>8</v>
      </c>
      <c r="B15" s="117" t="s">
        <v>14</v>
      </c>
      <c r="C15" s="117"/>
      <c r="D15" s="54">
        <v>1</v>
      </c>
      <c r="E15" s="54">
        <v>1</v>
      </c>
      <c r="F15" s="54">
        <v>1</v>
      </c>
      <c r="G15" s="54">
        <v>1</v>
      </c>
      <c r="H15" s="54">
        <v>1</v>
      </c>
      <c r="I15" s="54">
        <v>1</v>
      </c>
      <c r="J15" s="54">
        <v>1</v>
      </c>
      <c r="K15" s="54">
        <v>1</v>
      </c>
      <c r="L15" s="54">
        <v>1</v>
      </c>
      <c r="M15" s="54">
        <v>1</v>
      </c>
      <c r="N15" s="54">
        <v>1</v>
      </c>
      <c r="O15" s="54">
        <v>1</v>
      </c>
      <c r="P15" s="54">
        <v>1</v>
      </c>
      <c r="Q15" s="54">
        <v>1</v>
      </c>
      <c r="R15" s="54">
        <v>1</v>
      </c>
      <c r="S15" s="54">
        <v>1</v>
      </c>
      <c r="T15" s="54">
        <v>1</v>
      </c>
      <c r="U15" s="54">
        <v>1</v>
      </c>
      <c r="V15" s="56">
        <f t="shared" si="0"/>
        <v>18</v>
      </c>
    </row>
    <row r="16" spans="1:22" s="6" customFormat="1" ht="19.2" customHeight="1" x14ac:dyDescent="0.3">
      <c r="A16" s="14">
        <v>9</v>
      </c>
      <c r="B16" s="117" t="s">
        <v>15</v>
      </c>
      <c r="C16" s="117"/>
      <c r="D16" s="54">
        <v>2</v>
      </c>
      <c r="E16" s="54">
        <v>2</v>
      </c>
      <c r="F16" s="54">
        <v>2</v>
      </c>
      <c r="G16" s="54">
        <v>2</v>
      </c>
      <c r="H16" s="54">
        <v>2</v>
      </c>
      <c r="I16" s="54">
        <v>2</v>
      </c>
      <c r="J16" s="54">
        <v>2</v>
      </c>
      <c r="K16" s="54">
        <v>2</v>
      </c>
      <c r="L16" s="54">
        <v>2</v>
      </c>
      <c r="M16" s="54">
        <v>2</v>
      </c>
      <c r="N16" s="54">
        <v>2</v>
      </c>
      <c r="O16" s="54">
        <v>2</v>
      </c>
      <c r="P16" s="54">
        <v>2</v>
      </c>
      <c r="Q16" s="54">
        <v>2</v>
      </c>
      <c r="R16" s="54">
        <v>2</v>
      </c>
      <c r="S16" s="54">
        <v>2</v>
      </c>
      <c r="T16" s="54">
        <v>2</v>
      </c>
      <c r="U16" s="54">
        <v>2</v>
      </c>
      <c r="V16" s="56">
        <f t="shared" si="0"/>
        <v>36</v>
      </c>
    </row>
    <row r="17" spans="1:23" s="6" customFormat="1" ht="19.2" customHeight="1" x14ac:dyDescent="0.3">
      <c r="A17" s="14">
        <v>10</v>
      </c>
      <c r="B17" s="117" t="s">
        <v>16</v>
      </c>
      <c r="C17" s="117"/>
      <c r="D17" s="54">
        <v>3</v>
      </c>
      <c r="E17" s="54">
        <v>3</v>
      </c>
      <c r="F17" s="54">
        <v>3</v>
      </c>
      <c r="G17" s="54">
        <v>3</v>
      </c>
      <c r="H17" s="54">
        <v>3</v>
      </c>
      <c r="I17" s="54">
        <v>3</v>
      </c>
      <c r="J17" s="54">
        <v>3</v>
      </c>
      <c r="K17" s="54">
        <v>3</v>
      </c>
      <c r="L17" s="54">
        <v>3</v>
      </c>
      <c r="M17" s="54">
        <v>3</v>
      </c>
      <c r="N17" s="54">
        <v>3</v>
      </c>
      <c r="O17" s="54">
        <v>3</v>
      </c>
      <c r="P17" s="54">
        <v>3</v>
      </c>
      <c r="Q17" s="54">
        <v>3</v>
      </c>
      <c r="R17" s="54">
        <v>3</v>
      </c>
      <c r="S17" s="54">
        <v>3</v>
      </c>
      <c r="T17" s="54">
        <v>3</v>
      </c>
      <c r="U17" s="54">
        <v>3</v>
      </c>
      <c r="V17" s="56">
        <f t="shared" si="0"/>
        <v>54</v>
      </c>
    </row>
    <row r="18" spans="1:23" s="6" customFormat="1" ht="19.2" customHeight="1" x14ac:dyDescent="0.3">
      <c r="A18" s="14">
        <v>11</v>
      </c>
      <c r="B18" s="117" t="s">
        <v>17</v>
      </c>
      <c r="C18" s="117"/>
      <c r="D18" s="54">
        <v>1</v>
      </c>
      <c r="E18" s="54">
        <v>1</v>
      </c>
      <c r="F18" s="54">
        <v>1</v>
      </c>
      <c r="G18" s="54">
        <v>1</v>
      </c>
      <c r="H18" s="54">
        <v>1</v>
      </c>
      <c r="I18" s="54">
        <v>1</v>
      </c>
      <c r="J18" s="54">
        <v>1</v>
      </c>
      <c r="K18" s="54">
        <v>1</v>
      </c>
      <c r="L18" s="54">
        <v>1</v>
      </c>
      <c r="M18" s="54">
        <v>1</v>
      </c>
      <c r="N18" s="54">
        <v>1</v>
      </c>
      <c r="O18" s="54">
        <v>1</v>
      </c>
      <c r="P18" s="54">
        <v>1</v>
      </c>
      <c r="Q18" s="54">
        <v>1</v>
      </c>
      <c r="R18" s="54">
        <v>1</v>
      </c>
      <c r="S18" s="54">
        <v>1</v>
      </c>
      <c r="T18" s="54">
        <v>1</v>
      </c>
      <c r="U18" s="54">
        <v>1</v>
      </c>
      <c r="V18" s="56">
        <f t="shared" si="0"/>
        <v>18</v>
      </c>
    </row>
    <row r="19" spans="1:23" s="6" customFormat="1" ht="19.2" customHeight="1" x14ac:dyDescent="0.3">
      <c r="A19" s="121">
        <v>12</v>
      </c>
      <c r="B19" s="117" t="s">
        <v>24</v>
      </c>
      <c r="C19" s="16" t="s">
        <v>23</v>
      </c>
      <c r="D19" s="56">
        <v>1</v>
      </c>
      <c r="E19" s="54">
        <v>1</v>
      </c>
      <c r="F19" s="54">
        <v>1</v>
      </c>
      <c r="G19" s="54">
        <v>1</v>
      </c>
      <c r="H19" s="54">
        <v>1</v>
      </c>
      <c r="I19" s="54">
        <v>1</v>
      </c>
      <c r="J19" s="54">
        <v>1</v>
      </c>
      <c r="K19" s="54">
        <v>1</v>
      </c>
      <c r="L19" s="54">
        <v>1</v>
      </c>
      <c r="M19" s="54">
        <v>1</v>
      </c>
      <c r="N19" s="54">
        <v>1</v>
      </c>
      <c r="O19" s="54">
        <v>1</v>
      </c>
      <c r="P19" s="54">
        <v>1</v>
      </c>
      <c r="Q19" s="54">
        <v>1</v>
      </c>
      <c r="R19" s="54">
        <v>1</v>
      </c>
      <c r="S19" s="54">
        <v>1</v>
      </c>
      <c r="T19" s="54">
        <v>1</v>
      </c>
      <c r="U19" s="54">
        <v>1</v>
      </c>
      <c r="V19" s="56">
        <f t="shared" si="0"/>
        <v>18</v>
      </c>
    </row>
    <row r="20" spans="1:23" s="6" customFormat="1" ht="19.2" customHeight="1" x14ac:dyDescent="0.3">
      <c r="A20" s="121"/>
      <c r="B20" s="117"/>
      <c r="C20" s="16" t="s">
        <v>25</v>
      </c>
      <c r="D20" s="54">
        <v>1</v>
      </c>
      <c r="E20" s="54">
        <v>1</v>
      </c>
      <c r="F20" s="54">
        <v>1</v>
      </c>
      <c r="G20" s="54">
        <v>1</v>
      </c>
      <c r="H20" s="54">
        <v>1</v>
      </c>
      <c r="I20" s="54">
        <v>1</v>
      </c>
      <c r="J20" s="54">
        <v>1</v>
      </c>
      <c r="K20" s="54">
        <v>1</v>
      </c>
      <c r="L20" s="54">
        <v>1</v>
      </c>
      <c r="M20" s="54">
        <v>1</v>
      </c>
      <c r="N20" s="54">
        <v>1</v>
      </c>
      <c r="O20" s="54">
        <v>1</v>
      </c>
      <c r="P20" s="54">
        <v>1</v>
      </c>
      <c r="Q20" s="54">
        <v>1</v>
      </c>
      <c r="R20" s="54">
        <v>1</v>
      </c>
      <c r="S20" s="54">
        <v>1</v>
      </c>
      <c r="T20" s="54">
        <v>1</v>
      </c>
      <c r="U20" s="54">
        <v>1</v>
      </c>
      <c r="V20" s="56">
        <f t="shared" si="0"/>
        <v>18</v>
      </c>
    </row>
    <row r="21" spans="1:23" s="7" customFormat="1" ht="18" customHeight="1" x14ac:dyDescent="0.3">
      <c r="A21" s="118" t="s">
        <v>20</v>
      </c>
      <c r="B21" s="118"/>
      <c r="C21" s="118"/>
      <c r="D21" s="11">
        <f>SUM(D5:D20)</f>
        <v>29</v>
      </c>
      <c r="E21" s="11">
        <f t="shared" ref="E21:U21" si="2">SUM(E5:E20)</f>
        <v>29</v>
      </c>
      <c r="F21" s="11">
        <f t="shared" si="2"/>
        <v>29</v>
      </c>
      <c r="G21" s="11">
        <f t="shared" si="2"/>
        <v>29</v>
      </c>
      <c r="H21" s="11">
        <f t="shared" si="2"/>
        <v>29</v>
      </c>
      <c r="I21" s="11">
        <f t="shared" si="2"/>
        <v>29</v>
      </c>
      <c r="J21" s="11">
        <f t="shared" si="2"/>
        <v>29</v>
      </c>
      <c r="K21" s="11">
        <f t="shared" si="2"/>
        <v>29</v>
      </c>
      <c r="L21" s="11">
        <f t="shared" si="2"/>
        <v>29</v>
      </c>
      <c r="M21" s="11">
        <f t="shared" si="2"/>
        <v>29</v>
      </c>
      <c r="N21" s="11">
        <f t="shared" si="2"/>
        <v>29</v>
      </c>
      <c r="O21" s="11">
        <f t="shared" si="2"/>
        <v>29</v>
      </c>
      <c r="P21" s="11">
        <f t="shared" si="2"/>
        <v>29</v>
      </c>
      <c r="Q21" s="11">
        <f t="shared" si="2"/>
        <v>29</v>
      </c>
      <c r="R21" s="11">
        <f t="shared" si="2"/>
        <v>29</v>
      </c>
      <c r="S21" s="11">
        <f t="shared" si="2"/>
        <v>29</v>
      </c>
      <c r="T21" s="11">
        <f t="shared" si="2"/>
        <v>29</v>
      </c>
      <c r="U21" s="11">
        <f t="shared" si="2"/>
        <v>29</v>
      </c>
      <c r="V21" s="15">
        <f t="shared" si="0"/>
        <v>522</v>
      </c>
    </row>
    <row r="22" spans="1:23" s="34" customFormat="1" ht="18" customHeight="1" x14ac:dyDescent="0.3">
      <c r="A22" s="119">
        <v>12</v>
      </c>
      <c r="B22" s="120" t="s">
        <v>17</v>
      </c>
      <c r="C22" s="32" t="s">
        <v>7</v>
      </c>
      <c r="D22" s="33"/>
      <c r="E22" s="33"/>
      <c r="F22" s="33"/>
      <c r="G22" s="33"/>
      <c r="H22" s="33"/>
      <c r="I22" s="33"/>
      <c r="J22" s="33"/>
      <c r="K22" s="35"/>
      <c r="L22" s="33"/>
      <c r="M22" s="33">
        <v>1</v>
      </c>
      <c r="N22" s="33"/>
      <c r="O22" s="33">
        <v>3</v>
      </c>
      <c r="P22" s="33"/>
      <c r="Q22" s="33"/>
      <c r="R22" s="33"/>
      <c r="S22" s="33"/>
      <c r="T22" s="33">
        <v>0.5</v>
      </c>
      <c r="U22" s="35"/>
      <c r="V22" s="48">
        <f t="shared" si="0"/>
        <v>4.5</v>
      </c>
    </row>
    <row r="23" spans="1:23" s="34" customFormat="1" ht="18" customHeight="1" x14ac:dyDescent="0.3">
      <c r="A23" s="119"/>
      <c r="B23" s="120"/>
      <c r="C23" s="32" t="s">
        <v>5</v>
      </c>
      <c r="D23" s="33"/>
      <c r="E23" s="33"/>
      <c r="F23" s="33">
        <v>3</v>
      </c>
      <c r="G23" s="33"/>
      <c r="H23" s="33"/>
      <c r="I23" s="33"/>
      <c r="J23" s="33"/>
      <c r="K23" s="35">
        <v>0.5</v>
      </c>
      <c r="L23" s="33"/>
      <c r="M23" s="35"/>
      <c r="N23" s="33"/>
      <c r="O23" s="33"/>
      <c r="P23" s="33"/>
      <c r="Q23" s="33"/>
      <c r="R23" s="33"/>
      <c r="S23" s="33"/>
      <c r="T23" s="33"/>
      <c r="U23" s="35"/>
      <c r="V23" s="48">
        <f t="shared" si="0"/>
        <v>3.5</v>
      </c>
    </row>
    <row r="24" spans="1:23" s="34" customFormat="1" ht="18" customHeight="1" x14ac:dyDescent="0.3">
      <c r="A24" s="119"/>
      <c r="B24" s="120"/>
      <c r="C24" s="32" t="s">
        <v>12</v>
      </c>
      <c r="D24" s="33"/>
      <c r="E24" s="33"/>
      <c r="F24" s="33"/>
      <c r="G24" s="33"/>
      <c r="H24" s="33"/>
      <c r="I24" s="33"/>
      <c r="J24" s="33"/>
      <c r="K24" s="35"/>
      <c r="L24" s="33"/>
      <c r="M24" s="35"/>
      <c r="N24" s="33"/>
      <c r="O24" s="33"/>
      <c r="P24" s="33"/>
      <c r="Q24" s="33"/>
      <c r="R24" s="33">
        <v>3</v>
      </c>
      <c r="S24" s="33"/>
      <c r="T24" s="33">
        <v>0.3</v>
      </c>
      <c r="U24" s="35"/>
      <c r="V24" s="48">
        <f t="shared" si="0"/>
        <v>3.3</v>
      </c>
    </row>
    <row r="25" spans="1:23" s="34" customFormat="1" ht="18" customHeight="1" x14ac:dyDescent="0.3">
      <c r="A25" s="119"/>
      <c r="B25" s="120"/>
      <c r="C25" s="32" t="s">
        <v>23</v>
      </c>
      <c r="D25" s="33"/>
      <c r="E25" s="33"/>
      <c r="F25" s="33"/>
      <c r="G25" s="33"/>
      <c r="H25" s="33"/>
      <c r="I25" s="33">
        <v>3</v>
      </c>
      <c r="J25" s="33"/>
      <c r="K25" s="35">
        <v>0.5</v>
      </c>
      <c r="L25" s="33"/>
      <c r="M25" s="33"/>
      <c r="N25" s="33"/>
      <c r="O25" s="33"/>
      <c r="P25" s="33"/>
      <c r="Q25" s="33"/>
      <c r="R25" s="33"/>
      <c r="S25" s="33"/>
      <c r="T25" s="33">
        <v>2.2000000000000002</v>
      </c>
      <c r="U25" s="35"/>
      <c r="V25" s="48">
        <f t="shared" si="0"/>
        <v>5.7</v>
      </c>
      <c r="W25" s="42"/>
    </row>
    <row r="26" spans="1:23" s="34" customFormat="1" ht="21" customHeight="1" x14ac:dyDescent="0.3">
      <c r="A26" s="31"/>
      <c r="B26" s="32" t="s">
        <v>29</v>
      </c>
      <c r="C26" s="32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2"/>
    </row>
    <row r="27" spans="1:23" s="47" customFormat="1" ht="21" customHeight="1" x14ac:dyDescent="0.3">
      <c r="A27" s="44"/>
      <c r="B27" s="45"/>
      <c r="C27" s="45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1"/>
    </row>
    <row r="28" spans="1:23" ht="21" customHeight="1" x14ac:dyDescent="0.3"/>
    <row r="29" spans="1:23" ht="21" customHeight="1" x14ac:dyDescent="0.3"/>
    <row r="30" spans="1:23" ht="21" customHeight="1" x14ac:dyDescent="0.3"/>
  </sheetData>
  <mergeCells count="23">
    <mergeCell ref="B22:B25"/>
    <mergeCell ref="A22:A25"/>
    <mergeCell ref="B5:C5"/>
    <mergeCell ref="A19:A20"/>
    <mergeCell ref="B19:B20"/>
    <mergeCell ref="A21:C21"/>
    <mergeCell ref="B6:C6"/>
    <mergeCell ref="B7:C7"/>
    <mergeCell ref="B8:C8"/>
    <mergeCell ref="A9:A10"/>
    <mergeCell ref="B9:B10"/>
    <mergeCell ref="A11:A13"/>
    <mergeCell ref="B11:B13"/>
    <mergeCell ref="B14:C14"/>
    <mergeCell ref="B15:C15"/>
    <mergeCell ref="B16:C16"/>
    <mergeCell ref="B17:C17"/>
    <mergeCell ref="B18:C18"/>
    <mergeCell ref="A1:V1"/>
    <mergeCell ref="A3:A4"/>
    <mergeCell ref="B3:C4"/>
    <mergeCell ref="D3:U3"/>
    <mergeCell ref="V3:V4"/>
  </mergeCells>
  <pageMargins left="0.39" right="0.25" top="0.86" bottom="0.39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29"/>
  <sheetViews>
    <sheetView zoomScaleNormal="100" workbookViewId="0">
      <selection activeCell="D11" sqref="D11:U13"/>
    </sheetView>
  </sheetViews>
  <sheetFormatPr defaultRowHeight="14.4" x14ac:dyDescent="0.3"/>
  <cols>
    <col min="1" max="1" width="5.44140625" style="4" customWidth="1"/>
    <col min="2" max="2" width="10.5546875" customWidth="1"/>
    <col min="3" max="3" width="10.109375" customWidth="1"/>
    <col min="4" max="10" width="5.88671875" style="1" customWidth="1"/>
    <col min="11" max="11" width="6.88671875" style="1" customWidth="1"/>
    <col min="12" max="18" width="5.88671875" style="1" customWidth="1"/>
    <col min="19" max="19" width="8.109375" style="1" customWidth="1"/>
    <col min="20" max="20" width="5.88671875" style="1" customWidth="1"/>
    <col min="21" max="21" width="7.109375" customWidth="1"/>
    <col min="22" max="22" width="9.109375" style="1"/>
  </cols>
  <sheetData>
    <row r="1" spans="1:22" ht="26.25" customHeight="1" x14ac:dyDescent="0.3">
      <c r="A1" s="111" t="s">
        <v>36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</row>
    <row r="2" spans="1:22" ht="10.5" customHeight="1" x14ac:dyDescent="0.3"/>
    <row r="3" spans="1:22" s="6" customFormat="1" ht="21" customHeight="1" x14ac:dyDescent="0.3">
      <c r="A3" s="118" t="s">
        <v>0</v>
      </c>
      <c r="B3" s="118" t="s">
        <v>1</v>
      </c>
      <c r="C3" s="118"/>
      <c r="D3" s="118" t="s">
        <v>19</v>
      </c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 t="s">
        <v>18</v>
      </c>
      <c r="V3" s="9"/>
    </row>
    <row r="4" spans="1:22" s="7" customFormat="1" ht="21" customHeight="1" x14ac:dyDescent="0.3">
      <c r="A4" s="118"/>
      <c r="B4" s="118"/>
      <c r="C4" s="118"/>
      <c r="D4" s="11">
        <v>19</v>
      </c>
      <c r="E4" s="11">
        <v>20</v>
      </c>
      <c r="F4" s="11">
        <v>21</v>
      </c>
      <c r="G4" s="11">
        <v>22</v>
      </c>
      <c r="H4" s="11">
        <v>23</v>
      </c>
      <c r="I4" s="11">
        <v>24</v>
      </c>
      <c r="J4" s="11">
        <v>25</v>
      </c>
      <c r="K4" s="11">
        <v>26</v>
      </c>
      <c r="L4" s="11">
        <v>27</v>
      </c>
      <c r="M4" s="11">
        <v>28</v>
      </c>
      <c r="N4" s="11">
        <v>29</v>
      </c>
      <c r="O4" s="11">
        <v>30</v>
      </c>
      <c r="P4" s="11">
        <v>31</v>
      </c>
      <c r="Q4" s="11">
        <v>32</v>
      </c>
      <c r="R4" s="11">
        <v>33</v>
      </c>
      <c r="S4" s="11">
        <v>34</v>
      </c>
      <c r="T4" s="11">
        <v>35</v>
      </c>
      <c r="U4" s="118"/>
      <c r="V4" s="10"/>
    </row>
    <row r="5" spans="1:22" s="6" customFormat="1" ht="21" customHeight="1" x14ac:dyDescent="0.3">
      <c r="A5" s="14">
        <v>1</v>
      </c>
      <c r="B5" s="117" t="s">
        <v>3</v>
      </c>
      <c r="C5" s="117"/>
      <c r="D5" s="14">
        <v>4</v>
      </c>
      <c r="E5" s="14">
        <v>4</v>
      </c>
      <c r="F5" s="14">
        <v>4</v>
      </c>
      <c r="G5" s="14">
        <v>4</v>
      </c>
      <c r="H5" s="14">
        <v>4</v>
      </c>
      <c r="I5" s="14">
        <v>4</v>
      </c>
      <c r="J5" s="14">
        <v>4</v>
      </c>
      <c r="K5" s="14">
        <v>4</v>
      </c>
      <c r="L5" s="14">
        <v>4</v>
      </c>
      <c r="M5" s="14">
        <v>4</v>
      </c>
      <c r="N5" s="14">
        <v>4</v>
      </c>
      <c r="O5" s="14">
        <v>4</v>
      </c>
      <c r="P5" s="14">
        <v>4</v>
      </c>
      <c r="Q5" s="14">
        <v>4</v>
      </c>
      <c r="R5" s="14">
        <v>4</v>
      </c>
      <c r="S5" s="14">
        <v>4</v>
      </c>
      <c r="T5" s="14">
        <v>4</v>
      </c>
      <c r="U5" s="15">
        <f>SUM(D5:T5)</f>
        <v>68</v>
      </c>
      <c r="V5" s="9"/>
    </row>
    <row r="6" spans="1:22" s="6" customFormat="1" ht="21" customHeight="1" x14ac:dyDescent="0.3">
      <c r="A6" s="14">
        <v>2</v>
      </c>
      <c r="B6" s="117" t="s">
        <v>2</v>
      </c>
      <c r="C6" s="117"/>
      <c r="D6" s="14">
        <v>4</v>
      </c>
      <c r="E6" s="14">
        <v>4</v>
      </c>
      <c r="F6" s="14">
        <v>4</v>
      </c>
      <c r="G6" s="14">
        <v>4</v>
      </c>
      <c r="H6" s="14">
        <v>4</v>
      </c>
      <c r="I6" s="14">
        <v>4</v>
      </c>
      <c r="J6" s="14">
        <v>4</v>
      </c>
      <c r="K6" s="14">
        <v>4</v>
      </c>
      <c r="L6" s="14">
        <v>4</v>
      </c>
      <c r="M6" s="14">
        <v>4</v>
      </c>
      <c r="N6" s="14">
        <v>4</v>
      </c>
      <c r="O6" s="14">
        <v>4</v>
      </c>
      <c r="P6" s="14">
        <v>4</v>
      </c>
      <c r="Q6" s="14">
        <v>4</v>
      </c>
      <c r="R6" s="14">
        <v>4</v>
      </c>
      <c r="S6" s="14">
        <v>4</v>
      </c>
      <c r="T6" s="14">
        <v>4</v>
      </c>
      <c r="U6" s="15">
        <f t="shared" ref="U6:U21" si="0">SUM(D6:T6)</f>
        <v>68</v>
      </c>
      <c r="V6" s="9"/>
    </row>
    <row r="7" spans="1:22" s="6" customFormat="1" ht="21" customHeight="1" x14ac:dyDescent="0.3">
      <c r="A7" s="14">
        <v>3</v>
      </c>
      <c r="B7" s="117" t="s">
        <v>4</v>
      </c>
      <c r="C7" s="117"/>
      <c r="D7" s="14">
        <v>3</v>
      </c>
      <c r="E7" s="14">
        <v>3</v>
      </c>
      <c r="F7" s="14">
        <v>3</v>
      </c>
      <c r="G7" s="14">
        <v>3</v>
      </c>
      <c r="H7" s="14">
        <v>3</v>
      </c>
      <c r="I7" s="14">
        <v>3</v>
      </c>
      <c r="J7" s="14">
        <v>3</v>
      </c>
      <c r="K7" s="14">
        <v>3</v>
      </c>
      <c r="L7" s="14">
        <v>3</v>
      </c>
      <c r="M7" s="14">
        <v>3</v>
      </c>
      <c r="N7" s="14">
        <v>3</v>
      </c>
      <c r="O7" s="14">
        <v>3</v>
      </c>
      <c r="P7" s="14">
        <v>3</v>
      </c>
      <c r="Q7" s="14">
        <v>3</v>
      </c>
      <c r="R7" s="14">
        <v>3</v>
      </c>
      <c r="S7" s="14">
        <v>3</v>
      </c>
      <c r="T7" s="14">
        <v>3</v>
      </c>
      <c r="U7" s="15">
        <f t="shared" si="0"/>
        <v>51</v>
      </c>
      <c r="V7" s="9"/>
    </row>
    <row r="8" spans="1:22" s="6" customFormat="1" ht="21" customHeight="1" x14ac:dyDescent="0.3">
      <c r="A8" s="14">
        <v>4</v>
      </c>
      <c r="B8" s="117" t="s">
        <v>5</v>
      </c>
      <c r="C8" s="117"/>
      <c r="D8" s="14">
        <v>1</v>
      </c>
      <c r="E8" s="14">
        <v>1</v>
      </c>
      <c r="F8" s="14">
        <v>1</v>
      </c>
      <c r="G8" s="14">
        <v>1</v>
      </c>
      <c r="H8" s="14">
        <v>1</v>
      </c>
      <c r="I8" s="14">
        <v>1</v>
      </c>
      <c r="J8" s="14">
        <v>1</v>
      </c>
      <c r="K8" s="14">
        <v>1</v>
      </c>
      <c r="L8" s="14">
        <v>1</v>
      </c>
      <c r="M8" s="14">
        <v>1</v>
      </c>
      <c r="N8" s="14">
        <v>1</v>
      </c>
      <c r="O8" s="14">
        <v>1</v>
      </c>
      <c r="P8" s="14">
        <v>1</v>
      </c>
      <c r="Q8" s="14">
        <v>1</v>
      </c>
      <c r="R8" s="14">
        <v>1</v>
      </c>
      <c r="S8" s="14">
        <v>1</v>
      </c>
      <c r="T8" s="14">
        <v>1</v>
      </c>
      <c r="U8" s="15">
        <f t="shared" si="0"/>
        <v>17</v>
      </c>
      <c r="V8" s="9"/>
    </row>
    <row r="9" spans="1:22" s="6" customFormat="1" ht="21" customHeight="1" x14ac:dyDescent="0.3">
      <c r="A9" s="121">
        <v>5</v>
      </c>
      <c r="B9" s="117" t="s">
        <v>8</v>
      </c>
      <c r="C9" s="16" t="s">
        <v>6</v>
      </c>
      <c r="D9" s="28">
        <v>2</v>
      </c>
      <c r="E9" s="28">
        <v>2</v>
      </c>
      <c r="F9" s="28">
        <v>2</v>
      </c>
      <c r="G9" s="28">
        <v>2</v>
      </c>
      <c r="H9" s="28">
        <v>2</v>
      </c>
      <c r="I9" s="28">
        <v>1</v>
      </c>
      <c r="J9" s="28">
        <v>1</v>
      </c>
      <c r="K9" s="28">
        <v>1</v>
      </c>
      <c r="L9" s="28">
        <v>1</v>
      </c>
      <c r="M9" s="28">
        <v>2</v>
      </c>
      <c r="N9" s="28">
        <v>2</v>
      </c>
      <c r="O9" s="28">
        <v>2</v>
      </c>
      <c r="P9" s="28">
        <v>2</v>
      </c>
      <c r="Q9" s="28">
        <v>1</v>
      </c>
      <c r="R9" s="28">
        <v>1</v>
      </c>
      <c r="S9" s="28">
        <v>1</v>
      </c>
      <c r="T9" s="28">
        <v>1</v>
      </c>
      <c r="U9" s="27">
        <f t="shared" si="0"/>
        <v>26</v>
      </c>
      <c r="V9" s="9"/>
    </row>
    <row r="10" spans="1:22" s="6" customFormat="1" ht="21" customHeight="1" x14ac:dyDescent="0.3">
      <c r="A10" s="121"/>
      <c r="B10" s="117"/>
      <c r="C10" s="16" t="s">
        <v>7</v>
      </c>
      <c r="D10" s="28">
        <v>1</v>
      </c>
      <c r="E10" s="28">
        <v>1</v>
      </c>
      <c r="F10" s="28">
        <v>1</v>
      </c>
      <c r="G10" s="28">
        <v>1</v>
      </c>
      <c r="H10" s="28">
        <v>1</v>
      </c>
      <c r="I10" s="28">
        <v>2</v>
      </c>
      <c r="J10" s="28">
        <v>2</v>
      </c>
      <c r="K10" s="28">
        <v>2</v>
      </c>
      <c r="L10" s="28">
        <v>2</v>
      </c>
      <c r="M10" s="28">
        <v>1</v>
      </c>
      <c r="N10" s="28">
        <v>1</v>
      </c>
      <c r="O10" s="28">
        <v>1</v>
      </c>
      <c r="P10" s="28">
        <v>1</v>
      </c>
      <c r="Q10" s="28">
        <v>2</v>
      </c>
      <c r="R10" s="28">
        <v>2</v>
      </c>
      <c r="S10" s="28">
        <v>2</v>
      </c>
      <c r="T10" s="28">
        <v>2</v>
      </c>
      <c r="U10" s="27">
        <f t="shared" si="0"/>
        <v>25</v>
      </c>
      <c r="V10" s="9"/>
    </row>
    <row r="11" spans="1:22" s="6" customFormat="1" ht="26.25" customHeight="1" x14ac:dyDescent="0.3">
      <c r="A11" s="121">
        <v>6</v>
      </c>
      <c r="B11" s="117" t="s">
        <v>9</v>
      </c>
      <c r="C11" s="16" t="s">
        <v>10</v>
      </c>
      <c r="D11" s="90">
        <v>1</v>
      </c>
      <c r="E11" s="90">
        <v>1</v>
      </c>
      <c r="F11" s="90">
        <v>1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1">
        <v>2</v>
      </c>
      <c r="M11" s="90">
        <v>2</v>
      </c>
      <c r="N11" s="90">
        <v>2</v>
      </c>
      <c r="O11" s="90">
        <v>2</v>
      </c>
      <c r="P11" s="90">
        <v>2</v>
      </c>
      <c r="Q11" s="90">
        <v>2</v>
      </c>
      <c r="R11" s="90">
        <v>2</v>
      </c>
      <c r="S11" s="90">
        <v>2</v>
      </c>
      <c r="T11" s="90">
        <v>2</v>
      </c>
      <c r="U11" s="92">
        <f>SUM(D11:T11)</f>
        <v>26</v>
      </c>
      <c r="V11" s="9"/>
    </row>
    <row r="12" spans="1:22" s="6" customFormat="1" ht="26.25" customHeight="1" x14ac:dyDescent="0.3">
      <c r="A12" s="121"/>
      <c r="B12" s="117"/>
      <c r="C12" s="16" t="s">
        <v>11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90">
        <v>1</v>
      </c>
      <c r="J12" s="90">
        <v>1</v>
      </c>
      <c r="K12" s="90">
        <v>1</v>
      </c>
      <c r="L12" s="90">
        <v>1</v>
      </c>
      <c r="M12" s="90">
        <v>1</v>
      </c>
      <c r="N12" s="90">
        <v>1</v>
      </c>
      <c r="O12" s="90">
        <v>1</v>
      </c>
      <c r="P12" s="90">
        <v>1</v>
      </c>
      <c r="Q12" s="90">
        <v>1</v>
      </c>
      <c r="R12" s="90">
        <v>1</v>
      </c>
      <c r="S12" s="90">
        <v>0</v>
      </c>
      <c r="T12" s="90">
        <v>2</v>
      </c>
      <c r="U12" s="92">
        <f t="shared" ref="U12:U13" si="1">SUM(D12:T12)</f>
        <v>17</v>
      </c>
      <c r="V12" s="9"/>
    </row>
    <row r="13" spans="1:22" s="6" customFormat="1" ht="26.25" customHeight="1" x14ac:dyDescent="0.3">
      <c r="A13" s="121"/>
      <c r="B13" s="117"/>
      <c r="C13" s="16" t="s">
        <v>12</v>
      </c>
      <c r="D13" s="90">
        <v>2</v>
      </c>
      <c r="E13" s="90">
        <v>2</v>
      </c>
      <c r="F13" s="90">
        <v>2</v>
      </c>
      <c r="G13" s="90">
        <v>2</v>
      </c>
      <c r="H13" s="90">
        <v>2</v>
      </c>
      <c r="I13" s="90">
        <v>2</v>
      </c>
      <c r="J13" s="90">
        <v>2</v>
      </c>
      <c r="K13" s="90">
        <v>2</v>
      </c>
      <c r="L13" s="90">
        <v>1</v>
      </c>
      <c r="M13" s="90">
        <v>1</v>
      </c>
      <c r="N13" s="90">
        <v>1</v>
      </c>
      <c r="O13" s="90">
        <v>1</v>
      </c>
      <c r="P13" s="90">
        <v>1</v>
      </c>
      <c r="Q13" s="90">
        <v>1</v>
      </c>
      <c r="R13" s="90">
        <v>1</v>
      </c>
      <c r="S13" s="91">
        <v>2</v>
      </c>
      <c r="T13" s="90">
        <v>0</v>
      </c>
      <c r="U13" s="92">
        <f t="shared" si="1"/>
        <v>25</v>
      </c>
      <c r="V13" s="9"/>
    </row>
    <row r="14" spans="1:22" s="6" customFormat="1" ht="21" customHeight="1" x14ac:dyDescent="0.3">
      <c r="A14" s="14">
        <v>7</v>
      </c>
      <c r="B14" s="117" t="s">
        <v>13</v>
      </c>
      <c r="C14" s="117"/>
      <c r="D14" s="14">
        <v>1</v>
      </c>
      <c r="E14" s="14">
        <v>1</v>
      </c>
      <c r="F14" s="14">
        <v>1</v>
      </c>
      <c r="G14" s="14">
        <v>1</v>
      </c>
      <c r="H14" s="14">
        <v>1</v>
      </c>
      <c r="I14" s="14">
        <v>1</v>
      </c>
      <c r="J14" s="14">
        <v>1</v>
      </c>
      <c r="K14" s="14">
        <v>1</v>
      </c>
      <c r="L14" s="14">
        <v>1</v>
      </c>
      <c r="M14" s="14">
        <v>1</v>
      </c>
      <c r="N14" s="14">
        <v>1</v>
      </c>
      <c r="O14" s="14">
        <v>1</v>
      </c>
      <c r="P14" s="14">
        <v>1</v>
      </c>
      <c r="Q14" s="14">
        <v>1</v>
      </c>
      <c r="R14" s="14">
        <v>1</v>
      </c>
      <c r="S14" s="14">
        <v>1</v>
      </c>
      <c r="T14" s="14">
        <v>1</v>
      </c>
      <c r="U14" s="15">
        <f t="shared" si="0"/>
        <v>17</v>
      </c>
      <c r="V14" s="9"/>
    </row>
    <row r="15" spans="1:22" s="6" customFormat="1" ht="21" customHeight="1" x14ac:dyDescent="0.3">
      <c r="A15" s="14">
        <v>8</v>
      </c>
      <c r="B15" s="117" t="s">
        <v>14</v>
      </c>
      <c r="C15" s="117"/>
      <c r="D15" s="14">
        <v>1</v>
      </c>
      <c r="E15" s="14">
        <v>1</v>
      </c>
      <c r="F15" s="14">
        <v>1</v>
      </c>
      <c r="G15" s="14">
        <v>1</v>
      </c>
      <c r="H15" s="14">
        <v>1</v>
      </c>
      <c r="I15" s="14">
        <v>1</v>
      </c>
      <c r="J15" s="14">
        <v>1</v>
      </c>
      <c r="K15" s="14">
        <v>1</v>
      </c>
      <c r="L15" s="14">
        <v>1</v>
      </c>
      <c r="M15" s="14">
        <v>1</v>
      </c>
      <c r="N15" s="14">
        <v>1</v>
      </c>
      <c r="O15" s="14">
        <v>1</v>
      </c>
      <c r="P15" s="14">
        <v>1</v>
      </c>
      <c r="Q15" s="14">
        <v>1</v>
      </c>
      <c r="R15" s="14">
        <v>1</v>
      </c>
      <c r="S15" s="14">
        <v>1</v>
      </c>
      <c r="T15" s="14">
        <v>1</v>
      </c>
      <c r="U15" s="15">
        <f t="shared" si="0"/>
        <v>17</v>
      </c>
      <c r="V15" s="9"/>
    </row>
    <row r="16" spans="1:22" s="6" customFormat="1" ht="21" customHeight="1" x14ac:dyDescent="0.3">
      <c r="A16" s="14">
        <v>9</v>
      </c>
      <c r="B16" s="117" t="s">
        <v>15</v>
      </c>
      <c r="C16" s="117"/>
      <c r="D16" s="14">
        <v>2</v>
      </c>
      <c r="E16" s="14">
        <v>2</v>
      </c>
      <c r="F16" s="14">
        <v>2</v>
      </c>
      <c r="G16" s="14">
        <v>2</v>
      </c>
      <c r="H16" s="14">
        <v>2</v>
      </c>
      <c r="I16" s="14">
        <v>2</v>
      </c>
      <c r="J16" s="14">
        <v>2</v>
      </c>
      <c r="K16" s="14">
        <v>2</v>
      </c>
      <c r="L16" s="14">
        <v>2</v>
      </c>
      <c r="M16" s="14">
        <v>2</v>
      </c>
      <c r="N16" s="14">
        <v>2</v>
      </c>
      <c r="O16" s="14">
        <v>2</v>
      </c>
      <c r="P16" s="14">
        <v>2</v>
      </c>
      <c r="Q16" s="14">
        <v>2</v>
      </c>
      <c r="R16" s="14">
        <v>2</v>
      </c>
      <c r="S16" s="14">
        <v>2</v>
      </c>
      <c r="T16" s="14">
        <v>2</v>
      </c>
      <c r="U16" s="15">
        <f t="shared" si="0"/>
        <v>34</v>
      </c>
      <c r="V16" s="9"/>
    </row>
    <row r="17" spans="1:22" s="6" customFormat="1" ht="21" customHeight="1" x14ac:dyDescent="0.3">
      <c r="A17" s="14">
        <v>10</v>
      </c>
      <c r="B17" s="117" t="s">
        <v>16</v>
      </c>
      <c r="C17" s="117"/>
      <c r="D17" s="14">
        <v>3</v>
      </c>
      <c r="E17" s="14">
        <v>3</v>
      </c>
      <c r="F17" s="14">
        <v>3</v>
      </c>
      <c r="G17" s="14">
        <v>3</v>
      </c>
      <c r="H17" s="14">
        <v>3</v>
      </c>
      <c r="I17" s="14">
        <v>3</v>
      </c>
      <c r="J17" s="14">
        <v>3</v>
      </c>
      <c r="K17" s="14">
        <v>3</v>
      </c>
      <c r="L17" s="14">
        <v>3</v>
      </c>
      <c r="M17" s="14">
        <v>3</v>
      </c>
      <c r="N17" s="14">
        <v>3</v>
      </c>
      <c r="O17" s="14">
        <v>3</v>
      </c>
      <c r="P17" s="14">
        <v>3</v>
      </c>
      <c r="Q17" s="14">
        <v>3</v>
      </c>
      <c r="R17" s="14">
        <v>3</v>
      </c>
      <c r="S17" s="14">
        <v>3</v>
      </c>
      <c r="T17" s="14">
        <v>3</v>
      </c>
      <c r="U17" s="15">
        <f t="shared" si="0"/>
        <v>51</v>
      </c>
      <c r="V17" s="9"/>
    </row>
    <row r="18" spans="1:22" s="6" customFormat="1" ht="21" customHeight="1" x14ac:dyDescent="0.3">
      <c r="A18" s="14">
        <v>11</v>
      </c>
      <c r="B18" s="115" t="s">
        <v>31</v>
      </c>
      <c r="C18" s="116"/>
      <c r="D18" s="14">
        <v>1</v>
      </c>
      <c r="E18" s="14">
        <v>1</v>
      </c>
      <c r="F18" s="14">
        <v>1</v>
      </c>
      <c r="G18" s="14">
        <v>1</v>
      </c>
      <c r="H18" s="14">
        <v>1</v>
      </c>
      <c r="I18" s="14">
        <v>1</v>
      </c>
      <c r="J18" s="14">
        <v>1</v>
      </c>
      <c r="K18" s="14">
        <v>1</v>
      </c>
      <c r="L18" s="14">
        <v>1</v>
      </c>
      <c r="M18" s="14">
        <v>1</v>
      </c>
      <c r="N18" s="14">
        <v>1</v>
      </c>
      <c r="O18" s="14">
        <v>1</v>
      </c>
      <c r="P18" s="14">
        <v>1</v>
      </c>
      <c r="Q18" s="14">
        <v>1</v>
      </c>
      <c r="R18" s="14">
        <v>1</v>
      </c>
      <c r="S18" s="14">
        <v>1</v>
      </c>
      <c r="T18" s="14">
        <v>1</v>
      </c>
      <c r="U18" s="15">
        <f t="shared" si="0"/>
        <v>17</v>
      </c>
      <c r="V18" s="9"/>
    </row>
    <row r="19" spans="1:22" s="6" customFormat="1" ht="21" customHeight="1" x14ac:dyDescent="0.3">
      <c r="A19" s="121">
        <v>12</v>
      </c>
      <c r="B19" s="117" t="s">
        <v>21</v>
      </c>
      <c r="C19" s="16" t="s">
        <v>25</v>
      </c>
      <c r="D19" s="14">
        <v>1</v>
      </c>
      <c r="E19" s="14">
        <v>1</v>
      </c>
      <c r="F19" s="14">
        <v>1</v>
      </c>
      <c r="G19" s="14">
        <v>1</v>
      </c>
      <c r="H19" s="14">
        <v>1</v>
      </c>
      <c r="I19" s="14">
        <v>1</v>
      </c>
      <c r="J19" s="14">
        <v>1</v>
      </c>
      <c r="K19" s="14">
        <v>1</v>
      </c>
      <c r="L19" s="14">
        <v>1</v>
      </c>
      <c r="M19" s="14">
        <v>1</v>
      </c>
      <c r="N19" s="14">
        <v>1</v>
      </c>
      <c r="O19" s="14">
        <v>1</v>
      </c>
      <c r="P19" s="14">
        <v>1</v>
      </c>
      <c r="Q19" s="14">
        <v>1</v>
      </c>
      <c r="R19" s="14">
        <v>1</v>
      </c>
      <c r="S19" s="14">
        <v>1</v>
      </c>
      <c r="T19" s="14">
        <v>1</v>
      </c>
      <c r="U19" s="15">
        <f t="shared" si="0"/>
        <v>17</v>
      </c>
      <c r="V19" s="9"/>
    </row>
    <row r="20" spans="1:22" s="6" customFormat="1" ht="21" customHeight="1" x14ac:dyDescent="0.3">
      <c r="A20" s="121"/>
      <c r="B20" s="117"/>
      <c r="C20" s="16" t="s">
        <v>23</v>
      </c>
      <c r="D20" s="14">
        <v>1</v>
      </c>
      <c r="E20" s="14">
        <v>1</v>
      </c>
      <c r="F20" s="14">
        <v>1</v>
      </c>
      <c r="G20" s="14">
        <v>1</v>
      </c>
      <c r="H20" s="14">
        <v>1</v>
      </c>
      <c r="I20" s="14">
        <v>1</v>
      </c>
      <c r="J20" s="14">
        <v>1</v>
      </c>
      <c r="K20" s="14">
        <v>1</v>
      </c>
      <c r="L20" s="14">
        <v>1</v>
      </c>
      <c r="M20" s="14">
        <v>1</v>
      </c>
      <c r="N20" s="14">
        <v>1</v>
      </c>
      <c r="O20" s="14">
        <v>1</v>
      </c>
      <c r="P20" s="14">
        <v>1</v>
      </c>
      <c r="Q20" s="14">
        <v>1</v>
      </c>
      <c r="R20" s="14">
        <v>1</v>
      </c>
      <c r="S20" s="14">
        <v>1</v>
      </c>
      <c r="T20" s="14">
        <v>1</v>
      </c>
      <c r="U20" s="15">
        <f t="shared" si="0"/>
        <v>17</v>
      </c>
      <c r="V20" s="9"/>
    </row>
    <row r="21" spans="1:22" s="7" customFormat="1" ht="30.75" customHeight="1" x14ac:dyDescent="0.3">
      <c r="A21" s="118" t="s">
        <v>20</v>
      </c>
      <c r="B21" s="118"/>
      <c r="C21" s="118"/>
      <c r="D21" s="11">
        <f t="shared" ref="D21:T21" si="2">SUM(D5:D20)</f>
        <v>29</v>
      </c>
      <c r="E21" s="11">
        <f t="shared" si="2"/>
        <v>29</v>
      </c>
      <c r="F21" s="11">
        <f t="shared" si="2"/>
        <v>29</v>
      </c>
      <c r="G21" s="11">
        <f t="shared" si="2"/>
        <v>29</v>
      </c>
      <c r="H21" s="11">
        <f t="shared" si="2"/>
        <v>29</v>
      </c>
      <c r="I21" s="11">
        <f t="shared" si="2"/>
        <v>29</v>
      </c>
      <c r="J21" s="11">
        <f t="shared" si="2"/>
        <v>29</v>
      </c>
      <c r="K21" s="11">
        <f t="shared" si="2"/>
        <v>29</v>
      </c>
      <c r="L21" s="11">
        <f t="shared" si="2"/>
        <v>29</v>
      </c>
      <c r="M21" s="11">
        <f t="shared" si="2"/>
        <v>29</v>
      </c>
      <c r="N21" s="11">
        <f t="shared" si="2"/>
        <v>29</v>
      </c>
      <c r="O21" s="11">
        <f t="shared" si="2"/>
        <v>29</v>
      </c>
      <c r="P21" s="11">
        <f t="shared" si="2"/>
        <v>29</v>
      </c>
      <c r="Q21" s="11">
        <f t="shared" si="2"/>
        <v>29</v>
      </c>
      <c r="R21" s="11">
        <f t="shared" si="2"/>
        <v>29</v>
      </c>
      <c r="S21" s="11">
        <f t="shared" si="2"/>
        <v>29</v>
      </c>
      <c r="T21" s="11">
        <f t="shared" si="2"/>
        <v>29</v>
      </c>
      <c r="U21" s="15">
        <f t="shared" si="0"/>
        <v>493</v>
      </c>
      <c r="V21" s="10"/>
    </row>
    <row r="22" spans="1:22" s="34" customFormat="1" ht="22.5" customHeight="1" x14ac:dyDescent="0.3">
      <c r="A22" s="119">
        <v>12</v>
      </c>
      <c r="B22" s="120" t="s">
        <v>17</v>
      </c>
      <c r="C22" s="32" t="s">
        <v>26</v>
      </c>
      <c r="D22" s="33"/>
      <c r="E22" s="33"/>
      <c r="F22" s="33"/>
      <c r="G22" s="33"/>
      <c r="H22" s="33"/>
      <c r="I22" s="33"/>
      <c r="J22" s="33"/>
      <c r="K22" s="33"/>
      <c r="L22" s="33">
        <v>3</v>
      </c>
      <c r="M22" s="33"/>
      <c r="N22" s="33"/>
      <c r="O22" s="33">
        <v>3</v>
      </c>
      <c r="P22" s="33"/>
      <c r="Q22" s="33"/>
      <c r="R22" s="33">
        <v>3</v>
      </c>
      <c r="S22" s="33">
        <v>2</v>
      </c>
      <c r="T22" s="41"/>
      <c r="U22" s="35">
        <f>SUM(D22:T22)</f>
        <v>11</v>
      </c>
      <c r="V22" s="42"/>
    </row>
    <row r="23" spans="1:22" s="34" customFormat="1" ht="22.5" customHeight="1" x14ac:dyDescent="0.3">
      <c r="A23" s="119"/>
      <c r="B23" s="120"/>
      <c r="C23" s="32" t="s">
        <v>27</v>
      </c>
      <c r="D23" s="33"/>
      <c r="E23" s="33"/>
      <c r="F23" s="33">
        <v>3</v>
      </c>
      <c r="G23" s="33"/>
      <c r="H23" s="33"/>
      <c r="I23" s="41">
        <v>3</v>
      </c>
      <c r="J23" s="33"/>
      <c r="K23" s="40"/>
      <c r="L23" s="33"/>
      <c r="M23" s="40"/>
      <c r="N23" s="33"/>
      <c r="O23" s="33"/>
      <c r="P23" s="33"/>
      <c r="Q23" s="33"/>
      <c r="R23" s="33"/>
      <c r="S23" s="33"/>
      <c r="T23" s="40"/>
      <c r="U23" s="35">
        <f>SUM(D23:T23)</f>
        <v>6</v>
      </c>
      <c r="V23" s="42"/>
    </row>
    <row r="24" spans="1:22" s="34" customFormat="1" ht="21" customHeight="1" x14ac:dyDescent="0.3">
      <c r="A24" s="31"/>
      <c r="B24" s="32" t="s">
        <v>29</v>
      </c>
      <c r="C24" s="32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2"/>
      <c r="V24" s="43"/>
    </row>
    <row r="25" spans="1:22" s="2" customFormat="1" ht="21" customHeight="1" x14ac:dyDescent="0.3">
      <c r="A25" s="5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V25" s="3"/>
    </row>
    <row r="26" spans="1:22" ht="21" customHeight="1" x14ac:dyDescent="0.3"/>
    <row r="27" spans="1:22" ht="21" customHeight="1" x14ac:dyDescent="0.3"/>
    <row r="28" spans="1:22" ht="21" customHeight="1" x14ac:dyDescent="0.3"/>
    <row r="29" spans="1:22" ht="21" customHeight="1" x14ac:dyDescent="0.3"/>
  </sheetData>
  <mergeCells count="23">
    <mergeCell ref="A22:A23"/>
    <mergeCell ref="B22:B23"/>
    <mergeCell ref="B5:C5"/>
    <mergeCell ref="A19:A20"/>
    <mergeCell ref="B19:B20"/>
    <mergeCell ref="A21:C21"/>
    <mergeCell ref="B6:C6"/>
    <mergeCell ref="B7:C7"/>
    <mergeCell ref="B8:C8"/>
    <mergeCell ref="A9:A10"/>
    <mergeCell ref="B9:B10"/>
    <mergeCell ref="A11:A13"/>
    <mergeCell ref="B11:B13"/>
    <mergeCell ref="B14:C14"/>
    <mergeCell ref="B15:C15"/>
    <mergeCell ref="B16:C16"/>
    <mergeCell ref="B18:C18"/>
    <mergeCell ref="B17:C17"/>
    <mergeCell ref="A1:U1"/>
    <mergeCell ref="A3:A4"/>
    <mergeCell ref="B3:C4"/>
    <mergeCell ref="D3:T3"/>
    <mergeCell ref="U3:U4"/>
  </mergeCells>
  <pageMargins left="0.37" right="0.19" top="0.91" bottom="0.47" header="0.3" footer="0.3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28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:U20"/>
    </sheetView>
  </sheetViews>
  <sheetFormatPr defaultColWidth="9.109375" defaultRowHeight="14.4" x14ac:dyDescent="0.3"/>
  <cols>
    <col min="1" max="1" width="5.44140625" style="21" customWidth="1"/>
    <col min="2" max="2" width="9.88671875" style="22" customWidth="1"/>
    <col min="3" max="3" width="10.33203125" style="22" customWidth="1"/>
    <col min="4" max="21" width="6" style="23" customWidth="1"/>
    <col min="22" max="22" width="7.5546875" style="22" customWidth="1"/>
    <col min="23" max="23" width="9.109375" style="23"/>
    <col min="24" max="16384" width="9.109375" style="22"/>
  </cols>
  <sheetData>
    <row r="1" spans="1:23" ht="26.25" customHeight="1" x14ac:dyDescent="0.3">
      <c r="A1" s="125" t="s">
        <v>37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</row>
    <row r="2" spans="1:23" ht="10.5" customHeight="1" x14ac:dyDescent="0.3"/>
    <row r="3" spans="1:23" s="12" customFormat="1" ht="21" customHeight="1" x14ac:dyDescent="0.3">
      <c r="A3" s="118" t="s">
        <v>0</v>
      </c>
      <c r="B3" s="118" t="s">
        <v>1</v>
      </c>
      <c r="C3" s="118"/>
      <c r="D3" s="118" t="s">
        <v>19</v>
      </c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 t="s">
        <v>18</v>
      </c>
      <c r="W3" s="24"/>
    </row>
    <row r="4" spans="1:23" s="13" customFormat="1" ht="21" customHeight="1" x14ac:dyDescent="0.3">
      <c r="A4" s="118"/>
      <c r="B4" s="118"/>
      <c r="C4" s="118"/>
      <c r="D4" s="11">
        <v>1</v>
      </c>
      <c r="E4" s="11">
        <v>2</v>
      </c>
      <c r="F4" s="11">
        <v>3</v>
      </c>
      <c r="G4" s="11">
        <v>4</v>
      </c>
      <c r="H4" s="11">
        <v>5</v>
      </c>
      <c r="I4" s="11">
        <v>6</v>
      </c>
      <c r="J4" s="11">
        <v>7</v>
      </c>
      <c r="K4" s="11">
        <v>8</v>
      </c>
      <c r="L4" s="11">
        <v>9</v>
      </c>
      <c r="M4" s="11">
        <v>10</v>
      </c>
      <c r="N4" s="11">
        <v>11</v>
      </c>
      <c r="O4" s="11">
        <v>12</v>
      </c>
      <c r="P4" s="11">
        <v>13</v>
      </c>
      <c r="Q4" s="11">
        <v>14</v>
      </c>
      <c r="R4" s="11">
        <v>15</v>
      </c>
      <c r="S4" s="11">
        <v>16</v>
      </c>
      <c r="T4" s="11">
        <v>17</v>
      </c>
      <c r="U4" s="11">
        <v>18</v>
      </c>
      <c r="V4" s="118"/>
      <c r="W4" s="25"/>
    </row>
    <row r="5" spans="1:23" s="12" customFormat="1" ht="18" customHeight="1" x14ac:dyDescent="0.3">
      <c r="A5" s="14">
        <v>1</v>
      </c>
      <c r="B5" s="117" t="s">
        <v>3</v>
      </c>
      <c r="C5" s="117"/>
      <c r="D5" s="54">
        <v>4</v>
      </c>
      <c r="E5" s="54">
        <v>4</v>
      </c>
      <c r="F5" s="54">
        <v>4</v>
      </c>
      <c r="G5" s="54">
        <v>4</v>
      </c>
      <c r="H5" s="54">
        <v>4</v>
      </c>
      <c r="I5" s="54">
        <v>4</v>
      </c>
      <c r="J5" s="54">
        <v>4</v>
      </c>
      <c r="K5" s="54">
        <v>4</v>
      </c>
      <c r="L5" s="54">
        <v>4</v>
      </c>
      <c r="M5" s="54">
        <v>4</v>
      </c>
      <c r="N5" s="54">
        <v>4</v>
      </c>
      <c r="O5" s="54">
        <v>4</v>
      </c>
      <c r="P5" s="54">
        <v>4</v>
      </c>
      <c r="Q5" s="54">
        <v>4</v>
      </c>
      <c r="R5" s="54">
        <v>4</v>
      </c>
      <c r="S5" s="54">
        <v>4</v>
      </c>
      <c r="T5" s="54">
        <v>4</v>
      </c>
      <c r="U5" s="54">
        <v>4</v>
      </c>
      <c r="V5" s="15">
        <f>SUM(D5:U5)</f>
        <v>72</v>
      </c>
      <c r="W5" s="24"/>
    </row>
    <row r="6" spans="1:23" s="12" customFormat="1" ht="18" customHeight="1" x14ac:dyDescent="0.3">
      <c r="A6" s="14">
        <v>2</v>
      </c>
      <c r="B6" s="117" t="s">
        <v>2</v>
      </c>
      <c r="C6" s="117"/>
      <c r="D6" s="54">
        <v>4</v>
      </c>
      <c r="E6" s="54">
        <v>4</v>
      </c>
      <c r="F6" s="54">
        <v>4</v>
      </c>
      <c r="G6" s="54">
        <v>4</v>
      </c>
      <c r="H6" s="54">
        <v>4</v>
      </c>
      <c r="I6" s="54">
        <v>4</v>
      </c>
      <c r="J6" s="54">
        <v>4</v>
      </c>
      <c r="K6" s="54">
        <v>4</v>
      </c>
      <c r="L6" s="54">
        <v>4</v>
      </c>
      <c r="M6" s="54">
        <v>4</v>
      </c>
      <c r="N6" s="54">
        <v>4</v>
      </c>
      <c r="O6" s="54">
        <v>4</v>
      </c>
      <c r="P6" s="54">
        <v>4</v>
      </c>
      <c r="Q6" s="54">
        <v>4</v>
      </c>
      <c r="R6" s="54">
        <v>4</v>
      </c>
      <c r="S6" s="54">
        <v>4</v>
      </c>
      <c r="T6" s="54">
        <v>4</v>
      </c>
      <c r="U6" s="54">
        <v>4</v>
      </c>
      <c r="V6" s="15">
        <f t="shared" ref="V6:V20" si="0">SUM(D6:U6)</f>
        <v>72</v>
      </c>
      <c r="W6" s="24"/>
    </row>
    <row r="7" spans="1:23" s="12" customFormat="1" ht="18" customHeight="1" x14ac:dyDescent="0.3">
      <c r="A7" s="14">
        <v>3</v>
      </c>
      <c r="B7" s="117" t="s">
        <v>4</v>
      </c>
      <c r="C7" s="117"/>
      <c r="D7" s="54">
        <v>3</v>
      </c>
      <c r="E7" s="54">
        <v>3</v>
      </c>
      <c r="F7" s="54">
        <v>3</v>
      </c>
      <c r="G7" s="54">
        <v>3</v>
      </c>
      <c r="H7" s="54">
        <v>3</v>
      </c>
      <c r="I7" s="54">
        <v>3</v>
      </c>
      <c r="J7" s="54">
        <v>3</v>
      </c>
      <c r="K7" s="54">
        <v>3</v>
      </c>
      <c r="L7" s="54">
        <v>3</v>
      </c>
      <c r="M7" s="54">
        <v>3</v>
      </c>
      <c r="N7" s="54">
        <v>3</v>
      </c>
      <c r="O7" s="54">
        <v>3</v>
      </c>
      <c r="P7" s="54">
        <v>3</v>
      </c>
      <c r="Q7" s="54">
        <v>3</v>
      </c>
      <c r="R7" s="54">
        <v>3</v>
      </c>
      <c r="S7" s="54">
        <v>3</v>
      </c>
      <c r="T7" s="54">
        <v>3</v>
      </c>
      <c r="U7" s="54">
        <v>3</v>
      </c>
      <c r="V7" s="15">
        <f t="shared" si="0"/>
        <v>54</v>
      </c>
      <c r="W7" s="24"/>
    </row>
    <row r="8" spans="1:23" s="12" customFormat="1" ht="18" customHeight="1" x14ac:dyDescent="0.3">
      <c r="A8" s="14">
        <v>4</v>
      </c>
      <c r="B8" s="117" t="s">
        <v>5</v>
      </c>
      <c r="C8" s="117"/>
      <c r="D8" s="54">
        <v>1</v>
      </c>
      <c r="E8" s="54">
        <v>1</v>
      </c>
      <c r="F8" s="54">
        <v>1</v>
      </c>
      <c r="G8" s="54">
        <v>1</v>
      </c>
      <c r="H8" s="54">
        <v>1</v>
      </c>
      <c r="I8" s="54">
        <v>1</v>
      </c>
      <c r="J8" s="54">
        <v>1</v>
      </c>
      <c r="K8" s="54">
        <v>1</v>
      </c>
      <c r="L8" s="54">
        <v>1</v>
      </c>
      <c r="M8" s="54">
        <v>1</v>
      </c>
      <c r="N8" s="54">
        <v>1</v>
      </c>
      <c r="O8" s="54">
        <v>1</v>
      </c>
      <c r="P8" s="54">
        <v>1</v>
      </c>
      <c r="Q8" s="54">
        <v>1</v>
      </c>
      <c r="R8" s="54">
        <v>1</v>
      </c>
      <c r="S8" s="54">
        <v>1</v>
      </c>
      <c r="T8" s="54">
        <v>1</v>
      </c>
      <c r="U8" s="54">
        <v>1</v>
      </c>
      <c r="V8" s="15">
        <f t="shared" si="0"/>
        <v>18</v>
      </c>
      <c r="W8" s="24"/>
    </row>
    <row r="9" spans="1:23" s="12" customFormat="1" ht="18" customHeight="1" x14ac:dyDescent="0.3">
      <c r="A9" s="121">
        <v>5</v>
      </c>
      <c r="B9" s="117" t="s">
        <v>8</v>
      </c>
      <c r="C9" s="16" t="s">
        <v>6</v>
      </c>
      <c r="D9" s="28">
        <v>1</v>
      </c>
      <c r="E9" s="28">
        <v>1</v>
      </c>
      <c r="F9" s="28">
        <v>1</v>
      </c>
      <c r="G9" s="28">
        <v>1</v>
      </c>
      <c r="H9" s="28">
        <v>1</v>
      </c>
      <c r="I9" s="28">
        <v>2</v>
      </c>
      <c r="J9" s="28">
        <v>2</v>
      </c>
      <c r="K9" s="28">
        <v>2</v>
      </c>
      <c r="L9" s="28">
        <v>2</v>
      </c>
      <c r="M9" s="28">
        <v>2</v>
      </c>
      <c r="N9" s="28">
        <v>1</v>
      </c>
      <c r="O9" s="28">
        <v>1</v>
      </c>
      <c r="P9" s="28">
        <v>1</v>
      </c>
      <c r="Q9" s="28">
        <v>1</v>
      </c>
      <c r="R9" s="28">
        <v>2</v>
      </c>
      <c r="S9" s="28">
        <v>2</v>
      </c>
      <c r="T9" s="28">
        <v>2</v>
      </c>
      <c r="U9" s="28">
        <v>2</v>
      </c>
      <c r="V9" s="27">
        <f t="shared" si="0"/>
        <v>27</v>
      </c>
      <c r="W9" s="24"/>
    </row>
    <row r="10" spans="1:23" s="12" customFormat="1" ht="18" customHeight="1" x14ac:dyDescent="0.3">
      <c r="A10" s="121"/>
      <c r="B10" s="117"/>
      <c r="C10" s="16" t="s">
        <v>7</v>
      </c>
      <c r="D10" s="28">
        <v>2</v>
      </c>
      <c r="E10" s="28">
        <v>2</v>
      </c>
      <c r="F10" s="28">
        <v>2</v>
      </c>
      <c r="G10" s="28">
        <v>2</v>
      </c>
      <c r="H10" s="28">
        <v>2</v>
      </c>
      <c r="I10" s="28">
        <v>1</v>
      </c>
      <c r="J10" s="28">
        <v>1</v>
      </c>
      <c r="K10" s="28">
        <v>1</v>
      </c>
      <c r="L10" s="28">
        <v>1</v>
      </c>
      <c r="M10" s="28">
        <v>1</v>
      </c>
      <c r="N10" s="28">
        <v>2</v>
      </c>
      <c r="O10" s="28">
        <v>2</v>
      </c>
      <c r="P10" s="28">
        <v>2</v>
      </c>
      <c r="Q10" s="28">
        <v>2</v>
      </c>
      <c r="R10" s="28">
        <v>1</v>
      </c>
      <c r="S10" s="28">
        <v>1</v>
      </c>
      <c r="T10" s="28">
        <v>1</v>
      </c>
      <c r="U10" s="28">
        <v>1</v>
      </c>
      <c r="V10" s="27">
        <f t="shared" si="0"/>
        <v>27</v>
      </c>
      <c r="W10" s="24"/>
    </row>
    <row r="11" spans="1:23" s="24" customFormat="1" ht="18" customHeight="1" x14ac:dyDescent="0.3">
      <c r="A11" s="121">
        <v>6</v>
      </c>
      <c r="B11" s="121" t="s">
        <v>9</v>
      </c>
      <c r="C11" s="14" t="s">
        <v>10</v>
      </c>
      <c r="D11" s="90">
        <v>1</v>
      </c>
      <c r="E11" s="90">
        <v>2</v>
      </c>
      <c r="F11" s="90">
        <v>2</v>
      </c>
      <c r="G11" s="90">
        <v>2</v>
      </c>
      <c r="H11" s="90">
        <v>2</v>
      </c>
      <c r="I11" s="90">
        <v>2</v>
      </c>
      <c r="J11" s="90">
        <v>2</v>
      </c>
      <c r="K11" s="90">
        <v>2</v>
      </c>
      <c r="L11" s="90">
        <v>2</v>
      </c>
      <c r="M11" s="90">
        <v>2</v>
      </c>
      <c r="N11" s="90">
        <v>1</v>
      </c>
      <c r="O11" s="90">
        <v>1</v>
      </c>
      <c r="P11" s="90">
        <v>1</v>
      </c>
      <c r="Q11" s="90">
        <v>1</v>
      </c>
      <c r="R11" s="90">
        <v>1</v>
      </c>
      <c r="S11" s="90">
        <v>1</v>
      </c>
      <c r="T11" s="91">
        <v>2</v>
      </c>
      <c r="U11" s="90">
        <v>0</v>
      </c>
      <c r="V11" s="106">
        <f>SUM(D11:U11)</f>
        <v>27</v>
      </c>
    </row>
    <row r="12" spans="1:23" s="24" customFormat="1" ht="18" customHeight="1" x14ac:dyDescent="0.3">
      <c r="A12" s="121"/>
      <c r="B12" s="121"/>
      <c r="C12" s="14" t="s">
        <v>11</v>
      </c>
      <c r="D12" s="90">
        <v>3</v>
      </c>
      <c r="E12" s="90">
        <v>2</v>
      </c>
      <c r="F12" s="90">
        <v>2</v>
      </c>
      <c r="G12" s="90">
        <v>2</v>
      </c>
      <c r="H12" s="90">
        <v>2</v>
      </c>
      <c r="I12" s="90">
        <v>2</v>
      </c>
      <c r="J12" s="90">
        <v>2</v>
      </c>
      <c r="K12" s="90">
        <v>2</v>
      </c>
      <c r="L12" s="90">
        <v>1</v>
      </c>
      <c r="M12" s="91">
        <v>2</v>
      </c>
      <c r="N12" s="90">
        <v>1</v>
      </c>
      <c r="O12" s="90">
        <v>1</v>
      </c>
      <c r="P12" s="90">
        <v>1</v>
      </c>
      <c r="Q12" s="90">
        <v>1</v>
      </c>
      <c r="R12" s="90">
        <v>1</v>
      </c>
      <c r="S12" s="90">
        <v>1</v>
      </c>
      <c r="T12" s="90">
        <v>0</v>
      </c>
      <c r="U12" s="90">
        <v>2</v>
      </c>
      <c r="V12" s="106">
        <f t="shared" ref="V12:V13" si="1">SUM(D12:U12)</f>
        <v>28</v>
      </c>
    </row>
    <row r="13" spans="1:23" s="24" customFormat="1" ht="18" customHeight="1" x14ac:dyDescent="0.3">
      <c r="A13" s="121"/>
      <c r="B13" s="121"/>
      <c r="C13" s="14" t="s">
        <v>12</v>
      </c>
      <c r="D13" s="90"/>
      <c r="E13" s="90"/>
      <c r="F13" s="90"/>
      <c r="G13" s="90"/>
      <c r="H13" s="90"/>
      <c r="I13" s="90"/>
      <c r="J13" s="90"/>
      <c r="K13" s="90"/>
      <c r="L13" s="90">
        <v>1</v>
      </c>
      <c r="M13" s="90">
        <v>0</v>
      </c>
      <c r="N13" s="90">
        <v>2</v>
      </c>
      <c r="O13" s="90">
        <v>2</v>
      </c>
      <c r="P13" s="90">
        <v>2</v>
      </c>
      <c r="Q13" s="90">
        <v>2</v>
      </c>
      <c r="R13" s="90">
        <v>2</v>
      </c>
      <c r="S13" s="90">
        <v>2</v>
      </c>
      <c r="T13" s="90">
        <v>2</v>
      </c>
      <c r="U13" s="90">
        <v>2</v>
      </c>
      <c r="V13" s="106">
        <f t="shared" si="1"/>
        <v>17</v>
      </c>
    </row>
    <row r="14" spans="1:23" s="12" customFormat="1" ht="18" customHeight="1" x14ac:dyDescent="0.3">
      <c r="A14" s="14">
        <v>7</v>
      </c>
      <c r="B14" s="117" t="s">
        <v>13</v>
      </c>
      <c r="C14" s="117"/>
      <c r="D14" s="54">
        <v>2</v>
      </c>
      <c r="E14" s="54">
        <v>2</v>
      </c>
      <c r="F14" s="54">
        <v>2</v>
      </c>
      <c r="G14" s="54">
        <v>2</v>
      </c>
      <c r="H14" s="54">
        <v>2</v>
      </c>
      <c r="I14" s="54">
        <v>2</v>
      </c>
      <c r="J14" s="54">
        <v>2</v>
      </c>
      <c r="K14" s="54">
        <v>2</v>
      </c>
      <c r="L14" s="54">
        <v>2</v>
      </c>
      <c r="M14" s="54">
        <v>1</v>
      </c>
      <c r="N14" s="54">
        <v>1</v>
      </c>
      <c r="O14" s="54">
        <v>1</v>
      </c>
      <c r="P14" s="54">
        <v>1</v>
      </c>
      <c r="Q14" s="54">
        <v>1</v>
      </c>
      <c r="R14" s="54">
        <v>1</v>
      </c>
      <c r="S14" s="54">
        <v>1</v>
      </c>
      <c r="T14" s="54">
        <v>1</v>
      </c>
      <c r="U14" s="54">
        <v>1</v>
      </c>
      <c r="V14" s="15">
        <f t="shared" si="0"/>
        <v>27</v>
      </c>
      <c r="W14" s="24"/>
    </row>
    <row r="15" spans="1:23" s="12" customFormat="1" ht="18" customHeight="1" x14ac:dyDescent="0.3">
      <c r="A15" s="14">
        <v>8</v>
      </c>
      <c r="B15" s="117" t="s">
        <v>14</v>
      </c>
      <c r="C15" s="117"/>
      <c r="D15" s="54">
        <v>1</v>
      </c>
      <c r="E15" s="54">
        <v>1</v>
      </c>
      <c r="F15" s="54">
        <v>1</v>
      </c>
      <c r="G15" s="54">
        <v>1</v>
      </c>
      <c r="H15" s="54">
        <v>1</v>
      </c>
      <c r="I15" s="54">
        <v>1</v>
      </c>
      <c r="J15" s="54">
        <v>1</v>
      </c>
      <c r="K15" s="54">
        <v>1</v>
      </c>
      <c r="L15" s="54">
        <v>1</v>
      </c>
      <c r="M15" s="54">
        <v>1</v>
      </c>
      <c r="N15" s="54">
        <v>1</v>
      </c>
      <c r="O15" s="54">
        <v>1</v>
      </c>
      <c r="P15" s="54">
        <v>1</v>
      </c>
      <c r="Q15" s="54">
        <v>1</v>
      </c>
      <c r="R15" s="54">
        <v>1</v>
      </c>
      <c r="S15" s="54">
        <v>1</v>
      </c>
      <c r="T15" s="54">
        <v>1</v>
      </c>
      <c r="U15" s="54">
        <v>1</v>
      </c>
      <c r="V15" s="15">
        <f t="shared" si="0"/>
        <v>18</v>
      </c>
      <c r="W15" s="24"/>
    </row>
    <row r="16" spans="1:23" s="12" customFormat="1" ht="18" customHeight="1" x14ac:dyDescent="0.3">
      <c r="A16" s="14">
        <v>9</v>
      </c>
      <c r="B16" s="117" t="s">
        <v>15</v>
      </c>
      <c r="C16" s="117"/>
      <c r="D16" s="54">
        <v>2</v>
      </c>
      <c r="E16" s="54">
        <v>2</v>
      </c>
      <c r="F16" s="54">
        <v>2</v>
      </c>
      <c r="G16" s="54">
        <v>2</v>
      </c>
      <c r="H16" s="54">
        <v>2</v>
      </c>
      <c r="I16" s="54">
        <v>2</v>
      </c>
      <c r="J16" s="54">
        <v>2</v>
      </c>
      <c r="K16" s="54">
        <v>2</v>
      </c>
      <c r="L16" s="54">
        <v>2</v>
      </c>
      <c r="M16" s="54">
        <v>2</v>
      </c>
      <c r="N16" s="54">
        <v>2</v>
      </c>
      <c r="O16" s="54">
        <v>2</v>
      </c>
      <c r="P16" s="54">
        <v>2</v>
      </c>
      <c r="Q16" s="54">
        <v>2</v>
      </c>
      <c r="R16" s="54">
        <v>2</v>
      </c>
      <c r="S16" s="54">
        <v>2</v>
      </c>
      <c r="T16" s="54">
        <v>2</v>
      </c>
      <c r="U16" s="54">
        <v>2</v>
      </c>
      <c r="V16" s="15">
        <f t="shared" si="0"/>
        <v>36</v>
      </c>
      <c r="W16" s="24"/>
    </row>
    <row r="17" spans="1:23" s="12" customFormat="1" ht="18" customHeight="1" x14ac:dyDescent="0.3">
      <c r="A17" s="14">
        <v>10</v>
      </c>
      <c r="B17" s="117" t="s">
        <v>16</v>
      </c>
      <c r="C17" s="117"/>
      <c r="D17" s="54">
        <v>3</v>
      </c>
      <c r="E17" s="54">
        <v>3</v>
      </c>
      <c r="F17" s="54">
        <v>3</v>
      </c>
      <c r="G17" s="54">
        <v>3</v>
      </c>
      <c r="H17" s="54">
        <v>3</v>
      </c>
      <c r="I17" s="54">
        <v>3</v>
      </c>
      <c r="J17" s="54">
        <v>3</v>
      </c>
      <c r="K17" s="54">
        <v>3</v>
      </c>
      <c r="L17" s="54">
        <v>3</v>
      </c>
      <c r="M17" s="54">
        <v>3</v>
      </c>
      <c r="N17" s="54">
        <v>3</v>
      </c>
      <c r="O17" s="54">
        <v>3</v>
      </c>
      <c r="P17" s="54">
        <v>3</v>
      </c>
      <c r="Q17" s="54">
        <v>3</v>
      </c>
      <c r="R17" s="54">
        <v>3</v>
      </c>
      <c r="S17" s="54">
        <v>3</v>
      </c>
      <c r="T17" s="54">
        <v>3</v>
      </c>
      <c r="U17" s="54">
        <v>3</v>
      </c>
      <c r="V17" s="15">
        <f t="shared" si="0"/>
        <v>54</v>
      </c>
      <c r="W17" s="24"/>
    </row>
    <row r="18" spans="1:23" s="6" customFormat="1" ht="18" customHeight="1" x14ac:dyDescent="0.3">
      <c r="A18" s="14">
        <v>11</v>
      </c>
      <c r="B18" s="117" t="s">
        <v>17</v>
      </c>
      <c r="C18" s="117"/>
      <c r="D18" s="54">
        <v>1</v>
      </c>
      <c r="E18" s="54">
        <v>1</v>
      </c>
      <c r="F18" s="54">
        <v>1</v>
      </c>
      <c r="G18" s="54">
        <v>1</v>
      </c>
      <c r="H18" s="54">
        <v>1</v>
      </c>
      <c r="I18" s="54">
        <v>1</v>
      </c>
      <c r="J18" s="54">
        <v>1</v>
      </c>
      <c r="K18" s="54">
        <v>1</v>
      </c>
      <c r="L18" s="54">
        <v>1</v>
      </c>
      <c r="M18" s="54">
        <v>1</v>
      </c>
      <c r="N18" s="54">
        <v>1</v>
      </c>
      <c r="O18" s="54">
        <v>1</v>
      </c>
      <c r="P18" s="54">
        <v>1</v>
      </c>
      <c r="Q18" s="54">
        <v>1</v>
      </c>
      <c r="R18" s="54">
        <v>1</v>
      </c>
      <c r="S18" s="54">
        <v>1</v>
      </c>
      <c r="T18" s="54">
        <v>1</v>
      </c>
      <c r="U18" s="54">
        <v>1</v>
      </c>
      <c r="V18" s="15">
        <f t="shared" si="0"/>
        <v>18</v>
      </c>
    </row>
    <row r="19" spans="1:23" s="12" customFormat="1" ht="18" customHeight="1" x14ac:dyDescent="0.3">
      <c r="A19" s="122">
        <v>12</v>
      </c>
      <c r="B19" s="117" t="s">
        <v>21</v>
      </c>
      <c r="C19" s="16" t="s">
        <v>25</v>
      </c>
      <c r="D19" s="54">
        <v>1</v>
      </c>
      <c r="E19" s="54">
        <v>1</v>
      </c>
      <c r="F19" s="54">
        <v>1</v>
      </c>
      <c r="G19" s="54">
        <v>1</v>
      </c>
      <c r="H19" s="54">
        <v>1</v>
      </c>
      <c r="I19" s="54">
        <v>1</v>
      </c>
      <c r="J19" s="54">
        <v>1</v>
      </c>
      <c r="K19" s="54">
        <v>1</v>
      </c>
      <c r="L19" s="54">
        <v>1</v>
      </c>
      <c r="M19" s="54">
        <v>1</v>
      </c>
      <c r="N19" s="54">
        <v>1</v>
      </c>
      <c r="O19" s="54">
        <v>1</v>
      </c>
      <c r="P19" s="54">
        <v>1</v>
      </c>
      <c r="Q19" s="54">
        <v>1</v>
      </c>
      <c r="R19" s="54">
        <v>1</v>
      </c>
      <c r="S19" s="54">
        <v>1</v>
      </c>
      <c r="T19" s="54">
        <v>1</v>
      </c>
      <c r="U19" s="54">
        <v>1</v>
      </c>
      <c r="V19" s="15">
        <f t="shared" si="0"/>
        <v>18</v>
      </c>
      <c r="W19" s="24"/>
    </row>
    <row r="20" spans="1:23" s="12" customFormat="1" ht="18" customHeight="1" x14ac:dyDescent="0.3">
      <c r="A20" s="126"/>
      <c r="B20" s="117"/>
      <c r="C20" s="16" t="s">
        <v>23</v>
      </c>
      <c r="D20" s="54">
        <v>1</v>
      </c>
      <c r="E20" s="54">
        <v>1</v>
      </c>
      <c r="F20" s="54">
        <v>1</v>
      </c>
      <c r="G20" s="54">
        <v>1</v>
      </c>
      <c r="H20" s="54">
        <v>1</v>
      </c>
      <c r="I20" s="54">
        <v>1</v>
      </c>
      <c r="J20" s="54">
        <v>1</v>
      </c>
      <c r="K20" s="54">
        <v>1</v>
      </c>
      <c r="L20" s="54">
        <v>1</v>
      </c>
      <c r="M20" s="54">
        <v>1</v>
      </c>
      <c r="N20" s="54">
        <v>1</v>
      </c>
      <c r="O20" s="54">
        <v>1</v>
      </c>
      <c r="P20" s="54">
        <v>1</v>
      </c>
      <c r="Q20" s="54">
        <v>1</v>
      </c>
      <c r="R20" s="54">
        <v>1</v>
      </c>
      <c r="S20" s="54">
        <v>1</v>
      </c>
      <c r="T20" s="54">
        <v>1</v>
      </c>
      <c r="U20" s="54">
        <v>1</v>
      </c>
      <c r="V20" s="15">
        <f t="shared" si="0"/>
        <v>18</v>
      </c>
      <c r="W20" s="24"/>
    </row>
    <row r="21" spans="1:23" s="13" customFormat="1" ht="18" customHeight="1" x14ac:dyDescent="0.3">
      <c r="A21" s="118" t="s">
        <v>20</v>
      </c>
      <c r="B21" s="118"/>
      <c r="C21" s="118"/>
      <c r="D21" s="11">
        <f>SUM(D5:D20)</f>
        <v>30</v>
      </c>
      <c r="E21" s="11">
        <f t="shared" ref="E21:U21" si="2">SUM(E5:E20)</f>
        <v>30</v>
      </c>
      <c r="F21" s="11">
        <f t="shared" si="2"/>
        <v>30</v>
      </c>
      <c r="G21" s="11">
        <f t="shared" si="2"/>
        <v>30</v>
      </c>
      <c r="H21" s="11">
        <f t="shared" si="2"/>
        <v>30</v>
      </c>
      <c r="I21" s="11">
        <f t="shared" si="2"/>
        <v>30</v>
      </c>
      <c r="J21" s="11">
        <f t="shared" si="2"/>
        <v>30</v>
      </c>
      <c r="K21" s="11">
        <f t="shared" si="2"/>
        <v>30</v>
      </c>
      <c r="L21" s="11">
        <f t="shared" si="2"/>
        <v>30</v>
      </c>
      <c r="M21" s="11">
        <f t="shared" si="2"/>
        <v>29</v>
      </c>
      <c r="N21" s="11">
        <f t="shared" si="2"/>
        <v>29</v>
      </c>
      <c r="O21" s="11">
        <f t="shared" si="2"/>
        <v>29</v>
      </c>
      <c r="P21" s="11">
        <f t="shared" si="2"/>
        <v>29</v>
      </c>
      <c r="Q21" s="11">
        <f t="shared" si="2"/>
        <v>29</v>
      </c>
      <c r="R21" s="11">
        <f t="shared" si="2"/>
        <v>29</v>
      </c>
      <c r="S21" s="11">
        <f t="shared" si="2"/>
        <v>29</v>
      </c>
      <c r="T21" s="11">
        <f t="shared" si="2"/>
        <v>29</v>
      </c>
      <c r="U21" s="11">
        <f t="shared" si="2"/>
        <v>29</v>
      </c>
      <c r="V21" s="11">
        <f>SUM(V5:V20)</f>
        <v>531</v>
      </c>
      <c r="W21" s="25"/>
    </row>
    <row r="22" spans="1:23" s="38" customFormat="1" ht="18" customHeight="1" x14ac:dyDescent="0.3">
      <c r="A22" s="119">
        <v>12</v>
      </c>
      <c r="B22" s="120" t="s">
        <v>17</v>
      </c>
      <c r="C22" s="32" t="s">
        <v>7</v>
      </c>
      <c r="D22" s="33"/>
      <c r="E22" s="33">
        <v>1</v>
      </c>
      <c r="F22" s="33"/>
      <c r="G22" s="33">
        <v>3</v>
      </c>
      <c r="H22" s="33"/>
      <c r="I22" s="33"/>
      <c r="J22" s="33"/>
      <c r="K22" s="33">
        <v>0.4</v>
      </c>
      <c r="L22" s="33"/>
      <c r="M22" s="40"/>
      <c r="N22" s="33"/>
      <c r="O22" s="33"/>
      <c r="P22" s="33"/>
      <c r="Q22" s="33"/>
      <c r="R22" s="33"/>
      <c r="S22" s="33"/>
      <c r="T22" s="33"/>
      <c r="U22" s="40"/>
      <c r="V22" s="41">
        <f>SUM(D22:U22)</f>
        <v>4.4000000000000004</v>
      </c>
      <c r="W22" s="37"/>
    </row>
    <row r="23" spans="1:23" s="32" customFormat="1" ht="18" customHeight="1" x14ac:dyDescent="0.3">
      <c r="A23" s="119"/>
      <c r="B23" s="120"/>
      <c r="C23" s="32" t="s">
        <v>26</v>
      </c>
      <c r="D23" s="33"/>
      <c r="E23" s="33"/>
      <c r="F23" s="33"/>
      <c r="G23" s="33"/>
      <c r="H23" s="33"/>
      <c r="I23" s="33"/>
      <c r="J23" s="33"/>
      <c r="K23" s="33"/>
      <c r="L23" s="33"/>
      <c r="M23" s="40"/>
      <c r="N23" s="33"/>
      <c r="O23" s="33"/>
      <c r="P23" s="33"/>
      <c r="Q23" s="33"/>
      <c r="R23" s="33">
        <v>3</v>
      </c>
      <c r="S23" s="33">
        <v>0.4</v>
      </c>
      <c r="U23" s="40"/>
      <c r="V23" s="41">
        <f t="shared" ref="V23:V25" si="3">SUM(D23:U23)</f>
        <v>3.4</v>
      </c>
      <c r="W23" s="39"/>
    </row>
    <row r="24" spans="1:23" s="32" customFormat="1" ht="18" customHeight="1" x14ac:dyDescent="0.3">
      <c r="A24" s="119"/>
      <c r="B24" s="120"/>
      <c r="C24" s="32" t="s">
        <v>27</v>
      </c>
      <c r="D24" s="33"/>
      <c r="E24" s="33"/>
      <c r="F24" s="33"/>
      <c r="G24" s="33"/>
      <c r="H24" s="33"/>
      <c r="I24" s="33"/>
      <c r="J24" s="33">
        <v>3</v>
      </c>
      <c r="K24" s="33">
        <v>2.6</v>
      </c>
      <c r="L24" s="33">
        <v>3</v>
      </c>
      <c r="M24" s="40"/>
      <c r="N24" s="33"/>
      <c r="O24" s="33">
        <v>1</v>
      </c>
      <c r="P24" s="33"/>
      <c r="Q24" s="33"/>
      <c r="R24" s="33"/>
      <c r="S24" s="33">
        <v>0.6</v>
      </c>
      <c r="U24" s="40"/>
      <c r="V24" s="41">
        <f t="shared" si="3"/>
        <v>10.199999999999999</v>
      </c>
      <c r="W24" s="33"/>
    </row>
    <row r="25" spans="1:23" s="32" customFormat="1" ht="18" customHeight="1" x14ac:dyDescent="0.3">
      <c r="A25" s="119"/>
      <c r="B25" s="120"/>
      <c r="C25" s="32" t="s">
        <v>5</v>
      </c>
      <c r="D25" s="33"/>
      <c r="E25" s="33"/>
      <c r="F25" s="33"/>
      <c r="G25" s="33"/>
      <c r="H25" s="33"/>
      <c r="I25" s="33"/>
      <c r="J25" s="33"/>
      <c r="K25" s="33"/>
      <c r="L25" s="33"/>
      <c r="M25" s="40"/>
      <c r="N25" s="33"/>
      <c r="O25" s="33"/>
      <c r="P25" s="33"/>
      <c r="Q25" s="33"/>
      <c r="R25" s="33"/>
      <c r="S25" s="33"/>
      <c r="T25" s="33"/>
      <c r="U25" s="40"/>
      <c r="V25" s="41">
        <f t="shared" si="3"/>
        <v>0</v>
      </c>
      <c r="W25" s="39"/>
    </row>
    <row r="26" spans="1:23" s="32" customFormat="1" ht="21" customHeight="1" x14ac:dyDescent="0.3">
      <c r="A26" s="31"/>
      <c r="B26" s="32" t="s">
        <v>29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W26" s="33"/>
    </row>
    <row r="27" spans="1:23" s="17" customFormat="1" ht="21" customHeight="1" x14ac:dyDescent="0.3">
      <c r="A27" s="18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W27" s="19"/>
    </row>
    <row r="28" spans="1:23" ht="21" customHeight="1" x14ac:dyDescent="0.3"/>
  </sheetData>
  <mergeCells count="23">
    <mergeCell ref="B22:B25"/>
    <mergeCell ref="A22:A25"/>
    <mergeCell ref="B5:C5"/>
    <mergeCell ref="A19:A20"/>
    <mergeCell ref="B19:B20"/>
    <mergeCell ref="A21:C21"/>
    <mergeCell ref="B6:C6"/>
    <mergeCell ref="B7:C7"/>
    <mergeCell ref="B8:C8"/>
    <mergeCell ref="A9:A10"/>
    <mergeCell ref="B9:B10"/>
    <mergeCell ref="A11:A13"/>
    <mergeCell ref="B11:B13"/>
    <mergeCell ref="B14:C14"/>
    <mergeCell ref="B15:C15"/>
    <mergeCell ref="B16:C16"/>
    <mergeCell ref="B18:C18"/>
    <mergeCell ref="B17:C17"/>
    <mergeCell ref="A1:V1"/>
    <mergeCell ref="A3:A4"/>
    <mergeCell ref="B3:C4"/>
    <mergeCell ref="D3:U3"/>
    <mergeCell ref="V3:V4"/>
  </mergeCells>
  <pageMargins left="0.28000000000000003" right="0.16" top="0.9" bottom="0.5" header="0.3" footer="0.3"/>
  <pageSetup paperSize="9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7"/>
  <sheetViews>
    <sheetView zoomScale="85" zoomScaleNormal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4" sqref="B4:U19"/>
    </sheetView>
  </sheetViews>
  <sheetFormatPr defaultColWidth="9.109375" defaultRowHeight="18" x14ac:dyDescent="0.35"/>
  <cols>
    <col min="1" max="1" width="4.88671875" style="57" customWidth="1"/>
    <col min="2" max="2" width="11" style="50" customWidth="1"/>
    <col min="3" max="3" width="10" style="50" customWidth="1"/>
    <col min="4" max="20" width="6.44140625" style="74" customWidth="1"/>
    <col min="21" max="21" width="8.109375" style="50" customWidth="1"/>
    <col min="22" max="16384" width="9.109375" style="50"/>
  </cols>
  <sheetData>
    <row r="1" spans="1:26" ht="18.899999999999999" customHeight="1" x14ac:dyDescent="0.35">
      <c r="A1" s="125" t="s">
        <v>38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</row>
    <row r="2" spans="1:26" s="52" customFormat="1" ht="18.899999999999999" customHeight="1" x14ac:dyDescent="0.3">
      <c r="A2" s="110" t="s">
        <v>0</v>
      </c>
      <c r="B2" s="110" t="s">
        <v>1</v>
      </c>
      <c r="C2" s="110"/>
      <c r="D2" s="110" t="s">
        <v>19</v>
      </c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 t="s">
        <v>18</v>
      </c>
    </row>
    <row r="3" spans="1:26" s="53" customFormat="1" ht="18.899999999999999" customHeight="1" x14ac:dyDescent="0.3">
      <c r="A3" s="110"/>
      <c r="B3" s="110"/>
      <c r="C3" s="110"/>
      <c r="D3" s="51">
        <v>19</v>
      </c>
      <c r="E3" s="51">
        <v>20</v>
      </c>
      <c r="F3" s="51">
        <v>21</v>
      </c>
      <c r="G3" s="51">
        <v>22</v>
      </c>
      <c r="H3" s="51">
        <v>23</v>
      </c>
      <c r="I3" s="51">
        <v>24</v>
      </c>
      <c r="J3" s="51">
        <v>25</v>
      </c>
      <c r="K3" s="51">
        <v>26</v>
      </c>
      <c r="L3" s="51">
        <v>27</v>
      </c>
      <c r="M3" s="51">
        <v>28</v>
      </c>
      <c r="N3" s="51">
        <v>29</v>
      </c>
      <c r="O3" s="51">
        <v>30</v>
      </c>
      <c r="P3" s="51">
        <v>31</v>
      </c>
      <c r="Q3" s="51">
        <v>32</v>
      </c>
      <c r="R3" s="51">
        <v>33</v>
      </c>
      <c r="S3" s="51">
        <v>34</v>
      </c>
      <c r="T3" s="51">
        <v>35</v>
      </c>
      <c r="U3" s="110"/>
    </row>
    <row r="4" spans="1:26" s="108" customFormat="1" ht="24" customHeight="1" x14ac:dyDescent="0.3">
      <c r="A4" s="107">
        <v>1</v>
      </c>
      <c r="B4" s="112" t="s">
        <v>3</v>
      </c>
      <c r="C4" s="112"/>
      <c r="D4" s="54">
        <v>4</v>
      </c>
      <c r="E4" s="54">
        <v>4</v>
      </c>
      <c r="F4" s="54">
        <v>4</v>
      </c>
      <c r="G4" s="54">
        <v>4</v>
      </c>
      <c r="H4" s="54">
        <v>4</v>
      </c>
      <c r="I4" s="54">
        <v>4</v>
      </c>
      <c r="J4" s="54">
        <v>4</v>
      </c>
      <c r="K4" s="54">
        <v>4</v>
      </c>
      <c r="L4" s="54">
        <v>4</v>
      </c>
      <c r="M4" s="54">
        <v>4</v>
      </c>
      <c r="N4" s="54">
        <v>4</v>
      </c>
      <c r="O4" s="54">
        <v>4</v>
      </c>
      <c r="P4" s="54">
        <v>4</v>
      </c>
      <c r="Q4" s="54">
        <v>4</v>
      </c>
      <c r="R4" s="54">
        <v>4</v>
      </c>
      <c r="S4" s="54">
        <v>4</v>
      </c>
      <c r="T4" s="54">
        <v>4</v>
      </c>
      <c r="U4" s="56">
        <f>SUM(D4:T4)</f>
        <v>68</v>
      </c>
    </row>
    <row r="5" spans="1:26" s="108" customFormat="1" ht="24" customHeight="1" x14ac:dyDescent="0.3">
      <c r="A5" s="107">
        <v>2</v>
      </c>
      <c r="B5" s="112" t="s">
        <v>2</v>
      </c>
      <c r="C5" s="112"/>
      <c r="D5" s="54">
        <v>4</v>
      </c>
      <c r="E5" s="54">
        <v>4</v>
      </c>
      <c r="F5" s="54">
        <v>4</v>
      </c>
      <c r="G5" s="54">
        <v>4</v>
      </c>
      <c r="H5" s="54">
        <v>4</v>
      </c>
      <c r="I5" s="54">
        <v>4</v>
      </c>
      <c r="J5" s="54">
        <v>4</v>
      </c>
      <c r="K5" s="54">
        <v>4</v>
      </c>
      <c r="L5" s="54">
        <v>4</v>
      </c>
      <c r="M5" s="54">
        <v>4</v>
      </c>
      <c r="N5" s="54">
        <v>4</v>
      </c>
      <c r="O5" s="54">
        <v>4</v>
      </c>
      <c r="P5" s="54">
        <v>4</v>
      </c>
      <c r="Q5" s="54">
        <v>4</v>
      </c>
      <c r="R5" s="54">
        <v>4</v>
      </c>
      <c r="S5" s="54">
        <v>4</v>
      </c>
      <c r="T5" s="54">
        <v>4</v>
      </c>
      <c r="U5" s="56">
        <f t="shared" ref="U5:U19" si="0">SUM(D5:T5)</f>
        <v>68</v>
      </c>
    </row>
    <row r="6" spans="1:26" s="108" customFormat="1" ht="24" customHeight="1" x14ac:dyDescent="0.3">
      <c r="A6" s="107">
        <v>3</v>
      </c>
      <c r="B6" s="112" t="s">
        <v>4</v>
      </c>
      <c r="C6" s="112"/>
      <c r="D6" s="54">
        <v>3</v>
      </c>
      <c r="E6" s="54">
        <v>3</v>
      </c>
      <c r="F6" s="54">
        <v>3</v>
      </c>
      <c r="G6" s="54">
        <v>3</v>
      </c>
      <c r="H6" s="54">
        <v>3</v>
      </c>
      <c r="I6" s="54">
        <v>3</v>
      </c>
      <c r="J6" s="54">
        <v>3</v>
      </c>
      <c r="K6" s="54">
        <v>3</v>
      </c>
      <c r="L6" s="54">
        <v>3</v>
      </c>
      <c r="M6" s="54">
        <v>3</v>
      </c>
      <c r="N6" s="54">
        <v>3</v>
      </c>
      <c r="O6" s="54">
        <v>3</v>
      </c>
      <c r="P6" s="54">
        <v>3</v>
      </c>
      <c r="Q6" s="54">
        <v>3</v>
      </c>
      <c r="R6" s="54">
        <v>3</v>
      </c>
      <c r="S6" s="54">
        <v>3</v>
      </c>
      <c r="T6" s="54">
        <v>3</v>
      </c>
      <c r="U6" s="56">
        <f t="shared" si="0"/>
        <v>51</v>
      </c>
    </row>
    <row r="7" spans="1:26" s="108" customFormat="1" ht="24" customHeight="1" x14ac:dyDescent="0.3">
      <c r="A7" s="107">
        <v>4</v>
      </c>
      <c r="B7" s="112" t="s">
        <v>5</v>
      </c>
      <c r="C7" s="112"/>
      <c r="D7" s="54">
        <v>1</v>
      </c>
      <c r="E7" s="54">
        <v>1</v>
      </c>
      <c r="F7" s="54">
        <v>1</v>
      </c>
      <c r="G7" s="54">
        <v>1</v>
      </c>
      <c r="H7" s="54">
        <v>1</v>
      </c>
      <c r="I7" s="54">
        <v>1</v>
      </c>
      <c r="J7" s="54">
        <v>1</v>
      </c>
      <c r="K7" s="54">
        <v>1</v>
      </c>
      <c r="L7" s="54">
        <v>1</v>
      </c>
      <c r="M7" s="54">
        <v>1</v>
      </c>
      <c r="N7" s="54">
        <v>1</v>
      </c>
      <c r="O7" s="54">
        <v>1</v>
      </c>
      <c r="P7" s="54">
        <v>1</v>
      </c>
      <c r="Q7" s="54">
        <v>1</v>
      </c>
      <c r="R7" s="54">
        <v>1</v>
      </c>
      <c r="S7" s="54">
        <v>1</v>
      </c>
      <c r="T7" s="54">
        <v>1</v>
      </c>
      <c r="U7" s="56">
        <f t="shared" si="0"/>
        <v>17</v>
      </c>
    </row>
    <row r="8" spans="1:26" s="108" customFormat="1" ht="24" customHeight="1" x14ac:dyDescent="0.3">
      <c r="A8" s="130">
        <v>5</v>
      </c>
      <c r="B8" s="112" t="s">
        <v>8</v>
      </c>
      <c r="C8" s="55" t="s">
        <v>6</v>
      </c>
      <c r="D8" s="28">
        <v>1</v>
      </c>
      <c r="E8" s="28">
        <v>1</v>
      </c>
      <c r="F8" s="28">
        <v>1</v>
      </c>
      <c r="G8" s="28">
        <v>1</v>
      </c>
      <c r="H8" s="28">
        <v>1</v>
      </c>
      <c r="I8" s="28">
        <v>2</v>
      </c>
      <c r="J8" s="28">
        <v>2</v>
      </c>
      <c r="K8" s="28">
        <v>2</v>
      </c>
      <c r="L8" s="28">
        <v>2</v>
      </c>
      <c r="M8" s="28">
        <v>2</v>
      </c>
      <c r="N8" s="28">
        <v>1</v>
      </c>
      <c r="O8" s="28">
        <v>1</v>
      </c>
      <c r="P8" s="28">
        <v>1</v>
      </c>
      <c r="Q8" s="28">
        <v>2</v>
      </c>
      <c r="R8" s="28">
        <v>2</v>
      </c>
      <c r="S8" s="28">
        <v>2</v>
      </c>
      <c r="T8" s="28">
        <v>2</v>
      </c>
      <c r="U8" s="28">
        <f t="shared" si="0"/>
        <v>26</v>
      </c>
    </row>
    <row r="9" spans="1:26" s="108" customFormat="1" ht="24" customHeight="1" x14ac:dyDescent="0.3">
      <c r="A9" s="130"/>
      <c r="B9" s="112"/>
      <c r="C9" s="55" t="s">
        <v>7</v>
      </c>
      <c r="D9" s="28">
        <v>2</v>
      </c>
      <c r="E9" s="28">
        <v>2</v>
      </c>
      <c r="F9" s="28">
        <v>2</v>
      </c>
      <c r="G9" s="28">
        <v>2</v>
      </c>
      <c r="H9" s="28">
        <v>2</v>
      </c>
      <c r="I9" s="28">
        <v>1</v>
      </c>
      <c r="J9" s="28">
        <v>1</v>
      </c>
      <c r="K9" s="28">
        <v>1</v>
      </c>
      <c r="L9" s="28">
        <v>1</v>
      </c>
      <c r="M9" s="28">
        <v>1</v>
      </c>
      <c r="N9" s="28">
        <v>2</v>
      </c>
      <c r="O9" s="28">
        <v>2</v>
      </c>
      <c r="P9" s="28">
        <v>2</v>
      </c>
      <c r="Q9" s="28">
        <v>1</v>
      </c>
      <c r="R9" s="28">
        <v>1</v>
      </c>
      <c r="S9" s="28">
        <v>1</v>
      </c>
      <c r="T9" s="28">
        <v>1</v>
      </c>
      <c r="U9" s="28">
        <f t="shared" si="0"/>
        <v>25</v>
      </c>
    </row>
    <row r="10" spans="1:26" s="108" customFormat="1" ht="24" customHeight="1" x14ac:dyDescent="0.3">
      <c r="A10" s="130">
        <v>6</v>
      </c>
      <c r="B10" s="112" t="s">
        <v>9</v>
      </c>
      <c r="C10" s="55" t="s">
        <v>10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1</v>
      </c>
      <c r="M10" s="90">
        <v>1</v>
      </c>
      <c r="N10" s="90">
        <v>1</v>
      </c>
      <c r="O10" s="90">
        <v>1</v>
      </c>
      <c r="P10" s="90">
        <v>1</v>
      </c>
      <c r="Q10" s="90">
        <v>1</v>
      </c>
      <c r="R10" s="90">
        <v>1</v>
      </c>
      <c r="S10" s="91">
        <v>2</v>
      </c>
      <c r="T10" s="90">
        <v>0</v>
      </c>
      <c r="U10" s="92">
        <f t="shared" si="0"/>
        <v>17</v>
      </c>
    </row>
    <row r="11" spans="1:26" s="108" customFormat="1" ht="24" customHeight="1" x14ac:dyDescent="0.3">
      <c r="A11" s="130"/>
      <c r="B11" s="112"/>
      <c r="C11" s="55" t="s">
        <v>11</v>
      </c>
      <c r="D11" s="90">
        <v>1</v>
      </c>
      <c r="E11" s="90">
        <v>1</v>
      </c>
      <c r="F11" s="90">
        <v>1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  <c r="P11" s="90">
        <v>1</v>
      </c>
      <c r="Q11" s="90">
        <v>2</v>
      </c>
      <c r="R11" s="90">
        <v>2</v>
      </c>
      <c r="S11" s="90">
        <v>2</v>
      </c>
      <c r="T11" s="90">
        <v>2</v>
      </c>
      <c r="U11" s="92">
        <f t="shared" si="0"/>
        <v>21</v>
      </c>
    </row>
    <row r="12" spans="1:26" s="108" customFormat="1" ht="24" customHeight="1" x14ac:dyDescent="0.3">
      <c r="A12" s="130"/>
      <c r="B12" s="112"/>
      <c r="C12" s="55" t="s">
        <v>12</v>
      </c>
      <c r="D12" s="90">
        <v>2</v>
      </c>
      <c r="E12" s="90">
        <v>2</v>
      </c>
      <c r="F12" s="90">
        <v>2</v>
      </c>
      <c r="G12" s="90">
        <v>2</v>
      </c>
      <c r="H12" s="90">
        <v>2</v>
      </c>
      <c r="I12" s="90">
        <v>2</v>
      </c>
      <c r="J12" s="90">
        <v>2</v>
      </c>
      <c r="K12" s="90">
        <v>2</v>
      </c>
      <c r="L12" s="91">
        <v>2</v>
      </c>
      <c r="M12" s="90">
        <v>2</v>
      </c>
      <c r="N12" s="90">
        <v>2</v>
      </c>
      <c r="O12" s="90">
        <v>2</v>
      </c>
      <c r="P12" s="90">
        <v>2</v>
      </c>
      <c r="Q12" s="90">
        <v>1</v>
      </c>
      <c r="R12" s="90">
        <v>1</v>
      </c>
      <c r="S12" s="90">
        <v>0</v>
      </c>
      <c r="T12" s="90">
        <v>2</v>
      </c>
      <c r="U12" s="92">
        <f t="shared" si="0"/>
        <v>30</v>
      </c>
      <c r="Z12" s="109"/>
    </row>
    <row r="13" spans="1:26" s="108" customFormat="1" ht="24" customHeight="1" x14ac:dyDescent="0.3">
      <c r="A13" s="107">
        <v>7</v>
      </c>
      <c r="B13" s="112" t="s">
        <v>13</v>
      </c>
      <c r="C13" s="112"/>
      <c r="D13" s="54">
        <v>1</v>
      </c>
      <c r="E13" s="54">
        <v>1</v>
      </c>
      <c r="F13" s="54">
        <v>1</v>
      </c>
      <c r="G13" s="54">
        <v>1</v>
      </c>
      <c r="H13" s="54">
        <v>1</v>
      </c>
      <c r="I13" s="54">
        <v>1</v>
      </c>
      <c r="J13" s="54">
        <v>1</v>
      </c>
      <c r="K13" s="54">
        <v>1</v>
      </c>
      <c r="L13" s="54">
        <v>1</v>
      </c>
      <c r="M13" s="54">
        <v>2</v>
      </c>
      <c r="N13" s="54">
        <v>2</v>
      </c>
      <c r="O13" s="54">
        <v>2</v>
      </c>
      <c r="P13" s="54">
        <v>2</v>
      </c>
      <c r="Q13" s="54">
        <v>2</v>
      </c>
      <c r="R13" s="54">
        <v>2</v>
      </c>
      <c r="S13" s="54">
        <v>2</v>
      </c>
      <c r="T13" s="54">
        <v>2</v>
      </c>
      <c r="U13" s="56">
        <f t="shared" si="0"/>
        <v>25</v>
      </c>
      <c r="Z13" s="109"/>
    </row>
    <row r="14" spans="1:26" s="108" customFormat="1" ht="24" customHeight="1" x14ac:dyDescent="0.3">
      <c r="A14" s="107">
        <v>8</v>
      </c>
      <c r="B14" s="112" t="s">
        <v>14</v>
      </c>
      <c r="C14" s="112"/>
      <c r="D14" s="54">
        <v>1</v>
      </c>
      <c r="E14" s="54">
        <v>1</v>
      </c>
      <c r="F14" s="54">
        <v>1</v>
      </c>
      <c r="G14" s="54">
        <v>1</v>
      </c>
      <c r="H14" s="54">
        <v>1</v>
      </c>
      <c r="I14" s="54">
        <v>1</v>
      </c>
      <c r="J14" s="54">
        <v>1</v>
      </c>
      <c r="K14" s="54">
        <v>1</v>
      </c>
      <c r="L14" s="54">
        <v>1</v>
      </c>
      <c r="M14" s="54">
        <v>1</v>
      </c>
      <c r="N14" s="54">
        <v>1</v>
      </c>
      <c r="O14" s="54">
        <v>1</v>
      </c>
      <c r="P14" s="54">
        <v>1</v>
      </c>
      <c r="Q14" s="54">
        <v>1</v>
      </c>
      <c r="R14" s="54">
        <v>1</v>
      </c>
      <c r="S14" s="54">
        <v>1</v>
      </c>
      <c r="T14" s="54">
        <v>1</v>
      </c>
      <c r="U14" s="56">
        <f t="shared" si="0"/>
        <v>17</v>
      </c>
    </row>
    <row r="15" spans="1:26" s="108" customFormat="1" ht="24" customHeight="1" x14ac:dyDescent="0.3">
      <c r="A15" s="107">
        <v>9</v>
      </c>
      <c r="B15" s="112" t="s">
        <v>15</v>
      </c>
      <c r="C15" s="112"/>
      <c r="D15" s="54">
        <v>2</v>
      </c>
      <c r="E15" s="54">
        <v>2</v>
      </c>
      <c r="F15" s="54">
        <v>2</v>
      </c>
      <c r="G15" s="54">
        <v>2</v>
      </c>
      <c r="H15" s="54">
        <v>2</v>
      </c>
      <c r="I15" s="54">
        <v>2</v>
      </c>
      <c r="J15" s="54">
        <v>2</v>
      </c>
      <c r="K15" s="54">
        <v>2</v>
      </c>
      <c r="L15" s="54">
        <v>2</v>
      </c>
      <c r="M15" s="54">
        <v>2</v>
      </c>
      <c r="N15" s="54">
        <v>2</v>
      </c>
      <c r="O15" s="54">
        <v>2</v>
      </c>
      <c r="P15" s="54">
        <v>2</v>
      </c>
      <c r="Q15" s="54">
        <v>2</v>
      </c>
      <c r="R15" s="54">
        <v>2</v>
      </c>
      <c r="S15" s="54">
        <v>2</v>
      </c>
      <c r="T15" s="54">
        <v>2</v>
      </c>
      <c r="U15" s="56">
        <f t="shared" si="0"/>
        <v>34</v>
      </c>
    </row>
    <row r="16" spans="1:26" s="108" customFormat="1" ht="24" customHeight="1" x14ac:dyDescent="0.3">
      <c r="A16" s="107">
        <v>10</v>
      </c>
      <c r="B16" s="112" t="s">
        <v>16</v>
      </c>
      <c r="C16" s="112"/>
      <c r="D16" s="54">
        <v>3</v>
      </c>
      <c r="E16" s="54">
        <v>3</v>
      </c>
      <c r="F16" s="54">
        <v>3</v>
      </c>
      <c r="G16" s="54">
        <v>3</v>
      </c>
      <c r="H16" s="54">
        <v>3</v>
      </c>
      <c r="I16" s="54">
        <v>3</v>
      </c>
      <c r="J16" s="54">
        <v>3</v>
      </c>
      <c r="K16" s="54">
        <v>3</v>
      </c>
      <c r="L16" s="54">
        <v>3</v>
      </c>
      <c r="M16" s="54">
        <v>3</v>
      </c>
      <c r="N16" s="54">
        <v>3</v>
      </c>
      <c r="O16" s="54">
        <v>3</v>
      </c>
      <c r="P16" s="54">
        <v>3</v>
      </c>
      <c r="Q16" s="54">
        <v>3</v>
      </c>
      <c r="R16" s="54">
        <v>3</v>
      </c>
      <c r="S16" s="54">
        <v>3</v>
      </c>
      <c r="T16" s="54">
        <v>3</v>
      </c>
      <c r="U16" s="56">
        <f t="shared" si="0"/>
        <v>51</v>
      </c>
    </row>
    <row r="17" spans="1:22" s="108" customFormat="1" ht="24" customHeight="1" x14ac:dyDescent="0.3">
      <c r="A17" s="107">
        <v>11</v>
      </c>
      <c r="B17" s="127" t="s">
        <v>31</v>
      </c>
      <c r="C17" s="128"/>
      <c r="D17" s="54">
        <v>1</v>
      </c>
      <c r="E17" s="54">
        <v>1</v>
      </c>
      <c r="F17" s="54">
        <v>1</v>
      </c>
      <c r="G17" s="54">
        <v>1</v>
      </c>
      <c r="H17" s="54">
        <v>1</v>
      </c>
      <c r="I17" s="54">
        <v>1</v>
      </c>
      <c r="J17" s="54">
        <v>1</v>
      </c>
      <c r="K17" s="54">
        <v>1</v>
      </c>
      <c r="L17" s="54">
        <v>1</v>
      </c>
      <c r="M17" s="54">
        <v>1</v>
      </c>
      <c r="N17" s="54">
        <v>1</v>
      </c>
      <c r="O17" s="54">
        <v>1</v>
      </c>
      <c r="P17" s="54">
        <v>1</v>
      </c>
      <c r="Q17" s="54">
        <v>1</v>
      </c>
      <c r="R17" s="54">
        <v>1</v>
      </c>
      <c r="S17" s="54">
        <v>1</v>
      </c>
      <c r="T17" s="54">
        <v>1</v>
      </c>
      <c r="U17" s="56">
        <f t="shared" si="0"/>
        <v>17</v>
      </c>
      <c r="V17" s="5"/>
    </row>
    <row r="18" spans="1:22" s="108" customFormat="1" ht="24" customHeight="1" x14ac:dyDescent="0.3">
      <c r="A18" s="130">
        <v>12</v>
      </c>
      <c r="B18" s="112" t="s">
        <v>21</v>
      </c>
      <c r="C18" s="55" t="s">
        <v>25</v>
      </c>
      <c r="D18" s="54">
        <v>1</v>
      </c>
      <c r="E18" s="54">
        <v>1</v>
      </c>
      <c r="F18" s="54">
        <v>1</v>
      </c>
      <c r="G18" s="54">
        <v>1</v>
      </c>
      <c r="H18" s="54">
        <v>1</v>
      </c>
      <c r="I18" s="54">
        <v>1</v>
      </c>
      <c r="J18" s="54">
        <v>1</v>
      </c>
      <c r="K18" s="54">
        <v>1</v>
      </c>
      <c r="L18" s="54">
        <v>1</v>
      </c>
      <c r="M18" s="54">
        <v>1</v>
      </c>
      <c r="N18" s="54">
        <v>1</v>
      </c>
      <c r="O18" s="54">
        <v>1</v>
      </c>
      <c r="P18" s="54">
        <v>1</v>
      </c>
      <c r="Q18" s="54">
        <v>1</v>
      </c>
      <c r="R18" s="54">
        <v>1</v>
      </c>
      <c r="S18" s="54">
        <v>1</v>
      </c>
      <c r="T18" s="54">
        <v>1</v>
      </c>
      <c r="U18" s="56">
        <f t="shared" si="0"/>
        <v>17</v>
      </c>
    </row>
    <row r="19" spans="1:22" s="108" customFormat="1" ht="24" customHeight="1" x14ac:dyDescent="0.3">
      <c r="A19" s="130"/>
      <c r="B19" s="112"/>
      <c r="C19" s="55" t="s">
        <v>23</v>
      </c>
      <c r="D19" s="54">
        <v>1</v>
      </c>
      <c r="E19" s="54">
        <v>1</v>
      </c>
      <c r="F19" s="54">
        <v>1</v>
      </c>
      <c r="G19" s="54">
        <v>1</v>
      </c>
      <c r="H19" s="54">
        <v>1</v>
      </c>
      <c r="I19" s="54">
        <v>1</v>
      </c>
      <c r="J19" s="54">
        <v>1</v>
      </c>
      <c r="K19" s="54">
        <v>1</v>
      </c>
      <c r="L19" s="54">
        <v>1</v>
      </c>
      <c r="M19" s="54">
        <v>1</v>
      </c>
      <c r="N19" s="54">
        <v>1</v>
      </c>
      <c r="O19" s="54">
        <v>1</v>
      </c>
      <c r="P19" s="54">
        <v>1</v>
      </c>
      <c r="Q19" s="54">
        <v>1</v>
      </c>
      <c r="R19" s="54">
        <v>1</v>
      </c>
      <c r="S19" s="54">
        <v>1</v>
      </c>
      <c r="T19" s="54">
        <v>1</v>
      </c>
      <c r="U19" s="56">
        <f t="shared" si="0"/>
        <v>17</v>
      </c>
    </row>
    <row r="20" spans="1:22" s="53" customFormat="1" ht="18.899999999999999" customHeight="1" x14ac:dyDescent="0.3">
      <c r="A20" s="110" t="s">
        <v>20</v>
      </c>
      <c r="B20" s="110"/>
      <c r="C20" s="110"/>
      <c r="D20" s="76">
        <f>SUM(D4:D19)</f>
        <v>29</v>
      </c>
      <c r="E20" s="76">
        <f t="shared" ref="E20:U20" si="1">SUM(E4:E19)</f>
        <v>29</v>
      </c>
      <c r="F20" s="76">
        <f t="shared" si="1"/>
        <v>29</v>
      </c>
      <c r="G20" s="76">
        <f t="shared" si="1"/>
        <v>29</v>
      </c>
      <c r="H20" s="76">
        <f t="shared" si="1"/>
        <v>29</v>
      </c>
      <c r="I20" s="76">
        <f t="shared" si="1"/>
        <v>29</v>
      </c>
      <c r="J20" s="76">
        <f t="shared" si="1"/>
        <v>29</v>
      </c>
      <c r="K20" s="76">
        <f t="shared" si="1"/>
        <v>29</v>
      </c>
      <c r="L20" s="76">
        <f t="shared" si="1"/>
        <v>29</v>
      </c>
      <c r="M20" s="76">
        <f t="shared" si="1"/>
        <v>30</v>
      </c>
      <c r="N20" s="76">
        <f t="shared" si="1"/>
        <v>30</v>
      </c>
      <c r="O20" s="76">
        <f t="shared" si="1"/>
        <v>30</v>
      </c>
      <c r="P20" s="76">
        <f t="shared" si="1"/>
        <v>30</v>
      </c>
      <c r="Q20" s="76">
        <f t="shared" si="1"/>
        <v>30</v>
      </c>
      <c r="R20" s="76">
        <f t="shared" si="1"/>
        <v>30</v>
      </c>
      <c r="S20" s="76">
        <f t="shared" si="1"/>
        <v>30</v>
      </c>
      <c r="T20" s="76">
        <f t="shared" si="1"/>
        <v>30</v>
      </c>
      <c r="U20" s="51">
        <f t="shared" si="1"/>
        <v>501</v>
      </c>
    </row>
    <row r="21" spans="1:22" s="65" customFormat="1" ht="18.899999999999999" customHeight="1" x14ac:dyDescent="0.3">
      <c r="A21" s="129">
        <v>12</v>
      </c>
      <c r="B21" s="114" t="s">
        <v>17</v>
      </c>
      <c r="C21" s="63" t="s">
        <v>7</v>
      </c>
      <c r="D21" s="62"/>
      <c r="E21" s="62"/>
      <c r="F21" s="62"/>
      <c r="G21" s="62"/>
      <c r="H21" s="62"/>
      <c r="I21" s="62"/>
      <c r="J21" s="62"/>
      <c r="K21" s="64">
        <v>2.2999999999999998</v>
      </c>
      <c r="L21" s="62"/>
      <c r="M21" s="64"/>
      <c r="N21" s="62"/>
      <c r="O21" s="62"/>
      <c r="P21" s="62"/>
      <c r="Q21" s="62">
        <v>3</v>
      </c>
      <c r="R21" s="62">
        <v>1.5</v>
      </c>
      <c r="T21" s="64"/>
      <c r="U21" s="64">
        <f>SUM(D21:T21)</f>
        <v>6.8</v>
      </c>
    </row>
    <row r="22" spans="1:22" s="65" customFormat="1" ht="18.899999999999999" customHeight="1" x14ac:dyDescent="0.3">
      <c r="A22" s="129"/>
      <c r="B22" s="114"/>
      <c r="C22" s="63" t="s">
        <v>26</v>
      </c>
      <c r="D22" s="62">
        <v>2</v>
      </c>
      <c r="E22" s="62"/>
      <c r="F22" s="62"/>
      <c r="G22" s="62"/>
      <c r="H22" s="62"/>
      <c r="I22" s="62"/>
      <c r="J22" s="62"/>
      <c r="K22" s="64">
        <v>0.3</v>
      </c>
      <c r="L22" s="62"/>
      <c r="M22" s="62">
        <v>1</v>
      </c>
      <c r="N22" s="62"/>
      <c r="O22" s="62">
        <v>3</v>
      </c>
      <c r="P22" s="62"/>
      <c r="Q22" s="62"/>
      <c r="R22" s="62">
        <v>0.5</v>
      </c>
      <c r="T22" s="64"/>
      <c r="U22" s="64">
        <f t="shared" ref="U22:U23" si="2">SUM(D22:T22)</f>
        <v>6.8</v>
      </c>
    </row>
    <row r="23" spans="1:22" s="65" customFormat="1" ht="18.899999999999999" customHeight="1" x14ac:dyDescent="0.3">
      <c r="A23" s="129"/>
      <c r="B23" s="114"/>
      <c r="C23" s="63" t="s">
        <v>5</v>
      </c>
      <c r="D23" s="62"/>
      <c r="E23" s="62"/>
      <c r="F23" s="62">
        <v>3</v>
      </c>
      <c r="G23" s="62"/>
      <c r="H23" s="62"/>
      <c r="I23" s="62"/>
      <c r="J23" s="62"/>
      <c r="K23" s="64">
        <v>0.4</v>
      </c>
      <c r="L23" s="62"/>
      <c r="M23" s="64"/>
      <c r="N23" s="62"/>
      <c r="O23" s="62"/>
      <c r="P23" s="62"/>
      <c r="Q23" s="62"/>
      <c r="R23" s="62"/>
      <c r="S23" s="62"/>
      <c r="T23" s="64"/>
      <c r="U23" s="64">
        <f t="shared" si="2"/>
        <v>3.4</v>
      </c>
      <c r="V23" s="66"/>
    </row>
    <row r="24" spans="1:22" s="65" customFormat="1" ht="18.899999999999999" customHeight="1" x14ac:dyDescent="0.3">
      <c r="A24" s="129"/>
      <c r="B24" s="114"/>
      <c r="C24" s="63" t="s">
        <v>12</v>
      </c>
      <c r="D24" s="62"/>
      <c r="E24" s="62"/>
      <c r="F24" s="62"/>
      <c r="G24" s="62"/>
      <c r="H24" s="62"/>
      <c r="I24" s="62"/>
      <c r="J24" s="62"/>
      <c r="K24" s="64"/>
      <c r="L24" s="62"/>
      <c r="M24" s="64"/>
      <c r="N24" s="62"/>
      <c r="O24" s="62"/>
      <c r="P24" s="62"/>
      <c r="Q24" s="62"/>
      <c r="R24" s="62"/>
      <c r="S24" s="62"/>
      <c r="T24" s="64"/>
      <c r="U24" s="67">
        <v>0</v>
      </c>
      <c r="V24" s="66"/>
    </row>
    <row r="25" spans="1:22" s="70" customFormat="1" ht="21" customHeight="1" x14ac:dyDescent="0.35">
      <c r="A25" s="62"/>
      <c r="B25" s="68" t="s">
        <v>29</v>
      </c>
      <c r="C25" s="68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8"/>
    </row>
    <row r="26" spans="1:22" ht="21" customHeight="1" x14ac:dyDescent="0.35">
      <c r="A26" s="71"/>
      <c r="B26" s="72"/>
      <c r="C26" s="72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2"/>
    </row>
    <row r="27" spans="1:22" ht="41.25" customHeight="1" x14ac:dyDescent="0.35"/>
  </sheetData>
  <mergeCells count="23">
    <mergeCell ref="A21:A24"/>
    <mergeCell ref="B21:B24"/>
    <mergeCell ref="B4:C4"/>
    <mergeCell ref="A18:A19"/>
    <mergeCell ref="B18:B19"/>
    <mergeCell ref="A20:C20"/>
    <mergeCell ref="B5:C5"/>
    <mergeCell ref="B6:C6"/>
    <mergeCell ref="B7:C7"/>
    <mergeCell ref="A8:A9"/>
    <mergeCell ref="B8:B9"/>
    <mergeCell ref="A10:A12"/>
    <mergeCell ref="B10:B12"/>
    <mergeCell ref="B13:C13"/>
    <mergeCell ref="B14:C14"/>
    <mergeCell ref="B15:C15"/>
    <mergeCell ref="B17:C17"/>
    <mergeCell ref="B16:C16"/>
    <mergeCell ref="A1:U1"/>
    <mergeCell ref="A2:A3"/>
    <mergeCell ref="B2:C3"/>
    <mergeCell ref="D2:T2"/>
    <mergeCell ref="U2:U3"/>
  </mergeCells>
  <phoneticPr fontId="6" type="noConversion"/>
  <pageMargins left="0.24" right="0.16" top="0.72" bottom="0.34" header="0.3" footer="0.3"/>
  <pageSetup paperSize="9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8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I24" sqref="I24"/>
    </sheetView>
  </sheetViews>
  <sheetFormatPr defaultColWidth="9.109375" defaultRowHeight="14.4" x14ac:dyDescent="0.3"/>
  <cols>
    <col min="1" max="1" width="5.44140625" style="21" customWidth="1"/>
    <col min="2" max="2" width="9.88671875" style="22" customWidth="1"/>
    <col min="3" max="3" width="10.33203125" style="22" customWidth="1"/>
    <col min="4" max="21" width="6" style="23" customWidth="1"/>
    <col min="22" max="22" width="7.5546875" style="22" customWidth="1"/>
    <col min="23" max="23" width="9.109375" style="23"/>
    <col min="24" max="16384" width="9.109375" style="22"/>
  </cols>
  <sheetData>
    <row r="1" spans="1:45" ht="26.25" customHeight="1" x14ac:dyDescent="0.3">
      <c r="A1" s="125" t="s">
        <v>39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</row>
    <row r="2" spans="1:45" ht="10.5" customHeight="1" x14ac:dyDescent="0.3"/>
    <row r="3" spans="1:45" s="12" customFormat="1" ht="21" customHeight="1" x14ac:dyDescent="0.3">
      <c r="A3" s="118" t="s">
        <v>0</v>
      </c>
      <c r="B3" s="118" t="s">
        <v>1</v>
      </c>
      <c r="C3" s="118"/>
      <c r="D3" s="118" t="s">
        <v>19</v>
      </c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 t="s">
        <v>18</v>
      </c>
      <c r="W3" s="24"/>
    </row>
    <row r="4" spans="1:45" s="13" customFormat="1" ht="21" customHeight="1" x14ac:dyDescent="0.3">
      <c r="A4" s="118"/>
      <c r="B4" s="118"/>
      <c r="C4" s="118"/>
      <c r="D4" s="11">
        <v>1</v>
      </c>
      <c r="E4" s="11">
        <v>2</v>
      </c>
      <c r="F4" s="11">
        <v>3</v>
      </c>
      <c r="G4" s="11">
        <v>4</v>
      </c>
      <c r="H4" s="11">
        <v>5</v>
      </c>
      <c r="I4" s="11">
        <v>6</v>
      </c>
      <c r="J4" s="11">
        <v>7</v>
      </c>
      <c r="K4" s="11">
        <v>8</v>
      </c>
      <c r="L4" s="11">
        <v>9</v>
      </c>
      <c r="M4" s="11">
        <v>10</v>
      </c>
      <c r="N4" s="11">
        <v>11</v>
      </c>
      <c r="O4" s="11">
        <v>12</v>
      </c>
      <c r="P4" s="11">
        <v>13</v>
      </c>
      <c r="Q4" s="11">
        <v>14</v>
      </c>
      <c r="R4" s="11">
        <v>15</v>
      </c>
      <c r="S4" s="11">
        <v>16</v>
      </c>
      <c r="T4" s="11">
        <v>17</v>
      </c>
      <c r="U4" s="11">
        <v>18</v>
      </c>
      <c r="V4" s="118"/>
      <c r="W4" s="25"/>
    </row>
    <row r="5" spans="1:45" s="12" customFormat="1" ht="18" customHeight="1" x14ac:dyDescent="0.3">
      <c r="A5" s="14">
        <v>1</v>
      </c>
      <c r="B5" s="117" t="s">
        <v>3</v>
      </c>
      <c r="C5" s="117"/>
      <c r="D5" s="54">
        <v>4</v>
      </c>
      <c r="E5" s="54">
        <v>4</v>
      </c>
      <c r="F5" s="54">
        <v>4</v>
      </c>
      <c r="G5" s="54">
        <v>4</v>
      </c>
      <c r="H5" s="54">
        <v>4</v>
      </c>
      <c r="I5" s="54">
        <v>4</v>
      </c>
      <c r="J5" s="54">
        <v>4</v>
      </c>
      <c r="K5" s="54">
        <v>4</v>
      </c>
      <c r="L5" s="54">
        <v>4</v>
      </c>
      <c r="M5" s="54">
        <v>4</v>
      </c>
      <c r="N5" s="54">
        <v>4</v>
      </c>
      <c r="O5" s="54">
        <v>4</v>
      </c>
      <c r="P5" s="54">
        <v>4</v>
      </c>
      <c r="Q5" s="54">
        <v>4</v>
      </c>
      <c r="R5" s="54">
        <v>4</v>
      </c>
      <c r="S5" s="54">
        <v>4</v>
      </c>
      <c r="T5" s="54">
        <v>4</v>
      </c>
      <c r="U5" s="54">
        <v>4</v>
      </c>
      <c r="V5" s="15">
        <f>SUM(D5:U5)</f>
        <v>72</v>
      </c>
      <c r="W5" s="24"/>
    </row>
    <row r="6" spans="1:45" s="12" customFormat="1" ht="18" customHeight="1" x14ac:dyDescent="0.3">
      <c r="A6" s="14">
        <v>2</v>
      </c>
      <c r="B6" s="117" t="s">
        <v>2</v>
      </c>
      <c r="C6" s="117"/>
      <c r="D6" s="54">
        <v>4</v>
      </c>
      <c r="E6" s="54">
        <v>4</v>
      </c>
      <c r="F6" s="54">
        <v>4</v>
      </c>
      <c r="G6" s="54">
        <v>4</v>
      </c>
      <c r="H6" s="54">
        <v>4</v>
      </c>
      <c r="I6" s="54">
        <v>4</v>
      </c>
      <c r="J6" s="54">
        <v>4</v>
      </c>
      <c r="K6" s="54">
        <v>4</v>
      </c>
      <c r="L6" s="54">
        <v>4</v>
      </c>
      <c r="M6" s="54">
        <v>4</v>
      </c>
      <c r="N6" s="54">
        <v>4</v>
      </c>
      <c r="O6" s="54">
        <v>4</v>
      </c>
      <c r="P6" s="54">
        <v>4</v>
      </c>
      <c r="Q6" s="54">
        <v>4</v>
      </c>
      <c r="R6" s="54">
        <v>4</v>
      </c>
      <c r="S6" s="54">
        <v>4</v>
      </c>
      <c r="T6" s="54">
        <v>4</v>
      </c>
      <c r="U6" s="54">
        <v>4</v>
      </c>
      <c r="V6" s="15">
        <f t="shared" ref="V6:V20" si="0">SUM(D6:U6)</f>
        <v>72</v>
      </c>
      <c r="W6" s="24"/>
    </row>
    <row r="7" spans="1:45" s="12" customFormat="1" ht="18" customHeight="1" x14ac:dyDescent="0.3">
      <c r="A7" s="14">
        <v>3</v>
      </c>
      <c r="B7" s="117" t="s">
        <v>4</v>
      </c>
      <c r="C7" s="117"/>
      <c r="D7" s="54">
        <v>3</v>
      </c>
      <c r="E7" s="54">
        <v>3</v>
      </c>
      <c r="F7" s="54">
        <v>3</v>
      </c>
      <c r="G7" s="54">
        <v>3</v>
      </c>
      <c r="H7" s="54">
        <v>3</v>
      </c>
      <c r="I7" s="54">
        <v>3</v>
      </c>
      <c r="J7" s="54">
        <v>3</v>
      </c>
      <c r="K7" s="54">
        <v>3</v>
      </c>
      <c r="L7" s="54">
        <v>3</v>
      </c>
      <c r="M7" s="54">
        <v>3</v>
      </c>
      <c r="N7" s="54">
        <v>3</v>
      </c>
      <c r="O7" s="54">
        <v>3</v>
      </c>
      <c r="P7" s="54">
        <v>3</v>
      </c>
      <c r="Q7" s="54">
        <v>3</v>
      </c>
      <c r="R7" s="54">
        <v>3</v>
      </c>
      <c r="S7" s="54">
        <v>3</v>
      </c>
      <c r="T7" s="54">
        <v>3</v>
      </c>
      <c r="U7" s="54">
        <v>3</v>
      </c>
      <c r="V7" s="15">
        <f t="shared" si="0"/>
        <v>54</v>
      </c>
      <c r="W7" s="24"/>
    </row>
    <row r="8" spans="1:45" s="12" customFormat="1" ht="18" customHeight="1" x14ac:dyDescent="0.3">
      <c r="A8" s="14">
        <v>4</v>
      </c>
      <c r="B8" s="117" t="s">
        <v>5</v>
      </c>
      <c r="C8" s="117"/>
      <c r="D8" s="54">
        <v>1</v>
      </c>
      <c r="E8" s="54">
        <v>1</v>
      </c>
      <c r="F8" s="54">
        <v>1</v>
      </c>
      <c r="G8" s="54">
        <v>1</v>
      </c>
      <c r="H8" s="54">
        <v>1</v>
      </c>
      <c r="I8" s="54">
        <v>1</v>
      </c>
      <c r="J8" s="54">
        <v>1</v>
      </c>
      <c r="K8" s="54">
        <v>1</v>
      </c>
      <c r="L8" s="54">
        <v>1</v>
      </c>
      <c r="M8" s="54">
        <v>1</v>
      </c>
      <c r="N8" s="54">
        <v>1</v>
      </c>
      <c r="O8" s="54">
        <v>1</v>
      </c>
      <c r="P8" s="54">
        <v>1</v>
      </c>
      <c r="Q8" s="54">
        <v>1</v>
      </c>
      <c r="R8" s="54">
        <v>1</v>
      </c>
      <c r="S8" s="54">
        <v>1</v>
      </c>
      <c r="T8" s="54">
        <v>1</v>
      </c>
      <c r="U8" s="54">
        <v>1</v>
      </c>
      <c r="V8" s="15">
        <f t="shared" si="0"/>
        <v>18</v>
      </c>
      <c r="W8" s="24"/>
    </row>
    <row r="9" spans="1:45" s="12" customFormat="1" ht="18" customHeight="1" x14ac:dyDescent="0.3">
      <c r="A9" s="121">
        <v>5</v>
      </c>
      <c r="B9" s="117" t="s">
        <v>8</v>
      </c>
      <c r="C9" s="16" t="s">
        <v>6</v>
      </c>
      <c r="D9" s="28">
        <v>2</v>
      </c>
      <c r="E9" s="28">
        <v>2</v>
      </c>
      <c r="F9" s="28">
        <v>2</v>
      </c>
      <c r="G9" s="28">
        <v>2</v>
      </c>
      <c r="H9" s="28">
        <v>2</v>
      </c>
      <c r="I9" s="28">
        <v>1</v>
      </c>
      <c r="J9" s="28">
        <v>1</v>
      </c>
      <c r="K9" s="28">
        <v>1</v>
      </c>
      <c r="L9" s="28">
        <v>1</v>
      </c>
      <c r="M9" s="28">
        <v>1</v>
      </c>
      <c r="N9" s="28">
        <v>2</v>
      </c>
      <c r="O9" s="28">
        <v>2</v>
      </c>
      <c r="P9" s="28">
        <v>2</v>
      </c>
      <c r="Q9" s="28">
        <v>2</v>
      </c>
      <c r="R9" s="28">
        <v>1</v>
      </c>
      <c r="S9" s="28">
        <v>1</v>
      </c>
      <c r="T9" s="28">
        <v>1</v>
      </c>
      <c r="U9" s="28">
        <v>1</v>
      </c>
      <c r="V9" s="27">
        <f t="shared" ref="V9:V10" si="1">SUM(D9:U9)</f>
        <v>27</v>
      </c>
      <c r="W9" s="24"/>
    </row>
    <row r="10" spans="1:45" s="12" customFormat="1" ht="18" customHeight="1" x14ac:dyDescent="0.3">
      <c r="A10" s="121"/>
      <c r="B10" s="117"/>
      <c r="C10" s="16" t="s">
        <v>7</v>
      </c>
      <c r="D10" s="28">
        <v>1</v>
      </c>
      <c r="E10" s="28">
        <v>1</v>
      </c>
      <c r="F10" s="28">
        <v>1</v>
      </c>
      <c r="G10" s="28">
        <v>1</v>
      </c>
      <c r="H10" s="28">
        <v>1</v>
      </c>
      <c r="I10" s="28">
        <v>2</v>
      </c>
      <c r="J10" s="28">
        <v>2</v>
      </c>
      <c r="K10" s="28">
        <v>2</v>
      </c>
      <c r="L10" s="28">
        <v>2</v>
      </c>
      <c r="M10" s="28">
        <v>2</v>
      </c>
      <c r="N10" s="28">
        <v>1</v>
      </c>
      <c r="O10" s="28">
        <v>1</v>
      </c>
      <c r="P10" s="28">
        <v>1</v>
      </c>
      <c r="Q10" s="28">
        <v>1</v>
      </c>
      <c r="R10" s="28">
        <v>2</v>
      </c>
      <c r="S10" s="28">
        <v>2</v>
      </c>
      <c r="T10" s="28">
        <v>2</v>
      </c>
      <c r="U10" s="28">
        <v>2</v>
      </c>
      <c r="V10" s="27">
        <f t="shared" si="1"/>
        <v>27</v>
      </c>
      <c r="W10" s="24"/>
    </row>
    <row r="11" spans="1:45" s="24" customFormat="1" ht="18" customHeight="1" x14ac:dyDescent="0.3">
      <c r="A11" s="121">
        <v>6</v>
      </c>
      <c r="B11" s="121" t="s">
        <v>9</v>
      </c>
      <c r="C11" s="14" t="s">
        <v>10</v>
      </c>
      <c r="D11" s="90"/>
      <c r="E11" s="90">
        <v>3</v>
      </c>
      <c r="F11" s="90">
        <v>2</v>
      </c>
      <c r="G11" s="90">
        <v>2</v>
      </c>
      <c r="H11" s="90">
        <v>2</v>
      </c>
      <c r="I11" s="90">
        <v>2</v>
      </c>
      <c r="J11" s="90">
        <v>2</v>
      </c>
      <c r="K11" s="90">
        <v>2</v>
      </c>
      <c r="L11" s="90">
        <v>1</v>
      </c>
      <c r="M11" s="91">
        <v>2</v>
      </c>
      <c r="N11" s="90">
        <v>1</v>
      </c>
      <c r="O11" s="90">
        <v>1</v>
      </c>
      <c r="P11" s="90">
        <v>1</v>
      </c>
      <c r="Q11" s="90">
        <v>1</v>
      </c>
      <c r="R11" s="90">
        <v>1</v>
      </c>
      <c r="S11" s="90">
        <v>1</v>
      </c>
      <c r="T11" s="90">
        <v>1</v>
      </c>
      <c r="U11" s="90">
        <v>1</v>
      </c>
      <c r="V11" s="93">
        <f>SUM(D11:U11)</f>
        <v>26</v>
      </c>
    </row>
    <row r="12" spans="1:45" s="24" customFormat="1" ht="18" customHeight="1" x14ac:dyDescent="0.3">
      <c r="A12" s="121"/>
      <c r="B12" s="121"/>
      <c r="C12" s="14" t="s">
        <v>11</v>
      </c>
      <c r="D12" s="90">
        <v>3</v>
      </c>
      <c r="E12" s="90"/>
      <c r="F12" s="90">
        <v>1</v>
      </c>
      <c r="G12" s="90">
        <v>1</v>
      </c>
      <c r="H12" s="90">
        <v>1</v>
      </c>
      <c r="I12" s="90">
        <v>1</v>
      </c>
      <c r="J12" s="90">
        <v>1</v>
      </c>
      <c r="K12" s="90">
        <v>1</v>
      </c>
      <c r="L12" s="90">
        <v>2</v>
      </c>
      <c r="M12" s="90">
        <v>1</v>
      </c>
      <c r="N12" s="90">
        <v>2</v>
      </c>
      <c r="O12" s="90">
        <v>2</v>
      </c>
      <c r="P12" s="90">
        <v>2</v>
      </c>
      <c r="Q12" s="90">
        <v>2</v>
      </c>
      <c r="R12" s="90">
        <v>2</v>
      </c>
      <c r="S12" s="90">
        <v>2</v>
      </c>
      <c r="T12" s="91">
        <v>2</v>
      </c>
      <c r="U12" s="90">
        <v>2</v>
      </c>
      <c r="V12" s="93">
        <f t="shared" ref="V12:V13" si="2">SUM(D12:U12)</f>
        <v>28</v>
      </c>
    </row>
    <row r="13" spans="1:45" s="24" customFormat="1" ht="18" customHeight="1" x14ac:dyDescent="0.3">
      <c r="A13" s="121"/>
      <c r="B13" s="121"/>
      <c r="C13" s="14" t="s">
        <v>12</v>
      </c>
      <c r="D13" s="90">
        <v>1</v>
      </c>
      <c r="E13" s="90">
        <v>1</v>
      </c>
      <c r="F13" s="90">
        <v>1</v>
      </c>
      <c r="G13" s="90">
        <v>1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  <c r="P13" s="90">
        <v>1</v>
      </c>
      <c r="Q13" s="90">
        <v>1</v>
      </c>
      <c r="R13" s="90">
        <v>1</v>
      </c>
      <c r="S13" s="90">
        <v>1</v>
      </c>
      <c r="T13" s="90">
        <v>1</v>
      </c>
      <c r="U13" s="90">
        <v>1</v>
      </c>
      <c r="V13" s="93">
        <f t="shared" si="2"/>
        <v>18</v>
      </c>
    </row>
    <row r="14" spans="1:45" s="12" customFormat="1" ht="18" customHeight="1" x14ac:dyDescent="0.3">
      <c r="A14" s="14">
        <v>7</v>
      </c>
      <c r="B14" s="117" t="s">
        <v>13</v>
      </c>
      <c r="C14" s="117"/>
      <c r="D14" s="54">
        <v>2</v>
      </c>
      <c r="E14" s="54">
        <v>2</v>
      </c>
      <c r="F14" s="54">
        <v>2</v>
      </c>
      <c r="G14" s="54">
        <v>2</v>
      </c>
      <c r="H14" s="54">
        <v>2</v>
      </c>
      <c r="I14" s="54">
        <v>2</v>
      </c>
      <c r="J14" s="54">
        <v>2</v>
      </c>
      <c r="K14" s="54">
        <v>2</v>
      </c>
      <c r="L14" s="54">
        <v>2</v>
      </c>
      <c r="M14" s="54">
        <v>1</v>
      </c>
      <c r="N14" s="54">
        <v>1</v>
      </c>
      <c r="O14" s="54">
        <v>1</v>
      </c>
      <c r="P14" s="54">
        <v>1</v>
      </c>
      <c r="Q14" s="54">
        <v>1</v>
      </c>
      <c r="R14" s="54">
        <v>1</v>
      </c>
      <c r="S14" s="54">
        <v>1</v>
      </c>
      <c r="T14" s="54">
        <v>1</v>
      </c>
      <c r="U14" s="54">
        <v>1</v>
      </c>
      <c r="V14" s="15">
        <f t="shared" si="0"/>
        <v>27</v>
      </c>
      <c r="W14" s="24"/>
    </row>
    <row r="15" spans="1:45" s="12" customFormat="1" ht="18" customHeight="1" x14ac:dyDescent="0.3">
      <c r="A15" s="14">
        <v>8</v>
      </c>
      <c r="B15" s="117" t="s">
        <v>14</v>
      </c>
      <c r="C15" s="117"/>
      <c r="D15" s="54">
        <v>1</v>
      </c>
      <c r="E15" s="54">
        <v>1</v>
      </c>
      <c r="F15" s="54">
        <v>1</v>
      </c>
      <c r="G15" s="54">
        <v>1</v>
      </c>
      <c r="H15" s="54">
        <v>1</v>
      </c>
      <c r="I15" s="54">
        <v>1</v>
      </c>
      <c r="J15" s="54">
        <v>1</v>
      </c>
      <c r="K15" s="54">
        <v>1</v>
      </c>
      <c r="L15" s="54">
        <v>1</v>
      </c>
      <c r="M15" s="54">
        <v>1</v>
      </c>
      <c r="N15" s="54">
        <v>1</v>
      </c>
      <c r="O15" s="54">
        <v>1</v>
      </c>
      <c r="P15" s="54">
        <v>1</v>
      </c>
      <c r="Q15" s="54">
        <v>1</v>
      </c>
      <c r="R15" s="54">
        <v>1</v>
      </c>
      <c r="S15" s="54">
        <v>1</v>
      </c>
      <c r="T15" s="54">
        <v>1</v>
      </c>
      <c r="U15" s="54">
        <v>1</v>
      </c>
      <c r="V15" s="15">
        <f t="shared" si="0"/>
        <v>18</v>
      </c>
      <c r="W15" s="24"/>
    </row>
    <row r="16" spans="1:45" s="12" customFormat="1" ht="18" customHeight="1" x14ac:dyDescent="0.3">
      <c r="A16" s="14">
        <v>9</v>
      </c>
      <c r="B16" s="117" t="s">
        <v>15</v>
      </c>
      <c r="C16" s="117"/>
      <c r="D16" s="54">
        <v>2</v>
      </c>
      <c r="E16" s="54">
        <v>2</v>
      </c>
      <c r="F16" s="54">
        <v>2</v>
      </c>
      <c r="G16" s="54">
        <v>2</v>
      </c>
      <c r="H16" s="54">
        <v>2</v>
      </c>
      <c r="I16" s="54">
        <v>2</v>
      </c>
      <c r="J16" s="54">
        <v>2</v>
      </c>
      <c r="K16" s="54">
        <v>2</v>
      </c>
      <c r="L16" s="54">
        <v>2</v>
      </c>
      <c r="M16" s="54">
        <v>2</v>
      </c>
      <c r="N16" s="54">
        <v>2</v>
      </c>
      <c r="O16" s="54">
        <v>2</v>
      </c>
      <c r="P16" s="54">
        <v>2</v>
      </c>
      <c r="Q16" s="54">
        <v>2</v>
      </c>
      <c r="R16" s="54">
        <v>2</v>
      </c>
      <c r="S16" s="54">
        <v>2</v>
      </c>
      <c r="T16" s="54">
        <v>2</v>
      </c>
      <c r="U16" s="54">
        <v>2</v>
      </c>
      <c r="V16" s="15">
        <f t="shared" si="0"/>
        <v>36</v>
      </c>
      <c r="W16" s="24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30"/>
    </row>
    <row r="17" spans="1:23" s="12" customFormat="1" ht="18" customHeight="1" x14ac:dyDescent="0.3">
      <c r="A17" s="14">
        <v>10</v>
      </c>
      <c r="B17" s="117" t="s">
        <v>30</v>
      </c>
      <c r="C17" s="117"/>
      <c r="D17" s="54">
        <v>3</v>
      </c>
      <c r="E17" s="54">
        <v>3</v>
      </c>
      <c r="F17" s="54">
        <v>3</v>
      </c>
      <c r="G17" s="54">
        <v>3</v>
      </c>
      <c r="H17" s="54">
        <v>3</v>
      </c>
      <c r="I17" s="54">
        <v>3</v>
      </c>
      <c r="J17" s="54">
        <v>3</v>
      </c>
      <c r="K17" s="54">
        <v>3</v>
      </c>
      <c r="L17" s="54">
        <v>3</v>
      </c>
      <c r="M17" s="54">
        <v>3</v>
      </c>
      <c r="N17" s="54">
        <v>3</v>
      </c>
      <c r="O17" s="54">
        <v>3</v>
      </c>
      <c r="P17" s="54">
        <v>3</v>
      </c>
      <c r="Q17" s="54">
        <v>3</v>
      </c>
      <c r="R17" s="54">
        <v>3</v>
      </c>
      <c r="S17" s="54">
        <v>3</v>
      </c>
      <c r="T17" s="54">
        <v>3</v>
      </c>
      <c r="U17" s="54">
        <v>3</v>
      </c>
      <c r="V17" s="15">
        <f t="shared" si="0"/>
        <v>54</v>
      </c>
      <c r="W17" s="24"/>
    </row>
    <row r="18" spans="1:23" s="6" customFormat="1" ht="18" customHeight="1" x14ac:dyDescent="0.3">
      <c r="A18" s="14">
        <v>11</v>
      </c>
      <c r="B18" s="117" t="s">
        <v>17</v>
      </c>
      <c r="C18" s="117"/>
      <c r="D18" s="54">
        <v>1</v>
      </c>
      <c r="E18" s="54">
        <v>1</v>
      </c>
      <c r="F18" s="54">
        <v>1</v>
      </c>
      <c r="G18" s="54">
        <v>1</v>
      </c>
      <c r="H18" s="54">
        <v>1</v>
      </c>
      <c r="I18" s="54">
        <v>1</v>
      </c>
      <c r="J18" s="54">
        <v>1</v>
      </c>
      <c r="K18" s="54">
        <v>1</v>
      </c>
      <c r="L18" s="54">
        <v>1</v>
      </c>
      <c r="M18" s="54">
        <v>1</v>
      </c>
      <c r="N18" s="54">
        <v>1</v>
      </c>
      <c r="O18" s="54">
        <v>1</v>
      </c>
      <c r="P18" s="54">
        <v>1</v>
      </c>
      <c r="Q18" s="54">
        <v>1</v>
      </c>
      <c r="R18" s="54">
        <v>1</v>
      </c>
      <c r="S18" s="54">
        <v>1</v>
      </c>
      <c r="T18" s="54">
        <v>1</v>
      </c>
      <c r="U18" s="54">
        <v>1</v>
      </c>
      <c r="V18" s="15">
        <f t="shared" si="0"/>
        <v>18</v>
      </c>
    </row>
    <row r="19" spans="1:23" s="12" customFormat="1" ht="18" customHeight="1" x14ac:dyDescent="0.3">
      <c r="A19" s="122">
        <v>12</v>
      </c>
      <c r="B19" s="117" t="s">
        <v>21</v>
      </c>
      <c r="C19" s="16" t="s">
        <v>25</v>
      </c>
      <c r="D19" s="54">
        <v>1</v>
      </c>
      <c r="E19" s="54">
        <v>1</v>
      </c>
      <c r="F19" s="54">
        <v>1</v>
      </c>
      <c r="G19" s="54">
        <v>1</v>
      </c>
      <c r="H19" s="54">
        <v>1</v>
      </c>
      <c r="I19" s="54">
        <v>1</v>
      </c>
      <c r="J19" s="54">
        <v>1</v>
      </c>
      <c r="K19" s="54">
        <v>1</v>
      </c>
      <c r="L19" s="54">
        <v>1</v>
      </c>
      <c r="M19" s="54">
        <v>1</v>
      </c>
      <c r="N19" s="54">
        <v>1</v>
      </c>
      <c r="O19" s="54">
        <v>1</v>
      </c>
      <c r="P19" s="54">
        <v>1</v>
      </c>
      <c r="Q19" s="54">
        <v>1</v>
      </c>
      <c r="R19" s="54">
        <v>1</v>
      </c>
      <c r="S19" s="54">
        <v>1</v>
      </c>
      <c r="T19" s="54">
        <v>1</v>
      </c>
      <c r="U19" s="54">
        <v>1</v>
      </c>
      <c r="V19" s="15">
        <f t="shared" si="0"/>
        <v>18</v>
      </c>
      <c r="W19" s="24"/>
    </row>
    <row r="20" spans="1:23" s="12" customFormat="1" ht="18" customHeight="1" x14ac:dyDescent="0.3">
      <c r="A20" s="126"/>
      <c r="B20" s="117"/>
      <c r="C20" s="16" t="s">
        <v>23</v>
      </c>
      <c r="D20" s="54">
        <v>1</v>
      </c>
      <c r="E20" s="54">
        <v>1</v>
      </c>
      <c r="F20" s="54">
        <v>1</v>
      </c>
      <c r="G20" s="54">
        <v>1</v>
      </c>
      <c r="H20" s="54">
        <v>1</v>
      </c>
      <c r="I20" s="54">
        <v>1</v>
      </c>
      <c r="J20" s="54">
        <v>1</v>
      </c>
      <c r="K20" s="54">
        <v>1</v>
      </c>
      <c r="L20" s="54">
        <v>1</v>
      </c>
      <c r="M20" s="54">
        <v>1</v>
      </c>
      <c r="N20" s="54">
        <v>1</v>
      </c>
      <c r="O20" s="54">
        <v>1</v>
      </c>
      <c r="P20" s="54">
        <v>1</v>
      </c>
      <c r="Q20" s="54">
        <v>1</v>
      </c>
      <c r="R20" s="54">
        <v>1</v>
      </c>
      <c r="S20" s="54">
        <v>1</v>
      </c>
      <c r="T20" s="54">
        <v>1</v>
      </c>
      <c r="U20" s="54">
        <v>1</v>
      </c>
      <c r="V20" s="15">
        <f t="shared" si="0"/>
        <v>18</v>
      </c>
      <c r="W20" s="24"/>
    </row>
    <row r="21" spans="1:23" s="13" customFormat="1" ht="18" customHeight="1" x14ac:dyDescent="0.3">
      <c r="A21" s="118" t="s">
        <v>20</v>
      </c>
      <c r="B21" s="118"/>
      <c r="C21" s="118"/>
      <c r="D21" s="11">
        <f>SUM(D5:D20)</f>
        <v>30</v>
      </c>
      <c r="E21" s="11">
        <f t="shared" ref="E21:U21" si="3">SUM(E5:E20)</f>
        <v>30</v>
      </c>
      <c r="F21" s="11">
        <f t="shared" si="3"/>
        <v>30</v>
      </c>
      <c r="G21" s="11">
        <f t="shared" si="3"/>
        <v>30</v>
      </c>
      <c r="H21" s="11">
        <f t="shared" si="3"/>
        <v>30</v>
      </c>
      <c r="I21" s="11">
        <f t="shared" si="3"/>
        <v>30</v>
      </c>
      <c r="J21" s="11">
        <f t="shared" si="3"/>
        <v>30</v>
      </c>
      <c r="K21" s="11">
        <f t="shared" si="3"/>
        <v>30</v>
      </c>
      <c r="L21" s="11">
        <f t="shared" si="3"/>
        <v>30</v>
      </c>
      <c r="M21" s="11">
        <f t="shared" si="3"/>
        <v>29</v>
      </c>
      <c r="N21" s="11">
        <f t="shared" si="3"/>
        <v>29</v>
      </c>
      <c r="O21" s="11">
        <f t="shared" si="3"/>
        <v>29</v>
      </c>
      <c r="P21" s="11">
        <f t="shared" si="3"/>
        <v>29</v>
      </c>
      <c r="Q21" s="11">
        <f t="shared" si="3"/>
        <v>29</v>
      </c>
      <c r="R21" s="11">
        <f t="shared" si="3"/>
        <v>29</v>
      </c>
      <c r="S21" s="11">
        <f t="shared" si="3"/>
        <v>29</v>
      </c>
      <c r="T21" s="11">
        <f t="shared" si="3"/>
        <v>29</v>
      </c>
      <c r="U21" s="11">
        <f t="shared" si="3"/>
        <v>29</v>
      </c>
      <c r="V21" s="11">
        <f>SUM(V5:V20)</f>
        <v>531</v>
      </c>
      <c r="W21" s="25"/>
    </row>
    <row r="22" spans="1:23" s="32" customFormat="1" ht="18" customHeight="1" x14ac:dyDescent="0.3">
      <c r="A22" s="119">
        <v>12</v>
      </c>
      <c r="B22" s="120" t="s">
        <v>17</v>
      </c>
      <c r="C22" s="32" t="s">
        <v>7</v>
      </c>
      <c r="D22" s="33"/>
      <c r="E22" s="33">
        <v>1</v>
      </c>
      <c r="F22" s="33"/>
      <c r="G22" s="33">
        <v>3</v>
      </c>
      <c r="H22" s="33"/>
      <c r="I22" s="33"/>
      <c r="J22" s="33"/>
      <c r="K22" s="33">
        <v>0.4</v>
      </c>
      <c r="L22" s="33"/>
      <c r="M22" s="40"/>
      <c r="N22" s="33"/>
      <c r="O22" s="33"/>
      <c r="P22" s="33"/>
      <c r="Q22" s="33"/>
      <c r="R22" s="33"/>
      <c r="S22" s="33"/>
      <c r="T22" s="33"/>
      <c r="U22" s="40"/>
      <c r="V22" s="41">
        <f>SUM(D22:U22)</f>
        <v>4.4000000000000004</v>
      </c>
      <c r="W22" s="33"/>
    </row>
    <row r="23" spans="1:23" s="32" customFormat="1" ht="18" customHeight="1" x14ac:dyDescent="0.3">
      <c r="A23" s="119"/>
      <c r="B23" s="120"/>
      <c r="C23" s="32" t="s">
        <v>26</v>
      </c>
      <c r="D23" s="33"/>
      <c r="E23" s="33"/>
      <c r="F23" s="33"/>
      <c r="G23" s="33"/>
      <c r="H23" s="33"/>
      <c r="I23" s="33"/>
      <c r="J23" s="33"/>
      <c r="K23" s="33"/>
      <c r="L23" s="33"/>
      <c r="M23" s="40"/>
      <c r="N23" s="33"/>
      <c r="O23" s="33"/>
      <c r="P23" s="33"/>
      <c r="Q23" s="33"/>
      <c r="R23" s="33">
        <v>3</v>
      </c>
      <c r="S23" s="33">
        <v>0.4</v>
      </c>
      <c r="U23" s="40"/>
      <c r="V23" s="41">
        <f t="shared" ref="V23:V25" si="4">SUM(D23:U23)</f>
        <v>3.4</v>
      </c>
      <c r="W23" s="39"/>
    </row>
    <row r="24" spans="1:23" s="32" customFormat="1" ht="18" customHeight="1" x14ac:dyDescent="0.3">
      <c r="A24" s="119"/>
      <c r="B24" s="120"/>
      <c r="C24" s="32" t="s">
        <v>27</v>
      </c>
      <c r="D24" s="33"/>
      <c r="E24" s="33"/>
      <c r="F24" s="33"/>
      <c r="G24" s="33"/>
      <c r="H24" s="33"/>
      <c r="I24" s="33"/>
      <c r="J24" s="33">
        <v>3</v>
      </c>
      <c r="K24" s="33">
        <v>2.6</v>
      </c>
      <c r="L24" s="33">
        <v>3</v>
      </c>
      <c r="M24" s="40"/>
      <c r="N24" s="33"/>
      <c r="O24" s="33">
        <v>1</v>
      </c>
      <c r="P24" s="33"/>
      <c r="Q24" s="33"/>
      <c r="R24" s="33"/>
      <c r="S24" s="33">
        <v>0.6</v>
      </c>
      <c r="U24" s="40"/>
      <c r="V24" s="41">
        <f t="shared" si="4"/>
        <v>10.199999999999999</v>
      </c>
      <c r="W24" s="33"/>
    </row>
    <row r="25" spans="1:23" s="32" customFormat="1" ht="18" customHeight="1" x14ac:dyDescent="0.3">
      <c r="A25" s="119"/>
      <c r="B25" s="120"/>
      <c r="C25" s="32" t="s">
        <v>5</v>
      </c>
      <c r="D25" s="33"/>
      <c r="E25" s="33"/>
      <c r="F25" s="33"/>
      <c r="G25" s="33"/>
      <c r="H25" s="33"/>
      <c r="I25" s="33"/>
      <c r="J25" s="33"/>
      <c r="K25" s="33"/>
      <c r="L25" s="33"/>
      <c r="M25" s="40"/>
      <c r="N25" s="33"/>
      <c r="O25" s="33"/>
      <c r="P25" s="33"/>
      <c r="Q25" s="33"/>
      <c r="R25" s="33"/>
      <c r="S25" s="33"/>
      <c r="T25" s="33"/>
      <c r="U25" s="40"/>
      <c r="V25" s="41">
        <f t="shared" si="4"/>
        <v>0</v>
      </c>
      <c r="W25" s="39"/>
    </row>
    <row r="26" spans="1:23" s="32" customFormat="1" ht="21" customHeight="1" x14ac:dyDescent="0.3">
      <c r="A26" s="31"/>
      <c r="B26" s="32" t="s">
        <v>29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W26" s="33"/>
    </row>
    <row r="27" spans="1:23" s="17" customFormat="1" ht="21" customHeight="1" x14ac:dyDescent="0.3">
      <c r="A27" s="18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W27" s="19"/>
    </row>
    <row r="28" spans="1:23" ht="21" customHeight="1" x14ac:dyDescent="0.3"/>
  </sheetData>
  <mergeCells count="23">
    <mergeCell ref="A21:C21"/>
    <mergeCell ref="A22:A25"/>
    <mergeCell ref="B22:B25"/>
    <mergeCell ref="B14:C14"/>
    <mergeCell ref="B15:C15"/>
    <mergeCell ref="B16:C16"/>
    <mergeCell ref="B17:C17"/>
    <mergeCell ref="A19:A20"/>
    <mergeCell ref="B19:B20"/>
    <mergeCell ref="B18:C18"/>
    <mergeCell ref="A11:A13"/>
    <mergeCell ref="B11:B13"/>
    <mergeCell ref="A1:V1"/>
    <mergeCell ref="A3:A4"/>
    <mergeCell ref="B3:C4"/>
    <mergeCell ref="D3:U3"/>
    <mergeCell ref="V3:V4"/>
    <mergeCell ref="B5:C5"/>
    <mergeCell ref="B6:C6"/>
    <mergeCell ref="B7:C7"/>
    <mergeCell ref="B8:C8"/>
    <mergeCell ref="A9:A10"/>
    <mergeCell ref="B9:B10"/>
  </mergeCells>
  <pageMargins left="0.28000000000000003" right="0.16" top="0.9" bottom="0.5" header="0.3" footer="0.3"/>
  <pageSetup paperSize="9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7"/>
  <sheetViews>
    <sheetView zoomScale="85" zoomScaleNormal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4" sqref="A4:XFD19"/>
    </sheetView>
  </sheetViews>
  <sheetFormatPr defaultColWidth="9.109375" defaultRowHeight="18" x14ac:dyDescent="0.35"/>
  <cols>
    <col min="1" max="1" width="4.88671875" style="57" customWidth="1"/>
    <col min="2" max="2" width="11" style="50" customWidth="1"/>
    <col min="3" max="3" width="10" style="50" customWidth="1"/>
    <col min="4" max="20" width="6.44140625" style="74" customWidth="1"/>
    <col min="21" max="21" width="8.109375" style="50" customWidth="1"/>
    <col min="22" max="16384" width="9.109375" style="50"/>
  </cols>
  <sheetData>
    <row r="1" spans="1:21" ht="18.899999999999999" customHeight="1" x14ac:dyDescent="0.35">
      <c r="A1" s="125" t="s">
        <v>40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</row>
    <row r="2" spans="1:21" s="52" customFormat="1" ht="18.899999999999999" customHeight="1" x14ac:dyDescent="0.3">
      <c r="A2" s="110" t="s">
        <v>0</v>
      </c>
      <c r="B2" s="110" t="s">
        <v>1</v>
      </c>
      <c r="C2" s="110"/>
      <c r="D2" s="110" t="s">
        <v>19</v>
      </c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 t="s">
        <v>18</v>
      </c>
    </row>
    <row r="3" spans="1:21" s="53" customFormat="1" ht="18.899999999999999" customHeight="1" x14ac:dyDescent="0.3">
      <c r="A3" s="110"/>
      <c r="B3" s="110"/>
      <c r="C3" s="110"/>
      <c r="D3" s="51">
        <v>19</v>
      </c>
      <c r="E3" s="51">
        <v>20</v>
      </c>
      <c r="F3" s="51">
        <v>21</v>
      </c>
      <c r="G3" s="51">
        <v>22</v>
      </c>
      <c r="H3" s="51">
        <v>23</v>
      </c>
      <c r="I3" s="51">
        <v>24</v>
      </c>
      <c r="J3" s="51">
        <v>25</v>
      </c>
      <c r="K3" s="51">
        <v>26</v>
      </c>
      <c r="L3" s="51">
        <v>27</v>
      </c>
      <c r="M3" s="51">
        <v>28</v>
      </c>
      <c r="N3" s="51">
        <v>29</v>
      </c>
      <c r="O3" s="51">
        <v>30</v>
      </c>
      <c r="P3" s="51">
        <v>31</v>
      </c>
      <c r="Q3" s="51">
        <v>32</v>
      </c>
      <c r="R3" s="51">
        <v>33</v>
      </c>
      <c r="S3" s="51">
        <v>34</v>
      </c>
      <c r="T3" s="51">
        <v>35</v>
      </c>
      <c r="U3" s="110"/>
    </row>
    <row r="4" spans="1:21" s="52" customFormat="1" ht="22.2" customHeight="1" x14ac:dyDescent="0.3">
      <c r="A4" s="54">
        <v>1</v>
      </c>
      <c r="B4" s="112" t="s">
        <v>3</v>
      </c>
      <c r="C4" s="112"/>
      <c r="D4" s="54">
        <v>4</v>
      </c>
      <c r="E4" s="54">
        <v>4</v>
      </c>
      <c r="F4" s="54">
        <v>4</v>
      </c>
      <c r="G4" s="54">
        <v>4</v>
      </c>
      <c r="H4" s="54">
        <v>4</v>
      </c>
      <c r="I4" s="54">
        <v>4</v>
      </c>
      <c r="J4" s="54">
        <v>4</v>
      </c>
      <c r="K4" s="54">
        <v>4</v>
      </c>
      <c r="L4" s="54">
        <v>4</v>
      </c>
      <c r="M4" s="54">
        <v>4</v>
      </c>
      <c r="N4" s="54">
        <v>4</v>
      </c>
      <c r="O4" s="54">
        <v>4</v>
      </c>
      <c r="P4" s="54">
        <v>4</v>
      </c>
      <c r="Q4" s="54">
        <v>4</v>
      </c>
      <c r="R4" s="54">
        <v>4</v>
      </c>
      <c r="S4" s="54">
        <v>4</v>
      </c>
      <c r="T4" s="54">
        <v>4</v>
      </c>
      <c r="U4" s="56">
        <f>SUM(D4:T4)</f>
        <v>68</v>
      </c>
    </row>
    <row r="5" spans="1:21" s="52" customFormat="1" ht="22.2" customHeight="1" x14ac:dyDescent="0.3">
      <c r="A5" s="54">
        <v>2</v>
      </c>
      <c r="B5" s="112" t="s">
        <v>2</v>
      </c>
      <c r="C5" s="112"/>
      <c r="D5" s="54">
        <v>4</v>
      </c>
      <c r="E5" s="54">
        <v>4</v>
      </c>
      <c r="F5" s="54">
        <v>4</v>
      </c>
      <c r="G5" s="54">
        <v>4</v>
      </c>
      <c r="H5" s="54">
        <v>4</v>
      </c>
      <c r="I5" s="54">
        <v>4</v>
      </c>
      <c r="J5" s="54">
        <v>4</v>
      </c>
      <c r="K5" s="54">
        <v>4</v>
      </c>
      <c r="L5" s="54">
        <v>4</v>
      </c>
      <c r="M5" s="54">
        <v>4</v>
      </c>
      <c r="N5" s="54">
        <v>4</v>
      </c>
      <c r="O5" s="54">
        <v>4</v>
      </c>
      <c r="P5" s="54">
        <v>4</v>
      </c>
      <c r="Q5" s="54">
        <v>4</v>
      </c>
      <c r="R5" s="54">
        <v>4</v>
      </c>
      <c r="S5" s="54">
        <v>4</v>
      </c>
      <c r="T5" s="54">
        <v>4</v>
      </c>
      <c r="U5" s="56">
        <f t="shared" ref="U5:U19" si="0">SUM(D5:T5)</f>
        <v>68</v>
      </c>
    </row>
    <row r="6" spans="1:21" s="52" customFormat="1" ht="22.2" customHeight="1" x14ac:dyDescent="0.3">
      <c r="A6" s="54">
        <v>3</v>
      </c>
      <c r="B6" s="112" t="s">
        <v>4</v>
      </c>
      <c r="C6" s="112"/>
      <c r="D6" s="54">
        <v>3</v>
      </c>
      <c r="E6" s="54">
        <v>3</v>
      </c>
      <c r="F6" s="54">
        <v>3</v>
      </c>
      <c r="G6" s="54">
        <v>3</v>
      </c>
      <c r="H6" s="54">
        <v>3</v>
      </c>
      <c r="I6" s="54">
        <v>3</v>
      </c>
      <c r="J6" s="54">
        <v>3</v>
      </c>
      <c r="K6" s="54">
        <v>3</v>
      </c>
      <c r="L6" s="54">
        <v>3</v>
      </c>
      <c r="M6" s="54">
        <v>3</v>
      </c>
      <c r="N6" s="54">
        <v>3</v>
      </c>
      <c r="O6" s="54">
        <v>3</v>
      </c>
      <c r="P6" s="54">
        <v>3</v>
      </c>
      <c r="Q6" s="54">
        <v>3</v>
      </c>
      <c r="R6" s="54">
        <v>3</v>
      </c>
      <c r="S6" s="54">
        <v>3</v>
      </c>
      <c r="T6" s="54">
        <v>3</v>
      </c>
      <c r="U6" s="56">
        <f t="shared" si="0"/>
        <v>51</v>
      </c>
    </row>
    <row r="7" spans="1:21" s="52" customFormat="1" ht="22.2" customHeight="1" x14ac:dyDescent="0.3">
      <c r="A7" s="54">
        <v>4</v>
      </c>
      <c r="B7" s="112" t="s">
        <v>5</v>
      </c>
      <c r="C7" s="112"/>
      <c r="D7" s="54">
        <v>1</v>
      </c>
      <c r="E7" s="54">
        <v>1</v>
      </c>
      <c r="F7" s="54">
        <v>1</v>
      </c>
      <c r="G7" s="54">
        <v>1</v>
      </c>
      <c r="H7" s="54">
        <v>1</v>
      </c>
      <c r="I7" s="54">
        <v>1</v>
      </c>
      <c r="J7" s="54">
        <v>1</v>
      </c>
      <c r="K7" s="54">
        <v>1</v>
      </c>
      <c r="L7" s="54">
        <v>1</v>
      </c>
      <c r="M7" s="54">
        <v>1</v>
      </c>
      <c r="N7" s="54">
        <v>1</v>
      </c>
      <c r="O7" s="54">
        <v>1</v>
      </c>
      <c r="P7" s="54">
        <v>1</v>
      </c>
      <c r="Q7" s="54">
        <v>1</v>
      </c>
      <c r="R7" s="54">
        <v>1</v>
      </c>
      <c r="S7" s="54">
        <v>1</v>
      </c>
      <c r="T7" s="54">
        <v>1</v>
      </c>
      <c r="U7" s="56">
        <f t="shared" si="0"/>
        <v>17</v>
      </c>
    </row>
    <row r="8" spans="1:21" s="52" customFormat="1" ht="22.2" customHeight="1" x14ac:dyDescent="0.3">
      <c r="A8" s="113">
        <v>5</v>
      </c>
      <c r="B8" s="112" t="s">
        <v>8</v>
      </c>
      <c r="C8" s="55" t="s">
        <v>6</v>
      </c>
      <c r="D8" s="28">
        <v>2</v>
      </c>
      <c r="E8" s="28">
        <v>2</v>
      </c>
      <c r="F8" s="28">
        <v>2</v>
      </c>
      <c r="G8" s="28">
        <v>2</v>
      </c>
      <c r="H8" s="28">
        <v>2</v>
      </c>
      <c r="I8" s="28">
        <v>1</v>
      </c>
      <c r="J8" s="28">
        <v>1</v>
      </c>
      <c r="K8" s="28">
        <v>1</v>
      </c>
      <c r="L8" s="28">
        <v>1</v>
      </c>
      <c r="M8" s="28">
        <v>2</v>
      </c>
      <c r="N8" s="28">
        <v>2</v>
      </c>
      <c r="O8" s="28">
        <v>2</v>
      </c>
      <c r="P8" s="28">
        <v>2</v>
      </c>
      <c r="Q8" s="28">
        <v>1</v>
      </c>
      <c r="R8" s="28">
        <v>1</v>
      </c>
      <c r="S8" s="28">
        <v>1</v>
      </c>
      <c r="T8" s="28">
        <v>1</v>
      </c>
      <c r="U8" s="56">
        <f t="shared" si="0"/>
        <v>26</v>
      </c>
    </row>
    <row r="9" spans="1:21" s="52" customFormat="1" ht="22.2" customHeight="1" x14ac:dyDescent="0.3">
      <c r="A9" s="113"/>
      <c r="B9" s="112"/>
      <c r="C9" s="55" t="s">
        <v>7</v>
      </c>
      <c r="D9" s="28">
        <v>1</v>
      </c>
      <c r="E9" s="28">
        <v>1</v>
      </c>
      <c r="F9" s="28">
        <v>1</v>
      </c>
      <c r="G9" s="28">
        <v>1</v>
      </c>
      <c r="H9" s="28">
        <v>1</v>
      </c>
      <c r="I9" s="28">
        <v>2</v>
      </c>
      <c r="J9" s="28">
        <v>2</v>
      </c>
      <c r="K9" s="28">
        <v>2</v>
      </c>
      <c r="L9" s="28">
        <v>2</v>
      </c>
      <c r="M9" s="28">
        <v>1</v>
      </c>
      <c r="N9" s="28">
        <v>1</v>
      </c>
      <c r="O9" s="28">
        <v>1</v>
      </c>
      <c r="P9" s="28">
        <v>1</v>
      </c>
      <c r="Q9" s="28">
        <v>2</v>
      </c>
      <c r="R9" s="28">
        <v>2</v>
      </c>
      <c r="S9" s="28">
        <v>2</v>
      </c>
      <c r="T9" s="28">
        <v>2</v>
      </c>
      <c r="U9" s="56">
        <f>SUM(D9:T9)</f>
        <v>25</v>
      </c>
    </row>
    <row r="10" spans="1:21" s="52" customFormat="1" ht="22.2" customHeight="1" x14ac:dyDescent="0.3">
      <c r="A10" s="113">
        <v>6</v>
      </c>
      <c r="B10" s="112" t="s">
        <v>9</v>
      </c>
      <c r="C10" s="94" t="s">
        <v>10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1</v>
      </c>
      <c r="M10" s="90">
        <v>1</v>
      </c>
      <c r="N10" s="90">
        <v>1</v>
      </c>
      <c r="O10" s="90">
        <v>1</v>
      </c>
      <c r="P10" s="90">
        <v>1</v>
      </c>
      <c r="Q10" s="90">
        <v>1</v>
      </c>
      <c r="R10" s="90">
        <v>1</v>
      </c>
      <c r="S10" s="90">
        <v>1</v>
      </c>
      <c r="T10" s="90">
        <v>1</v>
      </c>
      <c r="U10" s="93">
        <f t="shared" ref="U10:U12" si="1">SUM(D10:T10)</f>
        <v>17</v>
      </c>
    </row>
    <row r="11" spans="1:21" s="52" customFormat="1" ht="22.2" customHeight="1" x14ac:dyDescent="0.3">
      <c r="A11" s="113"/>
      <c r="B11" s="112"/>
      <c r="C11" s="94" t="s">
        <v>11</v>
      </c>
      <c r="D11" s="90">
        <v>2</v>
      </c>
      <c r="E11" s="90">
        <v>2</v>
      </c>
      <c r="F11" s="90">
        <v>2</v>
      </c>
      <c r="G11" s="90">
        <v>2</v>
      </c>
      <c r="H11" s="90">
        <v>2</v>
      </c>
      <c r="I11" s="90">
        <v>2</v>
      </c>
      <c r="J11" s="90">
        <v>2</v>
      </c>
      <c r="K11" s="90">
        <v>2</v>
      </c>
      <c r="L11" s="91">
        <v>2</v>
      </c>
      <c r="M11" s="90">
        <v>2</v>
      </c>
      <c r="N11" s="90">
        <v>2</v>
      </c>
      <c r="O11" s="90">
        <v>2</v>
      </c>
      <c r="P11" s="90">
        <v>2</v>
      </c>
      <c r="Q11" s="90">
        <v>2</v>
      </c>
      <c r="R11" s="90">
        <v>2</v>
      </c>
      <c r="S11" s="91">
        <v>2</v>
      </c>
      <c r="T11" s="90">
        <v>2</v>
      </c>
      <c r="U11" s="93">
        <f t="shared" si="1"/>
        <v>34</v>
      </c>
    </row>
    <row r="12" spans="1:21" s="52" customFormat="1" ht="22.2" customHeight="1" x14ac:dyDescent="0.3">
      <c r="A12" s="113"/>
      <c r="B12" s="112"/>
      <c r="C12" s="94" t="s">
        <v>12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90">
        <v>1</v>
      </c>
      <c r="J12" s="90">
        <v>1</v>
      </c>
      <c r="K12" s="90">
        <v>1</v>
      </c>
      <c r="L12" s="90">
        <v>1</v>
      </c>
      <c r="M12" s="90">
        <v>1</v>
      </c>
      <c r="N12" s="90">
        <v>1</v>
      </c>
      <c r="O12" s="90">
        <v>1</v>
      </c>
      <c r="P12" s="90">
        <v>1</v>
      </c>
      <c r="Q12" s="90">
        <v>1</v>
      </c>
      <c r="R12" s="90">
        <v>1</v>
      </c>
      <c r="S12" s="90">
        <v>1</v>
      </c>
      <c r="T12" s="90">
        <v>1</v>
      </c>
      <c r="U12" s="93">
        <f t="shared" si="1"/>
        <v>17</v>
      </c>
    </row>
    <row r="13" spans="1:21" s="52" customFormat="1" ht="22.2" customHeight="1" x14ac:dyDescent="0.3">
      <c r="A13" s="54">
        <v>7</v>
      </c>
      <c r="B13" s="112" t="s">
        <v>13</v>
      </c>
      <c r="C13" s="112"/>
      <c r="D13" s="75">
        <v>2</v>
      </c>
      <c r="E13" s="75">
        <v>2</v>
      </c>
      <c r="F13" s="75">
        <v>2</v>
      </c>
      <c r="G13" s="75">
        <v>2</v>
      </c>
      <c r="H13" s="75">
        <v>2</v>
      </c>
      <c r="I13" s="75">
        <v>2</v>
      </c>
      <c r="J13" s="75">
        <v>2</v>
      </c>
      <c r="K13" s="75">
        <v>2</v>
      </c>
      <c r="L13" s="75">
        <v>1</v>
      </c>
      <c r="M13" s="75">
        <v>1</v>
      </c>
      <c r="N13" s="75">
        <v>1</v>
      </c>
      <c r="O13" s="75">
        <v>1</v>
      </c>
      <c r="P13" s="75">
        <v>1</v>
      </c>
      <c r="Q13" s="75">
        <v>1</v>
      </c>
      <c r="R13" s="75">
        <v>1</v>
      </c>
      <c r="S13" s="75">
        <v>1</v>
      </c>
      <c r="T13" s="75">
        <v>1</v>
      </c>
      <c r="U13" s="56">
        <f t="shared" si="0"/>
        <v>25</v>
      </c>
    </row>
    <row r="14" spans="1:21" s="52" customFormat="1" ht="22.2" customHeight="1" x14ac:dyDescent="0.3">
      <c r="A14" s="54">
        <v>8</v>
      </c>
      <c r="B14" s="112" t="s">
        <v>14</v>
      </c>
      <c r="C14" s="112"/>
      <c r="D14" s="54">
        <v>1</v>
      </c>
      <c r="E14" s="54">
        <v>1</v>
      </c>
      <c r="F14" s="54">
        <v>1</v>
      </c>
      <c r="G14" s="54">
        <v>1</v>
      </c>
      <c r="H14" s="54">
        <v>1</v>
      </c>
      <c r="I14" s="54">
        <v>1</v>
      </c>
      <c r="J14" s="54">
        <v>1</v>
      </c>
      <c r="K14" s="54">
        <v>1</v>
      </c>
      <c r="L14" s="54">
        <v>1</v>
      </c>
      <c r="M14" s="54">
        <v>1</v>
      </c>
      <c r="N14" s="54">
        <v>1</v>
      </c>
      <c r="O14" s="54">
        <v>1</v>
      </c>
      <c r="P14" s="54">
        <v>1</v>
      </c>
      <c r="Q14" s="54">
        <v>1</v>
      </c>
      <c r="R14" s="54">
        <v>1</v>
      </c>
      <c r="S14" s="54">
        <v>1</v>
      </c>
      <c r="T14" s="54">
        <v>1</v>
      </c>
      <c r="U14" s="56">
        <f t="shared" si="0"/>
        <v>17</v>
      </c>
    </row>
    <row r="15" spans="1:21" s="52" customFormat="1" ht="22.2" customHeight="1" x14ac:dyDescent="0.3">
      <c r="A15" s="54">
        <v>9</v>
      </c>
      <c r="B15" s="112" t="s">
        <v>15</v>
      </c>
      <c r="C15" s="112"/>
      <c r="D15" s="54">
        <v>2</v>
      </c>
      <c r="E15" s="54">
        <v>2</v>
      </c>
      <c r="F15" s="54">
        <v>2</v>
      </c>
      <c r="G15" s="54">
        <v>2</v>
      </c>
      <c r="H15" s="54">
        <v>2</v>
      </c>
      <c r="I15" s="54">
        <v>2</v>
      </c>
      <c r="J15" s="54">
        <v>2</v>
      </c>
      <c r="K15" s="54">
        <v>2</v>
      </c>
      <c r="L15" s="54">
        <v>2</v>
      </c>
      <c r="M15" s="54">
        <v>2</v>
      </c>
      <c r="N15" s="54">
        <v>2</v>
      </c>
      <c r="O15" s="54">
        <v>2</v>
      </c>
      <c r="P15" s="54">
        <v>2</v>
      </c>
      <c r="Q15" s="54">
        <v>2</v>
      </c>
      <c r="R15" s="54">
        <v>2</v>
      </c>
      <c r="S15" s="54">
        <v>2</v>
      </c>
      <c r="T15" s="54">
        <v>2</v>
      </c>
      <c r="U15" s="56">
        <f t="shared" si="0"/>
        <v>34</v>
      </c>
    </row>
    <row r="16" spans="1:21" s="52" customFormat="1" ht="22.2" customHeight="1" x14ac:dyDescent="0.3">
      <c r="A16" s="54">
        <v>10</v>
      </c>
      <c r="B16" s="112" t="s">
        <v>16</v>
      </c>
      <c r="C16" s="112"/>
      <c r="D16" s="54">
        <v>3</v>
      </c>
      <c r="E16" s="54">
        <v>3</v>
      </c>
      <c r="F16" s="54">
        <v>3</v>
      </c>
      <c r="G16" s="54">
        <v>3</v>
      </c>
      <c r="H16" s="54">
        <v>3</v>
      </c>
      <c r="I16" s="54">
        <v>3</v>
      </c>
      <c r="J16" s="54">
        <v>3</v>
      </c>
      <c r="K16" s="54">
        <v>3</v>
      </c>
      <c r="L16" s="54">
        <v>3</v>
      </c>
      <c r="M16" s="54">
        <v>3</v>
      </c>
      <c r="N16" s="54">
        <v>3</v>
      </c>
      <c r="O16" s="54">
        <v>3</v>
      </c>
      <c r="P16" s="54">
        <v>3</v>
      </c>
      <c r="Q16" s="54">
        <v>3</v>
      </c>
      <c r="R16" s="54">
        <v>3</v>
      </c>
      <c r="S16" s="54">
        <v>3</v>
      </c>
      <c r="T16" s="54">
        <v>3</v>
      </c>
      <c r="U16" s="56">
        <f t="shared" si="0"/>
        <v>51</v>
      </c>
    </row>
    <row r="17" spans="1:22" s="52" customFormat="1" ht="22.2" customHeight="1" x14ac:dyDescent="0.3">
      <c r="A17" s="54">
        <v>11</v>
      </c>
      <c r="B17" s="127" t="s">
        <v>31</v>
      </c>
      <c r="C17" s="128"/>
      <c r="D17" s="54">
        <v>1</v>
      </c>
      <c r="E17" s="54">
        <v>1</v>
      </c>
      <c r="F17" s="54">
        <v>1</v>
      </c>
      <c r="G17" s="54">
        <v>1</v>
      </c>
      <c r="H17" s="54">
        <v>1</v>
      </c>
      <c r="I17" s="54">
        <v>1</v>
      </c>
      <c r="J17" s="54">
        <v>1</v>
      </c>
      <c r="K17" s="54">
        <v>1</v>
      </c>
      <c r="L17" s="54">
        <v>1</v>
      </c>
      <c r="M17" s="54">
        <v>1</v>
      </c>
      <c r="N17" s="54">
        <v>1</v>
      </c>
      <c r="O17" s="54">
        <v>1</v>
      </c>
      <c r="P17" s="54">
        <v>1</v>
      </c>
      <c r="Q17" s="54">
        <v>1</v>
      </c>
      <c r="R17" s="54">
        <v>1</v>
      </c>
      <c r="S17" s="54">
        <v>1</v>
      </c>
      <c r="T17" s="54">
        <v>1</v>
      </c>
      <c r="U17" s="56">
        <f t="shared" si="0"/>
        <v>17</v>
      </c>
      <c r="V17" s="57"/>
    </row>
    <row r="18" spans="1:22" s="52" customFormat="1" ht="22.2" customHeight="1" x14ac:dyDescent="0.3">
      <c r="A18" s="113">
        <v>12</v>
      </c>
      <c r="B18" s="112" t="s">
        <v>21</v>
      </c>
      <c r="C18" s="55" t="s">
        <v>25</v>
      </c>
      <c r="D18" s="54">
        <v>1</v>
      </c>
      <c r="E18" s="54">
        <v>1</v>
      </c>
      <c r="F18" s="54">
        <v>1</v>
      </c>
      <c r="G18" s="54">
        <v>1</v>
      </c>
      <c r="H18" s="54">
        <v>1</v>
      </c>
      <c r="I18" s="54">
        <v>1</v>
      </c>
      <c r="J18" s="54">
        <v>1</v>
      </c>
      <c r="K18" s="54">
        <v>1</v>
      </c>
      <c r="L18" s="54">
        <v>1</v>
      </c>
      <c r="M18" s="54">
        <v>1</v>
      </c>
      <c r="N18" s="54">
        <v>1</v>
      </c>
      <c r="O18" s="54">
        <v>1</v>
      </c>
      <c r="P18" s="54">
        <v>1</v>
      </c>
      <c r="Q18" s="54">
        <v>1</v>
      </c>
      <c r="R18" s="54">
        <v>1</v>
      </c>
      <c r="S18" s="54">
        <v>1</v>
      </c>
      <c r="T18" s="54">
        <v>1</v>
      </c>
      <c r="U18" s="56">
        <f t="shared" si="0"/>
        <v>17</v>
      </c>
    </row>
    <row r="19" spans="1:22" s="52" customFormat="1" ht="22.2" customHeight="1" x14ac:dyDescent="0.3">
      <c r="A19" s="131"/>
      <c r="B19" s="132"/>
      <c r="C19" s="59" t="s">
        <v>23</v>
      </c>
      <c r="D19" s="58">
        <v>1</v>
      </c>
      <c r="E19" s="58">
        <v>1</v>
      </c>
      <c r="F19" s="58">
        <v>1</v>
      </c>
      <c r="G19" s="58">
        <v>1</v>
      </c>
      <c r="H19" s="58">
        <v>1</v>
      </c>
      <c r="I19" s="58">
        <v>1</v>
      </c>
      <c r="J19" s="58">
        <v>1</v>
      </c>
      <c r="K19" s="58">
        <v>1</v>
      </c>
      <c r="L19" s="58">
        <v>1</v>
      </c>
      <c r="M19" s="58">
        <v>1</v>
      </c>
      <c r="N19" s="58">
        <v>1</v>
      </c>
      <c r="O19" s="58">
        <v>1</v>
      </c>
      <c r="P19" s="58">
        <v>1</v>
      </c>
      <c r="Q19" s="58">
        <v>1</v>
      </c>
      <c r="R19" s="58">
        <v>1</v>
      </c>
      <c r="S19" s="58">
        <v>1</v>
      </c>
      <c r="T19" s="58">
        <v>1</v>
      </c>
      <c r="U19" s="60">
        <f t="shared" si="0"/>
        <v>17</v>
      </c>
    </row>
    <row r="20" spans="1:22" s="61" customFormat="1" ht="18.899999999999999" customHeight="1" x14ac:dyDescent="0.3">
      <c r="A20" s="110" t="s">
        <v>20</v>
      </c>
      <c r="B20" s="110"/>
      <c r="C20" s="110"/>
      <c r="D20" s="51">
        <f>SUM(D4:D19)</f>
        <v>30</v>
      </c>
      <c r="E20" s="51">
        <f t="shared" ref="E20:U20" si="2">SUM(E4:E19)</f>
        <v>30</v>
      </c>
      <c r="F20" s="51">
        <f t="shared" si="2"/>
        <v>30</v>
      </c>
      <c r="G20" s="51">
        <f t="shared" si="2"/>
        <v>30</v>
      </c>
      <c r="H20" s="51">
        <f t="shared" si="2"/>
        <v>30</v>
      </c>
      <c r="I20" s="51">
        <f t="shared" si="2"/>
        <v>30</v>
      </c>
      <c r="J20" s="51">
        <f t="shared" si="2"/>
        <v>30</v>
      </c>
      <c r="K20" s="51">
        <f t="shared" si="2"/>
        <v>30</v>
      </c>
      <c r="L20" s="51">
        <f t="shared" si="2"/>
        <v>29</v>
      </c>
      <c r="M20" s="51">
        <f t="shared" si="2"/>
        <v>29</v>
      </c>
      <c r="N20" s="51">
        <f t="shared" si="2"/>
        <v>29</v>
      </c>
      <c r="O20" s="51">
        <f t="shared" si="2"/>
        <v>29</v>
      </c>
      <c r="P20" s="51">
        <f t="shared" si="2"/>
        <v>29</v>
      </c>
      <c r="Q20" s="51">
        <f t="shared" si="2"/>
        <v>29</v>
      </c>
      <c r="R20" s="51">
        <f t="shared" si="2"/>
        <v>29</v>
      </c>
      <c r="S20" s="51">
        <f t="shared" si="2"/>
        <v>29</v>
      </c>
      <c r="T20" s="51">
        <f t="shared" si="2"/>
        <v>29</v>
      </c>
      <c r="U20" s="51">
        <f t="shared" si="2"/>
        <v>501</v>
      </c>
    </row>
    <row r="21" spans="1:22" s="65" customFormat="1" ht="18.899999999999999" customHeight="1" x14ac:dyDescent="0.3">
      <c r="A21" s="129">
        <v>12</v>
      </c>
      <c r="B21" s="114" t="s">
        <v>17</v>
      </c>
      <c r="C21" s="63" t="s">
        <v>7</v>
      </c>
      <c r="D21" s="62"/>
      <c r="E21" s="62"/>
      <c r="F21" s="62"/>
      <c r="G21" s="62"/>
      <c r="H21" s="62"/>
      <c r="I21" s="62"/>
      <c r="J21" s="62"/>
      <c r="K21" s="64">
        <v>2.2999999999999998</v>
      </c>
      <c r="L21" s="62"/>
      <c r="M21" s="64"/>
      <c r="N21" s="62"/>
      <c r="O21" s="62"/>
      <c r="P21" s="62"/>
      <c r="Q21" s="62">
        <v>3</v>
      </c>
      <c r="R21" s="62">
        <v>1.5</v>
      </c>
      <c r="T21" s="64"/>
      <c r="U21" s="64">
        <f>SUM(D21:T21)</f>
        <v>6.8</v>
      </c>
    </row>
    <row r="22" spans="1:22" s="65" customFormat="1" ht="18.899999999999999" customHeight="1" x14ac:dyDescent="0.3">
      <c r="A22" s="129"/>
      <c r="B22" s="114"/>
      <c r="C22" s="63" t="s">
        <v>26</v>
      </c>
      <c r="D22" s="62">
        <v>2</v>
      </c>
      <c r="E22" s="62"/>
      <c r="F22" s="62"/>
      <c r="G22" s="62"/>
      <c r="H22" s="62"/>
      <c r="I22" s="62"/>
      <c r="J22" s="62"/>
      <c r="K22" s="64">
        <v>0.3</v>
      </c>
      <c r="L22" s="62"/>
      <c r="M22" s="62">
        <v>1</v>
      </c>
      <c r="N22" s="62"/>
      <c r="O22" s="62">
        <v>3</v>
      </c>
      <c r="P22" s="62"/>
      <c r="Q22" s="62"/>
      <c r="R22" s="62">
        <v>0.5</v>
      </c>
      <c r="T22" s="64"/>
      <c r="U22" s="64">
        <f t="shared" ref="U22:U23" si="3">SUM(D22:T22)</f>
        <v>6.8</v>
      </c>
    </row>
    <row r="23" spans="1:22" s="65" customFormat="1" ht="18.899999999999999" customHeight="1" x14ac:dyDescent="0.3">
      <c r="A23" s="129"/>
      <c r="B23" s="114"/>
      <c r="C23" s="63" t="s">
        <v>5</v>
      </c>
      <c r="D23" s="62"/>
      <c r="E23" s="62"/>
      <c r="F23" s="62">
        <v>3</v>
      </c>
      <c r="G23" s="62"/>
      <c r="H23" s="62"/>
      <c r="I23" s="62"/>
      <c r="J23" s="62"/>
      <c r="K23" s="64">
        <v>0.4</v>
      </c>
      <c r="L23" s="62"/>
      <c r="M23" s="64"/>
      <c r="N23" s="62"/>
      <c r="O23" s="62"/>
      <c r="P23" s="62"/>
      <c r="Q23" s="62"/>
      <c r="R23" s="62"/>
      <c r="S23" s="62"/>
      <c r="T23" s="64"/>
      <c r="U23" s="64">
        <f t="shared" si="3"/>
        <v>3.4</v>
      </c>
      <c r="V23" s="66"/>
    </row>
    <row r="24" spans="1:22" s="65" customFormat="1" ht="18.899999999999999" customHeight="1" x14ac:dyDescent="0.3">
      <c r="A24" s="129"/>
      <c r="B24" s="114"/>
      <c r="C24" s="63" t="s">
        <v>12</v>
      </c>
      <c r="D24" s="62"/>
      <c r="E24" s="62"/>
      <c r="F24" s="62"/>
      <c r="G24" s="62"/>
      <c r="H24" s="62"/>
      <c r="I24" s="62"/>
      <c r="J24" s="62"/>
      <c r="K24" s="64"/>
      <c r="L24" s="62"/>
      <c r="M24" s="64"/>
      <c r="N24" s="62"/>
      <c r="O24" s="62"/>
      <c r="P24" s="62"/>
      <c r="Q24" s="62"/>
      <c r="R24" s="62"/>
      <c r="S24" s="62"/>
      <c r="T24" s="64"/>
      <c r="U24" s="67">
        <v>0</v>
      </c>
      <c r="V24" s="66"/>
    </row>
    <row r="25" spans="1:22" s="70" customFormat="1" ht="21" customHeight="1" x14ac:dyDescent="0.35">
      <c r="A25" s="62"/>
      <c r="B25" s="68" t="s">
        <v>29</v>
      </c>
      <c r="C25" s="68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8"/>
    </row>
    <row r="26" spans="1:22" ht="21" customHeight="1" x14ac:dyDescent="0.35">
      <c r="A26" s="71"/>
      <c r="B26" s="72"/>
      <c r="C26" s="72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2"/>
    </row>
    <row r="27" spans="1:22" ht="41.25" customHeight="1" x14ac:dyDescent="0.35"/>
  </sheetData>
  <mergeCells count="23">
    <mergeCell ref="A20:C20"/>
    <mergeCell ref="A21:A24"/>
    <mergeCell ref="B21:B24"/>
    <mergeCell ref="B13:C13"/>
    <mergeCell ref="B14:C14"/>
    <mergeCell ref="B15:C15"/>
    <mergeCell ref="B16:C16"/>
    <mergeCell ref="A18:A19"/>
    <mergeCell ref="B18:B19"/>
    <mergeCell ref="B17:C17"/>
    <mergeCell ref="A10:A12"/>
    <mergeCell ref="B10:B12"/>
    <mergeCell ref="A1:U1"/>
    <mergeCell ref="A2:A3"/>
    <mergeCell ref="B2:C3"/>
    <mergeCell ref="D2:T2"/>
    <mergeCell ref="U2:U3"/>
    <mergeCell ref="B4:C4"/>
    <mergeCell ref="B5:C5"/>
    <mergeCell ref="B6:C6"/>
    <mergeCell ref="B7:C7"/>
    <mergeCell ref="A8:A9"/>
    <mergeCell ref="B8:B9"/>
  </mergeCells>
  <pageMargins left="0.24" right="0.16" top="0.72" bottom="0.34" header="0.3" footer="0.3"/>
  <pageSetup paperSize="9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966E4-DC2A-4429-ABBD-F1AD3C59809C}">
  <dimension ref="A1:W32"/>
  <sheetViews>
    <sheetView topLeftCell="A4" zoomScale="85" zoomScaleNormal="85" workbookViewId="0">
      <selection activeCell="G2" sqref="G1:G1048576"/>
    </sheetView>
  </sheetViews>
  <sheetFormatPr defaultColWidth="9.109375" defaultRowHeight="18" x14ac:dyDescent="0.35"/>
  <cols>
    <col min="1" max="1" width="6.33203125" style="57" customWidth="1"/>
    <col min="2" max="2" width="8.6640625" style="50" customWidth="1"/>
    <col min="3" max="3" width="9.5546875" style="50" customWidth="1"/>
    <col min="4" max="12" width="5.88671875" style="74" customWidth="1"/>
    <col min="13" max="19" width="6" style="74" customWidth="1"/>
    <col min="20" max="20" width="8.6640625" style="74" customWidth="1"/>
    <col min="21" max="21" width="5.6640625" style="74" customWidth="1"/>
    <col min="22" max="22" width="8.109375" style="50" customWidth="1"/>
    <col min="23" max="16384" width="9.109375" style="50"/>
  </cols>
  <sheetData>
    <row r="1" spans="1:23" ht="26.25" customHeight="1" x14ac:dyDescent="0.35">
      <c r="A1" s="111" t="s">
        <v>33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</row>
    <row r="2" spans="1:23" ht="10.5" customHeight="1" x14ac:dyDescent="0.35"/>
    <row r="3" spans="1:23" s="79" customFormat="1" ht="21" customHeight="1" x14ac:dyDescent="0.3">
      <c r="A3" s="110" t="s">
        <v>32</v>
      </c>
      <c r="B3" s="110" t="s">
        <v>1</v>
      </c>
      <c r="C3" s="110"/>
      <c r="D3" s="110" t="s">
        <v>19</v>
      </c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 t="s">
        <v>18</v>
      </c>
    </row>
    <row r="4" spans="1:23" s="80" customFormat="1" ht="21" customHeight="1" x14ac:dyDescent="0.3">
      <c r="A4" s="110"/>
      <c r="B4" s="110"/>
      <c r="C4" s="110"/>
      <c r="D4" s="51">
        <v>1</v>
      </c>
      <c r="E4" s="51">
        <v>2</v>
      </c>
      <c r="F4" s="51">
        <v>3</v>
      </c>
      <c r="G4" s="51">
        <v>4</v>
      </c>
      <c r="H4" s="51">
        <v>5</v>
      </c>
      <c r="I4" s="51">
        <v>6</v>
      </c>
      <c r="J4" s="51">
        <v>7</v>
      </c>
      <c r="K4" s="51">
        <v>8</v>
      </c>
      <c r="L4" s="51">
        <v>9</v>
      </c>
      <c r="M4" s="51">
        <v>10</v>
      </c>
      <c r="N4" s="51">
        <v>11</v>
      </c>
      <c r="O4" s="51">
        <v>12</v>
      </c>
      <c r="P4" s="51">
        <v>13</v>
      </c>
      <c r="Q4" s="51">
        <v>14</v>
      </c>
      <c r="R4" s="51">
        <v>15</v>
      </c>
      <c r="S4" s="51">
        <v>16</v>
      </c>
      <c r="T4" s="51">
        <v>17</v>
      </c>
      <c r="U4" s="51">
        <v>18</v>
      </c>
      <c r="V4" s="110"/>
    </row>
    <row r="5" spans="1:23" s="79" customFormat="1" ht="21" customHeight="1" x14ac:dyDescent="0.3">
      <c r="A5" s="131">
        <v>6</v>
      </c>
      <c r="B5" s="113" t="s">
        <v>8</v>
      </c>
      <c r="C5" s="55" t="s">
        <v>6</v>
      </c>
      <c r="D5" s="99">
        <v>1</v>
      </c>
      <c r="E5" s="99">
        <v>1</v>
      </c>
      <c r="F5" s="14">
        <v>1</v>
      </c>
      <c r="G5" s="14">
        <v>1</v>
      </c>
      <c r="H5" s="14">
        <v>1</v>
      </c>
      <c r="I5" s="14">
        <v>2</v>
      </c>
      <c r="J5" s="14">
        <v>2</v>
      </c>
      <c r="K5" s="14">
        <v>2</v>
      </c>
      <c r="L5" s="14">
        <v>2</v>
      </c>
      <c r="M5" s="14">
        <v>2</v>
      </c>
      <c r="N5" s="14">
        <v>1</v>
      </c>
      <c r="O5" s="14">
        <v>1</v>
      </c>
      <c r="P5" s="14">
        <v>1</v>
      </c>
      <c r="Q5" s="14">
        <v>1</v>
      </c>
      <c r="R5" s="14">
        <v>2</v>
      </c>
      <c r="S5" s="14">
        <v>2</v>
      </c>
      <c r="T5" s="14">
        <v>2</v>
      </c>
      <c r="U5" s="14">
        <v>2</v>
      </c>
      <c r="V5" s="56">
        <f t="shared" ref="V5:V8" si="0">SUM(D5:U5)</f>
        <v>27</v>
      </c>
    </row>
    <row r="6" spans="1:23" s="79" customFormat="1" ht="21" customHeight="1" x14ac:dyDescent="0.3">
      <c r="A6" s="133"/>
      <c r="B6" s="113"/>
      <c r="C6" s="55" t="s">
        <v>7</v>
      </c>
      <c r="D6" s="99">
        <v>2</v>
      </c>
      <c r="E6" s="99">
        <v>2</v>
      </c>
      <c r="F6" s="14">
        <v>2</v>
      </c>
      <c r="G6" s="14">
        <v>2</v>
      </c>
      <c r="H6" s="14">
        <v>2</v>
      </c>
      <c r="I6" s="14">
        <v>1</v>
      </c>
      <c r="J6" s="14">
        <v>1</v>
      </c>
      <c r="K6" s="14">
        <v>1</v>
      </c>
      <c r="L6" s="14">
        <v>1</v>
      </c>
      <c r="M6" s="14">
        <v>1</v>
      </c>
      <c r="N6" s="14">
        <v>2</v>
      </c>
      <c r="O6" s="14">
        <v>2</v>
      </c>
      <c r="P6" s="14">
        <v>2</v>
      </c>
      <c r="Q6" s="14">
        <v>2</v>
      </c>
      <c r="R6" s="14">
        <v>1</v>
      </c>
      <c r="S6" s="14">
        <v>1</v>
      </c>
      <c r="T6" s="14">
        <v>1</v>
      </c>
      <c r="U6" s="14">
        <v>1</v>
      </c>
      <c r="V6" s="56">
        <f t="shared" si="0"/>
        <v>27</v>
      </c>
    </row>
    <row r="7" spans="1:23" s="79" customFormat="1" ht="21" customHeight="1" x14ac:dyDescent="0.3">
      <c r="A7" s="133"/>
      <c r="B7" s="113" t="s">
        <v>9</v>
      </c>
      <c r="C7" s="55" t="s">
        <v>10</v>
      </c>
      <c r="D7" s="100"/>
      <c r="E7" s="100">
        <v>2</v>
      </c>
      <c r="F7" s="28">
        <v>2</v>
      </c>
      <c r="G7" s="28">
        <v>2</v>
      </c>
      <c r="H7" s="28">
        <v>2</v>
      </c>
      <c r="I7" s="28">
        <v>2</v>
      </c>
      <c r="J7" s="28">
        <v>2</v>
      </c>
      <c r="K7" s="28">
        <v>2</v>
      </c>
      <c r="L7" s="28">
        <v>0</v>
      </c>
      <c r="M7" s="101">
        <v>2</v>
      </c>
      <c r="N7" s="28">
        <v>1</v>
      </c>
      <c r="O7" s="28">
        <v>1</v>
      </c>
      <c r="P7" s="28">
        <v>1</v>
      </c>
      <c r="Q7" s="28">
        <v>1</v>
      </c>
      <c r="R7" s="28">
        <v>1</v>
      </c>
      <c r="S7" s="28">
        <v>1</v>
      </c>
      <c r="T7" s="28">
        <v>2</v>
      </c>
      <c r="U7" s="28">
        <v>2</v>
      </c>
      <c r="V7" s="81">
        <f t="shared" si="0"/>
        <v>26</v>
      </c>
    </row>
    <row r="8" spans="1:23" s="79" customFormat="1" ht="21" customHeight="1" x14ac:dyDescent="0.3">
      <c r="A8" s="133"/>
      <c r="B8" s="113"/>
      <c r="C8" s="55" t="s">
        <v>11</v>
      </c>
      <c r="D8" s="100">
        <v>4</v>
      </c>
      <c r="E8" s="100">
        <v>2</v>
      </c>
      <c r="F8" s="28">
        <v>1</v>
      </c>
      <c r="G8" s="28">
        <v>1</v>
      </c>
      <c r="H8" s="28">
        <v>1</v>
      </c>
      <c r="I8" s="28"/>
      <c r="J8" s="28"/>
      <c r="K8" s="28">
        <v>1</v>
      </c>
      <c r="L8" s="28">
        <v>2</v>
      </c>
      <c r="M8" s="28">
        <v>0</v>
      </c>
      <c r="N8" s="28">
        <v>1</v>
      </c>
      <c r="O8" s="28">
        <v>1</v>
      </c>
      <c r="P8" s="28">
        <v>1</v>
      </c>
      <c r="Q8" s="28">
        <v>1</v>
      </c>
      <c r="R8" s="28">
        <v>1</v>
      </c>
      <c r="S8" s="28">
        <v>1</v>
      </c>
      <c r="T8" s="101">
        <v>2</v>
      </c>
      <c r="U8" s="28">
        <v>0</v>
      </c>
      <c r="V8" s="81">
        <f t="shared" si="0"/>
        <v>20</v>
      </c>
    </row>
    <row r="9" spans="1:23" s="79" customFormat="1" ht="21" customHeight="1" x14ac:dyDescent="0.3">
      <c r="A9" s="134"/>
      <c r="B9" s="113"/>
      <c r="C9" s="16" t="s">
        <v>12</v>
      </c>
      <c r="D9" s="100"/>
      <c r="E9" s="100"/>
      <c r="F9" s="28">
        <v>1</v>
      </c>
      <c r="G9" s="28">
        <v>1</v>
      </c>
      <c r="H9" s="28">
        <v>1</v>
      </c>
      <c r="I9" s="28">
        <v>2</v>
      </c>
      <c r="J9" s="28">
        <v>2</v>
      </c>
      <c r="K9" s="28">
        <v>1</v>
      </c>
      <c r="L9" s="28">
        <v>2</v>
      </c>
      <c r="M9" s="28">
        <v>2</v>
      </c>
      <c r="N9" s="28">
        <v>2</v>
      </c>
      <c r="O9" s="28">
        <v>2</v>
      </c>
      <c r="P9" s="28">
        <v>2</v>
      </c>
      <c r="Q9" s="28">
        <v>2</v>
      </c>
      <c r="R9" s="28">
        <v>2</v>
      </c>
      <c r="S9" s="28">
        <v>2</v>
      </c>
      <c r="T9" s="28">
        <v>0</v>
      </c>
      <c r="U9" s="28">
        <v>2</v>
      </c>
      <c r="V9" s="81">
        <f>SUM(D9:U9)</f>
        <v>26</v>
      </c>
    </row>
    <row r="10" spans="1:23" s="6" customFormat="1" ht="21" customHeight="1" x14ac:dyDescent="0.3">
      <c r="A10" s="122">
        <v>7</v>
      </c>
      <c r="B10" s="117" t="s">
        <v>8</v>
      </c>
      <c r="C10" s="16" t="s">
        <v>6</v>
      </c>
      <c r="D10" s="102">
        <v>2</v>
      </c>
      <c r="E10" s="102">
        <v>2</v>
      </c>
      <c r="F10" s="54">
        <v>2</v>
      </c>
      <c r="G10" s="54">
        <v>2</v>
      </c>
      <c r="H10" s="54">
        <v>2</v>
      </c>
      <c r="I10" s="54">
        <v>1</v>
      </c>
      <c r="J10" s="54">
        <v>1</v>
      </c>
      <c r="K10" s="54">
        <v>1</v>
      </c>
      <c r="L10" s="54">
        <v>1</v>
      </c>
      <c r="M10" s="54">
        <v>1</v>
      </c>
      <c r="N10" s="54">
        <v>2</v>
      </c>
      <c r="O10" s="54">
        <v>2</v>
      </c>
      <c r="P10" s="54">
        <v>2</v>
      </c>
      <c r="Q10" s="54">
        <v>2</v>
      </c>
      <c r="R10" s="54">
        <v>1</v>
      </c>
      <c r="S10" s="54">
        <v>1</v>
      </c>
      <c r="T10" s="54">
        <v>1</v>
      </c>
      <c r="U10" s="54">
        <v>1</v>
      </c>
      <c r="V10" s="15">
        <f t="shared" ref="V10:V11" si="1">SUM(D10:U10)</f>
        <v>27</v>
      </c>
    </row>
    <row r="11" spans="1:23" s="6" customFormat="1" ht="21" customHeight="1" x14ac:dyDescent="0.3">
      <c r="A11" s="135"/>
      <c r="B11" s="117"/>
      <c r="C11" s="16" t="s">
        <v>7</v>
      </c>
      <c r="D11" s="102">
        <v>1</v>
      </c>
      <c r="E11" s="102">
        <v>1</v>
      </c>
      <c r="F11" s="54">
        <v>1</v>
      </c>
      <c r="G11" s="54">
        <v>1</v>
      </c>
      <c r="H11" s="54">
        <v>1</v>
      </c>
      <c r="I11" s="54">
        <v>2</v>
      </c>
      <c r="J11" s="54">
        <v>2</v>
      </c>
      <c r="K11" s="54">
        <v>2</v>
      </c>
      <c r="L11" s="54">
        <v>2</v>
      </c>
      <c r="M11" s="54">
        <v>2</v>
      </c>
      <c r="N11" s="54">
        <v>1</v>
      </c>
      <c r="O11" s="54">
        <v>1</v>
      </c>
      <c r="P11" s="54">
        <v>1</v>
      </c>
      <c r="Q11" s="54">
        <v>1</v>
      </c>
      <c r="R11" s="54">
        <v>2</v>
      </c>
      <c r="S11" s="54">
        <v>2</v>
      </c>
      <c r="T11" s="54">
        <v>2</v>
      </c>
      <c r="U11" s="54">
        <v>2</v>
      </c>
      <c r="V11" s="15">
        <f t="shared" si="1"/>
        <v>27</v>
      </c>
    </row>
    <row r="12" spans="1:23" s="6" customFormat="1" ht="21" customHeight="1" x14ac:dyDescent="0.3">
      <c r="A12" s="135"/>
      <c r="B12" s="117" t="s">
        <v>9</v>
      </c>
      <c r="C12" s="16" t="s">
        <v>10</v>
      </c>
      <c r="D12" s="103">
        <v>1</v>
      </c>
      <c r="E12" s="103">
        <v>1</v>
      </c>
      <c r="F12" s="89">
        <v>1</v>
      </c>
      <c r="G12" s="89">
        <v>1</v>
      </c>
      <c r="H12" s="89">
        <v>1</v>
      </c>
      <c r="I12" s="89">
        <v>1</v>
      </c>
      <c r="J12" s="89">
        <v>1</v>
      </c>
      <c r="K12" s="89">
        <v>1</v>
      </c>
      <c r="L12" s="89">
        <v>1</v>
      </c>
      <c r="M12" s="26">
        <v>1</v>
      </c>
      <c r="N12" s="26">
        <v>1</v>
      </c>
      <c r="O12" s="26">
        <v>1</v>
      </c>
      <c r="P12" s="26">
        <v>1</v>
      </c>
      <c r="Q12" s="26">
        <v>1</v>
      </c>
      <c r="R12" s="26">
        <v>1</v>
      </c>
      <c r="S12" s="26">
        <v>1</v>
      </c>
      <c r="T12" s="26">
        <v>1</v>
      </c>
      <c r="U12" s="26">
        <v>1</v>
      </c>
      <c r="V12" s="27">
        <f>SUM(D12:U12)</f>
        <v>18</v>
      </c>
    </row>
    <row r="13" spans="1:23" s="6" customFormat="1" ht="21" customHeight="1" x14ac:dyDescent="0.3">
      <c r="A13" s="135"/>
      <c r="B13" s="117"/>
      <c r="C13" s="16" t="s">
        <v>11</v>
      </c>
      <c r="D13" s="104">
        <v>1</v>
      </c>
      <c r="E13" s="104">
        <v>1</v>
      </c>
      <c r="F13" s="26">
        <v>1</v>
      </c>
      <c r="G13" s="26">
        <v>1</v>
      </c>
      <c r="H13" s="26">
        <v>1</v>
      </c>
      <c r="I13" s="26">
        <v>1</v>
      </c>
      <c r="J13" s="26">
        <v>1</v>
      </c>
      <c r="K13" s="26">
        <v>1</v>
      </c>
      <c r="L13" s="104">
        <v>0</v>
      </c>
      <c r="M13" s="105">
        <v>2</v>
      </c>
      <c r="N13" s="89">
        <v>1</v>
      </c>
      <c r="O13" s="89">
        <v>1</v>
      </c>
      <c r="P13" s="89">
        <v>1</v>
      </c>
      <c r="Q13" s="89">
        <v>1</v>
      </c>
      <c r="R13" s="89">
        <v>1</v>
      </c>
      <c r="S13" s="26">
        <v>1</v>
      </c>
      <c r="T13" s="89">
        <v>1</v>
      </c>
      <c r="U13" s="89">
        <v>1</v>
      </c>
      <c r="V13" s="27">
        <f t="shared" ref="V13:V16" si="2">SUM(D13:U13)</f>
        <v>18</v>
      </c>
    </row>
    <row r="14" spans="1:23" s="6" customFormat="1" ht="21" customHeight="1" x14ac:dyDescent="0.3">
      <c r="A14" s="126"/>
      <c r="B14" s="117"/>
      <c r="C14" s="16" t="s">
        <v>12</v>
      </c>
      <c r="D14" s="103">
        <v>2</v>
      </c>
      <c r="E14" s="103">
        <v>2</v>
      </c>
      <c r="F14" s="89">
        <v>2</v>
      </c>
      <c r="G14" s="89">
        <v>2</v>
      </c>
      <c r="H14" s="89">
        <v>2</v>
      </c>
      <c r="I14" s="89">
        <v>2</v>
      </c>
      <c r="J14" s="89">
        <v>2</v>
      </c>
      <c r="K14" s="89">
        <v>2</v>
      </c>
      <c r="L14" s="103">
        <v>3</v>
      </c>
      <c r="M14" s="103">
        <v>1</v>
      </c>
      <c r="N14" s="89">
        <v>2</v>
      </c>
      <c r="O14" s="89">
        <v>2</v>
      </c>
      <c r="P14" s="89">
        <v>2</v>
      </c>
      <c r="Q14" s="89">
        <v>2</v>
      </c>
      <c r="R14" s="89">
        <v>2</v>
      </c>
      <c r="S14" s="89">
        <v>2</v>
      </c>
      <c r="T14" s="96">
        <v>2</v>
      </c>
      <c r="U14" s="89">
        <v>2</v>
      </c>
      <c r="V14" s="27">
        <f t="shared" si="2"/>
        <v>36</v>
      </c>
    </row>
    <row r="15" spans="1:23" s="12" customFormat="1" ht="21" customHeight="1" x14ac:dyDescent="0.3">
      <c r="A15" s="122">
        <v>8</v>
      </c>
      <c r="B15" s="117" t="s">
        <v>8</v>
      </c>
      <c r="C15" s="16" t="s">
        <v>6</v>
      </c>
      <c r="D15" s="99">
        <v>1</v>
      </c>
      <c r="E15" s="99">
        <v>1</v>
      </c>
      <c r="F15" s="14">
        <v>1</v>
      </c>
      <c r="G15" s="14">
        <v>1</v>
      </c>
      <c r="H15" s="14">
        <v>1</v>
      </c>
      <c r="I15" s="14">
        <v>2</v>
      </c>
      <c r="J15" s="14">
        <v>2</v>
      </c>
      <c r="K15" s="14">
        <v>2</v>
      </c>
      <c r="L15" s="14">
        <v>2</v>
      </c>
      <c r="M15" s="14">
        <v>2</v>
      </c>
      <c r="N15" s="14">
        <v>1</v>
      </c>
      <c r="O15" s="14">
        <v>1</v>
      </c>
      <c r="P15" s="14">
        <v>1</v>
      </c>
      <c r="Q15" s="14">
        <v>1</v>
      </c>
      <c r="R15" s="14">
        <v>2</v>
      </c>
      <c r="S15" s="14">
        <v>2</v>
      </c>
      <c r="T15" s="14">
        <v>2</v>
      </c>
      <c r="U15" s="14">
        <v>2</v>
      </c>
      <c r="V15" s="15">
        <f t="shared" si="2"/>
        <v>27</v>
      </c>
      <c r="W15" s="24"/>
    </row>
    <row r="16" spans="1:23" s="12" customFormat="1" ht="21" customHeight="1" x14ac:dyDescent="0.3">
      <c r="A16" s="135"/>
      <c r="B16" s="117"/>
      <c r="C16" s="16" t="s">
        <v>7</v>
      </c>
      <c r="D16" s="99">
        <v>2</v>
      </c>
      <c r="E16" s="99">
        <v>2</v>
      </c>
      <c r="F16" s="14">
        <v>2</v>
      </c>
      <c r="G16" s="14">
        <v>2</v>
      </c>
      <c r="H16" s="14">
        <v>2</v>
      </c>
      <c r="I16" s="14">
        <v>1</v>
      </c>
      <c r="J16" s="14">
        <v>1</v>
      </c>
      <c r="K16" s="14">
        <v>1</v>
      </c>
      <c r="L16" s="14">
        <v>1</v>
      </c>
      <c r="M16" s="14">
        <v>1</v>
      </c>
      <c r="N16" s="14">
        <v>2</v>
      </c>
      <c r="O16" s="14">
        <v>2</v>
      </c>
      <c r="P16" s="14">
        <v>2</v>
      </c>
      <c r="Q16" s="14">
        <v>2</v>
      </c>
      <c r="R16" s="14">
        <v>1</v>
      </c>
      <c r="S16" s="14">
        <v>1</v>
      </c>
      <c r="T16" s="14">
        <v>1</v>
      </c>
      <c r="U16" s="14">
        <v>1</v>
      </c>
      <c r="V16" s="15">
        <f t="shared" si="2"/>
        <v>27</v>
      </c>
      <c r="W16" s="24"/>
    </row>
    <row r="17" spans="1:23" s="24" customFormat="1" ht="21" customHeight="1" x14ac:dyDescent="0.3">
      <c r="A17" s="135">
        <v>6</v>
      </c>
      <c r="B17" s="121" t="s">
        <v>9</v>
      </c>
      <c r="C17" s="14" t="s">
        <v>10</v>
      </c>
      <c r="D17" s="104">
        <v>1</v>
      </c>
      <c r="E17" s="104">
        <v>2</v>
      </c>
      <c r="F17" s="26">
        <v>2</v>
      </c>
      <c r="G17" s="26">
        <v>2</v>
      </c>
      <c r="H17" s="26">
        <v>2</v>
      </c>
      <c r="I17" s="26">
        <v>2</v>
      </c>
      <c r="J17" s="89">
        <v>2</v>
      </c>
      <c r="K17" s="89">
        <v>2</v>
      </c>
      <c r="L17" s="89">
        <v>2</v>
      </c>
      <c r="M17" s="89">
        <v>2</v>
      </c>
      <c r="N17" s="89">
        <v>1</v>
      </c>
      <c r="O17" s="89">
        <v>1</v>
      </c>
      <c r="P17" s="26">
        <v>1</v>
      </c>
      <c r="Q17" s="26">
        <v>1</v>
      </c>
      <c r="R17" s="26">
        <v>1</v>
      </c>
      <c r="S17" s="26">
        <v>1</v>
      </c>
      <c r="T17" s="98">
        <v>2</v>
      </c>
      <c r="U17" s="26">
        <v>0</v>
      </c>
      <c r="V17" s="27">
        <f>SUM(D17:U17)</f>
        <v>27</v>
      </c>
    </row>
    <row r="18" spans="1:23" s="24" customFormat="1" ht="21" customHeight="1" x14ac:dyDescent="0.3">
      <c r="A18" s="135"/>
      <c r="B18" s="121"/>
      <c r="C18" s="14" t="s">
        <v>11</v>
      </c>
      <c r="D18" s="104">
        <v>3</v>
      </c>
      <c r="E18" s="104">
        <v>2</v>
      </c>
      <c r="F18" s="26">
        <v>2</v>
      </c>
      <c r="G18" s="26">
        <v>2</v>
      </c>
      <c r="H18" s="26">
        <v>2</v>
      </c>
      <c r="I18" s="26">
        <v>2</v>
      </c>
      <c r="J18" s="26">
        <v>2</v>
      </c>
      <c r="K18" s="26">
        <v>2</v>
      </c>
      <c r="L18" s="26">
        <v>1</v>
      </c>
      <c r="M18" s="98">
        <v>2</v>
      </c>
      <c r="N18" s="26">
        <v>1</v>
      </c>
      <c r="O18" s="26">
        <v>1</v>
      </c>
      <c r="P18" s="26">
        <v>1</v>
      </c>
      <c r="Q18" s="26">
        <v>1</v>
      </c>
      <c r="R18" s="26">
        <v>1</v>
      </c>
      <c r="S18" s="26">
        <v>1</v>
      </c>
      <c r="T18" s="26">
        <v>0</v>
      </c>
      <c r="U18" s="26">
        <v>2</v>
      </c>
      <c r="V18" s="27">
        <f t="shared" ref="V18:V21" si="3">SUM(D18:U18)</f>
        <v>28</v>
      </c>
    </row>
    <row r="19" spans="1:23" s="24" customFormat="1" ht="21" customHeight="1" x14ac:dyDescent="0.3">
      <c r="A19" s="126"/>
      <c r="B19" s="121"/>
      <c r="C19" s="14" t="s">
        <v>12</v>
      </c>
      <c r="D19" s="103"/>
      <c r="E19" s="103"/>
      <c r="F19" s="89"/>
      <c r="G19" s="89"/>
      <c r="H19" s="89"/>
      <c r="I19" s="89"/>
      <c r="J19" s="89"/>
      <c r="K19" s="89"/>
      <c r="L19" s="89">
        <v>1</v>
      </c>
      <c r="M19" s="89">
        <v>0</v>
      </c>
      <c r="N19" s="89">
        <v>2</v>
      </c>
      <c r="O19" s="89">
        <v>2</v>
      </c>
      <c r="P19" s="89">
        <v>2</v>
      </c>
      <c r="Q19" s="89">
        <v>2</v>
      </c>
      <c r="R19" s="89">
        <v>2</v>
      </c>
      <c r="S19" s="89">
        <v>2</v>
      </c>
      <c r="T19" s="89">
        <v>2</v>
      </c>
      <c r="U19" s="89">
        <v>2</v>
      </c>
      <c r="V19" s="27">
        <f t="shared" si="3"/>
        <v>17</v>
      </c>
    </row>
    <row r="20" spans="1:23" s="12" customFormat="1" ht="21" customHeight="1" x14ac:dyDescent="0.3">
      <c r="A20" s="122">
        <v>9</v>
      </c>
      <c r="B20" s="117" t="s">
        <v>8</v>
      </c>
      <c r="C20" s="16" t="s">
        <v>6</v>
      </c>
      <c r="D20" s="102">
        <v>2</v>
      </c>
      <c r="E20" s="102">
        <v>2</v>
      </c>
      <c r="F20" s="54">
        <v>2</v>
      </c>
      <c r="G20" s="54">
        <v>2</v>
      </c>
      <c r="H20" s="54">
        <v>2</v>
      </c>
      <c r="I20" s="54">
        <v>1</v>
      </c>
      <c r="J20" s="54">
        <v>1</v>
      </c>
      <c r="K20" s="54">
        <v>1</v>
      </c>
      <c r="L20" s="54">
        <v>1</v>
      </c>
      <c r="M20" s="54">
        <v>1</v>
      </c>
      <c r="N20" s="54">
        <v>2</v>
      </c>
      <c r="O20" s="54">
        <v>2</v>
      </c>
      <c r="P20" s="54">
        <v>2</v>
      </c>
      <c r="Q20" s="54">
        <v>2</v>
      </c>
      <c r="R20" s="54">
        <v>1</v>
      </c>
      <c r="S20" s="54">
        <v>1</v>
      </c>
      <c r="T20" s="54">
        <v>1</v>
      </c>
      <c r="U20" s="54">
        <v>1</v>
      </c>
      <c r="V20" s="15">
        <f t="shared" si="3"/>
        <v>27</v>
      </c>
      <c r="W20" s="24"/>
    </row>
    <row r="21" spans="1:23" s="12" customFormat="1" ht="21" customHeight="1" x14ac:dyDescent="0.3">
      <c r="A21" s="135"/>
      <c r="B21" s="117"/>
      <c r="C21" s="16" t="s">
        <v>7</v>
      </c>
      <c r="D21" s="102">
        <v>1</v>
      </c>
      <c r="E21" s="102">
        <v>1</v>
      </c>
      <c r="F21" s="54">
        <v>1</v>
      </c>
      <c r="G21" s="54">
        <v>1</v>
      </c>
      <c r="H21" s="54">
        <v>1</v>
      </c>
      <c r="I21" s="54">
        <v>2</v>
      </c>
      <c r="J21" s="54">
        <v>2</v>
      </c>
      <c r="K21" s="54">
        <v>2</v>
      </c>
      <c r="L21" s="54">
        <v>2</v>
      </c>
      <c r="M21" s="54">
        <v>2</v>
      </c>
      <c r="N21" s="54">
        <v>1</v>
      </c>
      <c r="O21" s="54">
        <v>1</v>
      </c>
      <c r="P21" s="54">
        <v>1</v>
      </c>
      <c r="Q21" s="54">
        <v>1</v>
      </c>
      <c r="R21" s="54">
        <v>2</v>
      </c>
      <c r="S21" s="54">
        <v>2</v>
      </c>
      <c r="T21" s="54">
        <v>2</v>
      </c>
      <c r="U21" s="54">
        <v>2</v>
      </c>
      <c r="V21" s="15">
        <f t="shared" si="3"/>
        <v>27</v>
      </c>
      <c r="W21" s="24"/>
    </row>
    <row r="22" spans="1:23" s="24" customFormat="1" ht="21" customHeight="1" x14ac:dyDescent="0.3">
      <c r="A22" s="135">
        <v>6</v>
      </c>
      <c r="B22" s="121" t="s">
        <v>9</v>
      </c>
      <c r="C22" s="14" t="s">
        <v>10</v>
      </c>
      <c r="D22" s="104"/>
      <c r="E22" s="104">
        <v>3</v>
      </c>
      <c r="F22" s="26">
        <v>2</v>
      </c>
      <c r="G22" s="26">
        <v>2</v>
      </c>
      <c r="H22" s="26">
        <v>2</v>
      </c>
      <c r="I22" s="26">
        <v>2</v>
      </c>
      <c r="J22" s="89">
        <v>2</v>
      </c>
      <c r="K22" s="89">
        <v>2</v>
      </c>
      <c r="L22" s="103">
        <v>1</v>
      </c>
      <c r="M22" s="105">
        <v>2</v>
      </c>
      <c r="N22" s="89">
        <v>1</v>
      </c>
      <c r="O22" s="89">
        <v>1</v>
      </c>
      <c r="P22" s="26">
        <v>1</v>
      </c>
      <c r="Q22" s="26">
        <v>1</v>
      </c>
      <c r="R22" s="26">
        <v>1</v>
      </c>
      <c r="S22" s="26">
        <v>1</v>
      </c>
      <c r="T22" s="26">
        <v>1</v>
      </c>
      <c r="U22" s="26">
        <v>1</v>
      </c>
      <c r="V22" s="27">
        <f>SUM(D22:U22)</f>
        <v>26</v>
      </c>
    </row>
    <row r="23" spans="1:23" s="24" customFormat="1" ht="21" customHeight="1" x14ac:dyDescent="0.3">
      <c r="A23" s="135"/>
      <c r="B23" s="121"/>
      <c r="C23" s="14" t="s">
        <v>11</v>
      </c>
      <c r="D23" s="104">
        <v>3</v>
      </c>
      <c r="E23" s="104"/>
      <c r="F23" s="26">
        <v>1</v>
      </c>
      <c r="G23" s="26">
        <v>1</v>
      </c>
      <c r="H23" s="26">
        <v>1</v>
      </c>
      <c r="I23" s="26">
        <v>1</v>
      </c>
      <c r="J23" s="26">
        <v>1</v>
      </c>
      <c r="K23" s="26">
        <v>1</v>
      </c>
      <c r="L23" s="104">
        <v>2</v>
      </c>
      <c r="M23" s="104">
        <v>1</v>
      </c>
      <c r="N23" s="26">
        <v>2</v>
      </c>
      <c r="O23" s="26">
        <v>2</v>
      </c>
      <c r="P23" s="26">
        <v>2</v>
      </c>
      <c r="Q23" s="26">
        <v>2</v>
      </c>
      <c r="R23" s="26">
        <v>2</v>
      </c>
      <c r="S23" s="26">
        <v>2</v>
      </c>
      <c r="T23" s="98">
        <v>2</v>
      </c>
      <c r="U23" s="26">
        <v>2</v>
      </c>
      <c r="V23" s="27">
        <f t="shared" ref="V23:V24" si="4">SUM(D23:U23)</f>
        <v>28</v>
      </c>
    </row>
    <row r="24" spans="1:23" s="24" customFormat="1" ht="21" customHeight="1" x14ac:dyDescent="0.3">
      <c r="A24" s="126"/>
      <c r="B24" s="121"/>
      <c r="C24" s="14" t="s">
        <v>12</v>
      </c>
      <c r="D24" s="103">
        <v>1</v>
      </c>
      <c r="E24" s="103">
        <v>1</v>
      </c>
      <c r="F24" s="89">
        <v>1</v>
      </c>
      <c r="G24" s="89">
        <v>1</v>
      </c>
      <c r="H24" s="89">
        <v>1</v>
      </c>
      <c r="I24" s="89">
        <v>1</v>
      </c>
      <c r="J24" s="89">
        <v>1</v>
      </c>
      <c r="K24" s="89">
        <v>1</v>
      </c>
      <c r="L24" s="103">
        <v>1</v>
      </c>
      <c r="M24" s="103">
        <v>1</v>
      </c>
      <c r="N24" s="89">
        <v>1</v>
      </c>
      <c r="O24" s="89">
        <v>1</v>
      </c>
      <c r="P24" s="89">
        <v>1</v>
      </c>
      <c r="Q24" s="89">
        <v>1</v>
      </c>
      <c r="R24" s="89">
        <v>1</v>
      </c>
      <c r="S24" s="89">
        <v>1</v>
      </c>
      <c r="T24" s="89">
        <v>1</v>
      </c>
      <c r="U24" s="89">
        <v>1</v>
      </c>
      <c r="V24" s="27">
        <f t="shared" si="4"/>
        <v>18</v>
      </c>
    </row>
    <row r="25" spans="1:23" s="68" customFormat="1" ht="18.75" customHeight="1" x14ac:dyDescent="0.35">
      <c r="A25" s="114">
        <v>12</v>
      </c>
      <c r="B25" s="114" t="s">
        <v>17</v>
      </c>
      <c r="C25" s="68" t="s">
        <v>7</v>
      </c>
      <c r="D25" s="69"/>
      <c r="E25" s="69"/>
      <c r="F25" s="69"/>
      <c r="G25" s="69"/>
      <c r="H25" s="69"/>
      <c r="I25" s="69"/>
      <c r="J25" s="69"/>
      <c r="K25" s="69"/>
      <c r="L25" s="69"/>
      <c r="M25" s="82"/>
      <c r="N25" s="69"/>
      <c r="O25" s="69"/>
      <c r="P25" s="69"/>
      <c r="Q25" s="69"/>
      <c r="R25" s="69"/>
      <c r="S25" s="69">
        <v>3</v>
      </c>
      <c r="T25" s="69">
        <v>1.6</v>
      </c>
      <c r="U25" s="82"/>
      <c r="V25" s="83">
        <f>SUM(D25:U25)</f>
        <v>4.5999999999999996</v>
      </c>
    </row>
    <row r="26" spans="1:23" s="68" customFormat="1" ht="18.75" customHeight="1" x14ac:dyDescent="0.35">
      <c r="A26" s="114"/>
      <c r="B26" s="114"/>
      <c r="C26" s="68" t="s">
        <v>28</v>
      </c>
      <c r="D26" s="69"/>
      <c r="E26" s="69">
        <v>1</v>
      </c>
      <c r="F26" s="69"/>
      <c r="G26" s="69">
        <v>3</v>
      </c>
      <c r="H26" s="69"/>
      <c r="I26" s="69"/>
      <c r="J26" s="69"/>
      <c r="K26" s="69"/>
      <c r="L26" s="69"/>
      <c r="M26" s="82">
        <v>0.4</v>
      </c>
      <c r="N26" s="69"/>
      <c r="O26" s="69"/>
      <c r="P26" s="69"/>
      <c r="Q26" s="69"/>
      <c r="R26" s="69"/>
      <c r="S26" s="69"/>
      <c r="T26" s="69"/>
      <c r="U26" s="82"/>
      <c r="V26" s="83">
        <f t="shared" ref="V26:V28" si="5">SUM(D26:U26)</f>
        <v>4.4000000000000004</v>
      </c>
    </row>
    <row r="27" spans="1:23" s="68" customFormat="1" ht="18.75" customHeight="1" x14ac:dyDescent="0.35">
      <c r="A27" s="114"/>
      <c r="B27" s="114"/>
      <c r="C27" s="68" t="s">
        <v>23</v>
      </c>
      <c r="D27" s="69"/>
      <c r="E27" s="69"/>
      <c r="F27" s="69"/>
      <c r="G27" s="69"/>
      <c r="H27" s="69"/>
      <c r="I27" s="69"/>
      <c r="J27" s="69">
        <v>3</v>
      </c>
      <c r="K27" s="69"/>
      <c r="L27" s="69"/>
      <c r="M27" s="82">
        <v>2.6</v>
      </c>
      <c r="N27" s="69"/>
      <c r="O27" s="69"/>
      <c r="P27" s="69">
        <v>1</v>
      </c>
      <c r="Q27" s="69"/>
      <c r="R27" s="69"/>
      <c r="S27" s="69"/>
      <c r="T27" s="69">
        <v>0.1</v>
      </c>
      <c r="U27" s="82"/>
      <c r="V27" s="83">
        <f t="shared" si="5"/>
        <v>6.6999999999999993</v>
      </c>
    </row>
    <row r="28" spans="1:23" s="68" customFormat="1" ht="18.75" customHeight="1" x14ac:dyDescent="0.35">
      <c r="A28" s="114"/>
      <c r="B28" s="114"/>
      <c r="C28" s="68" t="s">
        <v>3</v>
      </c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>
        <v>2</v>
      </c>
      <c r="Q28" s="69"/>
      <c r="R28" s="69"/>
      <c r="S28" s="69"/>
      <c r="T28" s="69">
        <v>0.3</v>
      </c>
      <c r="U28" s="69"/>
      <c r="V28" s="83">
        <f t="shared" si="5"/>
        <v>2.2999999999999998</v>
      </c>
    </row>
    <row r="29" spans="1:23" s="70" customFormat="1" ht="21" customHeight="1" x14ac:dyDescent="0.35">
      <c r="A29" s="65"/>
      <c r="B29" s="68" t="s">
        <v>29</v>
      </c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</row>
    <row r="30" spans="1:23" ht="21" customHeight="1" x14ac:dyDescent="0.35"/>
    <row r="31" spans="1:23" ht="21" customHeight="1" x14ac:dyDescent="0.35"/>
    <row r="32" spans="1:23" ht="21" customHeight="1" x14ac:dyDescent="0.35"/>
  </sheetData>
  <mergeCells count="19">
    <mergeCell ref="A25:A28"/>
    <mergeCell ref="B25:B28"/>
    <mergeCell ref="B10:B11"/>
    <mergeCell ref="B12:B14"/>
    <mergeCell ref="B15:B16"/>
    <mergeCell ref="B20:B21"/>
    <mergeCell ref="B22:B24"/>
    <mergeCell ref="A15:A19"/>
    <mergeCell ref="A20:A24"/>
    <mergeCell ref="A10:A14"/>
    <mergeCell ref="B17:B19"/>
    <mergeCell ref="B5:B6"/>
    <mergeCell ref="B7:B9"/>
    <mergeCell ref="A5:A9"/>
    <mergeCell ref="A1:V1"/>
    <mergeCell ref="A3:A4"/>
    <mergeCell ref="B3:C4"/>
    <mergeCell ref="D3:U3"/>
    <mergeCell ref="V3:V4"/>
  </mergeCells>
  <pageMargins left="0.3" right="0.16" top="0.75" bottom="0.38" header="0.3" footer="0.3"/>
  <pageSetup paperSize="9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3CE33-7072-4DE2-A646-692949E54124}">
  <dimension ref="A1:X32"/>
  <sheetViews>
    <sheetView zoomScale="85" zoomScaleNormal="85" workbookViewId="0">
      <selection activeCell="AB15" sqref="AB15"/>
    </sheetView>
  </sheetViews>
  <sheetFormatPr defaultColWidth="9.109375" defaultRowHeight="18" x14ac:dyDescent="0.35"/>
  <cols>
    <col min="1" max="1" width="6.33203125" style="86" customWidth="1"/>
    <col min="2" max="2" width="8.6640625" style="85" customWidth="1"/>
    <col min="3" max="3" width="9.5546875" style="85" customWidth="1"/>
    <col min="4" max="12" width="5.88671875" style="87" customWidth="1"/>
    <col min="13" max="19" width="6" style="87" customWidth="1"/>
    <col min="20" max="20" width="8.6640625" style="87" customWidth="1"/>
    <col min="21" max="21" width="8.109375" style="85" customWidth="1"/>
    <col min="22" max="16384" width="9.109375" style="85"/>
  </cols>
  <sheetData>
    <row r="1" spans="1:24" ht="26.25" customHeight="1" x14ac:dyDescent="0.35">
      <c r="A1" s="136" t="s">
        <v>41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</row>
    <row r="2" spans="1:24" ht="10.5" customHeight="1" x14ac:dyDescent="0.35"/>
    <row r="3" spans="1:24" s="79" customFormat="1" ht="21" customHeight="1" x14ac:dyDescent="0.3">
      <c r="A3" s="110" t="s">
        <v>32</v>
      </c>
      <c r="B3" s="110" t="s">
        <v>1</v>
      </c>
      <c r="C3" s="110"/>
      <c r="D3" s="110" t="s">
        <v>19</v>
      </c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 t="s">
        <v>18</v>
      </c>
    </row>
    <row r="4" spans="1:24" s="80" customFormat="1" ht="21" customHeight="1" x14ac:dyDescent="0.3">
      <c r="A4" s="110"/>
      <c r="B4" s="110"/>
      <c r="C4" s="110"/>
      <c r="D4" s="51">
        <v>19</v>
      </c>
      <c r="E4" s="51">
        <v>20</v>
      </c>
      <c r="F4" s="51">
        <v>21</v>
      </c>
      <c r="G4" s="51">
        <v>22</v>
      </c>
      <c r="H4" s="51">
        <v>23</v>
      </c>
      <c r="I4" s="51">
        <v>24</v>
      </c>
      <c r="J4" s="51">
        <v>25</v>
      </c>
      <c r="K4" s="51">
        <v>26</v>
      </c>
      <c r="L4" s="51">
        <v>27</v>
      </c>
      <c r="M4" s="51">
        <v>28</v>
      </c>
      <c r="N4" s="51">
        <v>29</v>
      </c>
      <c r="O4" s="51">
        <v>30</v>
      </c>
      <c r="P4" s="51">
        <v>31</v>
      </c>
      <c r="Q4" s="51">
        <v>32</v>
      </c>
      <c r="R4" s="51">
        <v>33</v>
      </c>
      <c r="S4" s="51">
        <v>34</v>
      </c>
      <c r="T4" s="51">
        <v>35</v>
      </c>
      <c r="U4" s="110"/>
    </row>
    <row r="5" spans="1:24" s="79" customFormat="1" ht="21" customHeight="1" x14ac:dyDescent="0.3">
      <c r="A5" s="131">
        <v>6</v>
      </c>
      <c r="B5" s="113" t="s">
        <v>8</v>
      </c>
      <c r="C5" s="55" t="s">
        <v>6</v>
      </c>
      <c r="D5" s="14">
        <v>1</v>
      </c>
      <c r="E5" s="14">
        <v>1</v>
      </c>
      <c r="F5" s="14">
        <v>1</v>
      </c>
      <c r="G5" s="14">
        <v>1</v>
      </c>
      <c r="H5" s="14">
        <v>1</v>
      </c>
      <c r="I5" s="14">
        <v>2</v>
      </c>
      <c r="J5" s="14">
        <v>2</v>
      </c>
      <c r="K5" s="14">
        <v>2</v>
      </c>
      <c r="L5" s="14">
        <v>2</v>
      </c>
      <c r="M5" s="14">
        <v>2</v>
      </c>
      <c r="N5" s="95">
        <v>1</v>
      </c>
      <c r="O5" s="95">
        <v>1</v>
      </c>
      <c r="P5" s="95">
        <v>1</v>
      </c>
      <c r="Q5" s="14">
        <v>2</v>
      </c>
      <c r="R5" s="14">
        <v>2</v>
      </c>
      <c r="S5" s="14">
        <v>2</v>
      </c>
      <c r="T5" s="14">
        <v>2</v>
      </c>
      <c r="U5" s="15">
        <f t="shared" ref="U5:U6" si="0">SUM(D5:T5)</f>
        <v>26</v>
      </c>
    </row>
    <row r="6" spans="1:24" s="79" customFormat="1" ht="21" customHeight="1" x14ac:dyDescent="0.3">
      <c r="A6" s="133"/>
      <c r="B6" s="113"/>
      <c r="C6" s="55" t="s">
        <v>7</v>
      </c>
      <c r="D6" s="14">
        <v>2</v>
      </c>
      <c r="E6" s="14">
        <v>2</v>
      </c>
      <c r="F6" s="14">
        <v>2</v>
      </c>
      <c r="G6" s="14">
        <v>2</v>
      </c>
      <c r="H6" s="14">
        <v>2</v>
      </c>
      <c r="I6" s="14">
        <v>1</v>
      </c>
      <c r="J6" s="14">
        <v>1</v>
      </c>
      <c r="K6" s="14">
        <v>1</v>
      </c>
      <c r="L6" s="14">
        <v>1</v>
      </c>
      <c r="M6" s="14">
        <v>1</v>
      </c>
      <c r="N6" s="95">
        <v>2</v>
      </c>
      <c r="O6" s="95">
        <v>2</v>
      </c>
      <c r="P6" s="95">
        <v>2</v>
      </c>
      <c r="Q6" s="14">
        <v>1</v>
      </c>
      <c r="R6" s="14">
        <v>1</v>
      </c>
      <c r="S6" s="14">
        <v>1</v>
      </c>
      <c r="T6" s="14">
        <v>1</v>
      </c>
      <c r="U6" s="15">
        <f t="shared" si="0"/>
        <v>25</v>
      </c>
    </row>
    <row r="7" spans="1:24" s="79" customFormat="1" ht="21" customHeight="1" x14ac:dyDescent="0.3">
      <c r="A7" s="133"/>
      <c r="B7" s="113" t="s">
        <v>9</v>
      </c>
      <c r="C7" s="55" t="s">
        <v>10</v>
      </c>
      <c r="D7" s="89">
        <v>2</v>
      </c>
      <c r="E7" s="89">
        <v>2</v>
      </c>
      <c r="F7" s="89">
        <v>2</v>
      </c>
      <c r="G7" s="89">
        <v>2</v>
      </c>
      <c r="H7" s="89">
        <v>2</v>
      </c>
      <c r="I7" s="89">
        <v>1</v>
      </c>
      <c r="J7" s="26">
        <v>1</v>
      </c>
      <c r="K7" s="26">
        <v>1</v>
      </c>
      <c r="L7" s="26">
        <v>1</v>
      </c>
      <c r="M7" s="26">
        <v>1</v>
      </c>
      <c r="N7" s="26">
        <v>1</v>
      </c>
      <c r="O7" s="26">
        <v>1</v>
      </c>
      <c r="P7" s="26">
        <v>1</v>
      </c>
      <c r="Q7" s="26">
        <v>1</v>
      </c>
      <c r="R7" s="26">
        <v>1</v>
      </c>
      <c r="S7" s="26">
        <v>0</v>
      </c>
      <c r="T7" s="26">
        <v>2</v>
      </c>
      <c r="U7" s="27">
        <f>SUM(D7:T7)</f>
        <v>22</v>
      </c>
      <c r="V7" s="79">
        <v>26</v>
      </c>
      <c r="W7" s="79">
        <f>+U7+V7</f>
        <v>48</v>
      </c>
      <c r="X7" s="79">
        <f>+W7/35</f>
        <v>1.3714285714285714</v>
      </c>
    </row>
    <row r="8" spans="1:24" s="79" customFormat="1" ht="21" customHeight="1" x14ac:dyDescent="0.3">
      <c r="A8" s="133"/>
      <c r="B8" s="113"/>
      <c r="C8" s="55" t="s">
        <v>11</v>
      </c>
      <c r="D8" s="89">
        <v>1</v>
      </c>
      <c r="E8" s="89">
        <v>1</v>
      </c>
      <c r="F8" s="89">
        <v>1</v>
      </c>
      <c r="G8" s="89">
        <v>1</v>
      </c>
      <c r="H8" s="89">
        <v>1</v>
      </c>
      <c r="I8" s="89">
        <v>1</v>
      </c>
      <c r="J8" s="89">
        <v>1</v>
      </c>
      <c r="K8" s="89">
        <v>0</v>
      </c>
      <c r="L8" s="96">
        <v>2</v>
      </c>
      <c r="M8" s="89">
        <v>1</v>
      </c>
      <c r="N8" s="89">
        <v>1</v>
      </c>
      <c r="O8" s="89">
        <v>0</v>
      </c>
      <c r="P8" s="89">
        <v>1</v>
      </c>
      <c r="Q8" s="89">
        <v>1</v>
      </c>
      <c r="R8" s="89">
        <v>1</v>
      </c>
      <c r="S8" s="96">
        <v>2</v>
      </c>
      <c r="T8" s="89">
        <v>0</v>
      </c>
      <c r="U8" s="27">
        <f t="shared" ref="U8:U11" si="1">SUM(D8:T8)</f>
        <v>16</v>
      </c>
      <c r="V8" s="79">
        <v>20</v>
      </c>
      <c r="W8" s="79">
        <f t="shared" ref="W8:W9" si="2">+U8+V8</f>
        <v>36</v>
      </c>
      <c r="X8" s="79">
        <f t="shared" ref="X8:X9" si="3">+W8/35</f>
        <v>1.0285714285714285</v>
      </c>
    </row>
    <row r="9" spans="1:24" s="79" customFormat="1" ht="21" customHeight="1" x14ac:dyDescent="0.3">
      <c r="A9" s="134"/>
      <c r="B9" s="113"/>
      <c r="C9" s="16" t="s">
        <v>12</v>
      </c>
      <c r="D9" s="26">
        <v>1</v>
      </c>
      <c r="E9" s="26">
        <v>1</v>
      </c>
      <c r="F9" s="26">
        <v>1</v>
      </c>
      <c r="G9" s="26">
        <v>1</v>
      </c>
      <c r="H9" s="26">
        <v>1</v>
      </c>
      <c r="I9" s="26">
        <v>2</v>
      </c>
      <c r="J9" s="89">
        <v>2</v>
      </c>
      <c r="K9" s="89">
        <v>3</v>
      </c>
      <c r="L9" s="89">
        <v>1</v>
      </c>
      <c r="M9" s="89">
        <v>2</v>
      </c>
      <c r="N9" s="89">
        <v>2</v>
      </c>
      <c r="O9" s="89">
        <v>3</v>
      </c>
      <c r="P9" s="89">
        <v>2</v>
      </c>
      <c r="Q9" s="89">
        <v>2</v>
      </c>
      <c r="R9" s="89">
        <v>2</v>
      </c>
      <c r="S9" s="26">
        <v>2</v>
      </c>
      <c r="T9" s="89">
        <v>2</v>
      </c>
      <c r="U9" s="27">
        <f t="shared" si="1"/>
        <v>30</v>
      </c>
      <c r="V9" s="79">
        <v>26</v>
      </c>
      <c r="W9" s="79">
        <f t="shared" si="2"/>
        <v>56</v>
      </c>
      <c r="X9" s="79">
        <f t="shared" si="3"/>
        <v>1.6</v>
      </c>
    </row>
    <row r="10" spans="1:24" s="88" customFormat="1" ht="21" customHeight="1" x14ac:dyDescent="0.3">
      <c r="A10" s="122">
        <v>7</v>
      </c>
      <c r="B10" s="117" t="s">
        <v>8</v>
      </c>
      <c r="C10" s="16" t="s">
        <v>6</v>
      </c>
      <c r="D10" s="54">
        <v>2</v>
      </c>
      <c r="E10" s="54">
        <v>2</v>
      </c>
      <c r="F10" s="54">
        <v>2</v>
      </c>
      <c r="G10" s="54">
        <v>2</v>
      </c>
      <c r="H10" s="54">
        <v>2</v>
      </c>
      <c r="I10" s="54">
        <v>1</v>
      </c>
      <c r="J10" s="54">
        <v>1</v>
      </c>
      <c r="K10" s="54">
        <v>1</v>
      </c>
      <c r="L10" s="54">
        <v>1</v>
      </c>
      <c r="M10" s="54">
        <v>2</v>
      </c>
      <c r="N10" s="97">
        <v>2</v>
      </c>
      <c r="O10" s="97">
        <v>2</v>
      </c>
      <c r="P10" s="97">
        <v>2</v>
      </c>
      <c r="Q10" s="54">
        <v>1</v>
      </c>
      <c r="R10" s="54">
        <v>1</v>
      </c>
      <c r="S10" s="54">
        <v>1</v>
      </c>
      <c r="T10" s="54">
        <v>1</v>
      </c>
      <c r="U10" s="15">
        <f t="shared" si="1"/>
        <v>26</v>
      </c>
    </row>
    <row r="11" spans="1:24" s="88" customFormat="1" ht="21" customHeight="1" x14ac:dyDescent="0.3">
      <c r="A11" s="135"/>
      <c r="B11" s="117"/>
      <c r="C11" s="16" t="s">
        <v>7</v>
      </c>
      <c r="D11" s="54">
        <v>1</v>
      </c>
      <c r="E11" s="54">
        <v>1</v>
      </c>
      <c r="F11" s="54">
        <v>1</v>
      </c>
      <c r="G11" s="54">
        <v>1</v>
      </c>
      <c r="H11" s="54">
        <v>1</v>
      </c>
      <c r="I11" s="54">
        <v>2</v>
      </c>
      <c r="J11" s="54">
        <v>2</v>
      </c>
      <c r="K11" s="54">
        <v>2</v>
      </c>
      <c r="L11" s="54">
        <v>2</v>
      </c>
      <c r="M11" s="54">
        <v>1</v>
      </c>
      <c r="N11" s="97">
        <v>1</v>
      </c>
      <c r="O11" s="97">
        <v>1</v>
      </c>
      <c r="P11" s="97">
        <v>1</v>
      </c>
      <c r="Q11" s="54">
        <v>2</v>
      </c>
      <c r="R11" s="54">
        <v>2</v>
      </c>
      <c r="S11" s="54">
        <v>2</v>
      </c>
      <c r="T11" s="54">
        <v>2</v>
      </c>
      <c r="U11" s="15">
        <f t="shared" si="1"/>
        <v>25</v>
      </c>
    </row>
    <row r="12" spans="1:24" s="88" customFormat="1" ht="21" customHeight="1" x14ac:dyDescent="0.3">
      <c r="A12" s="135"/>
      <c r="B12" s="117" t="s">
        <v>9</v>
      </c>
      <c r="C12" s="16" t="s">
        <v>10</v>
      </c>
      <c r="D12" s="89">
        <v>1</v>
      </c>
      <c r="E12" s="89">
        <v>1</v>
      </c>
      <c r="F12" s="89">
        <v>1</v>
      </c>
      <c r="G12" s="89">
        <v>1</v>
      </c>
      <c r="H12" s="89">
        <v>1</v>
      </c>
      <c r="I12" s="89">
        <v>1</v>
      </c>
      <c r="J12" s="26">
        <v>1</v>
      </c>
      <c r="K12" s="26">
        <v>1</v>
      </c>
      <c r="L12" s="98">
        <v>2</v>
      </c>
      <c r="M12" s="26">
        <v>2</v>
      </c>
      <c r="N12" s="26">
        <v>2</v>
      </c>
      <c r="O12" s="26">
        <v>2</v>
      </c>
      <c r="P12" s="26">
        <v>2</v>
      </c>
      <c r="Q12" s="26">
        <v>2</v>
      </c>
      <c r="R12" s="26">
        <v>2</v>
      </c>
      <c r="S12" s="26">
        <v>2</v>
      </c>
      <c r="T12" s="26">
        <v>2</v>
      </c>
      <c r="U12" s="27">
        <f>SUM(D12:T12)</f>
        <v>26</v>
      </c>
      <c r="V12" s="88">
        <v>18</v>
      </c>
      <c r="W12" s="88">
        <f>+U12+V12</f>
        <v>44</v>
      </c>
      <c r="X12" s="88">
        <f>+W12/35</f>
        <v>1.2571428571428571</v>
      </c>
    </row>
    <row r="13" spans="1:24" s="88" customFormat="1" ht="21" customHeight="1" x14ac:dyDescent="0.3">
      <c r="A13" s="135"/>
      <c r="B13" s="117"/>
      <c r="C13" s="16" t="s">
        <v>11</v>
      </c>
      <c r="D13" s="89">
        <v>1</v>
      </c>
      <c r="E13" s="89">
        <v>1</v>
      </c>
      <c r="F13" s="89">
        <v>1</v>
      </c>
      <c r="G13" s="89">
        <v>1</v>
      </c>
      <c r="H13" s="89">
        <v>1</v>
      </c>
      <c r="I13" s="89">
        <v>1</v>
      </c>
      <c r="J13" s="89">
        <v>1</v>
      </c>
      <c r="K13" s="89">
        <v>1</v>
      </c>
      <c r="L13" s="89">
        <v>1</v>
      </c>
      <c r="M13" s="89">
        <v>1</v>
      </c>
      <c r="N13" s="89">
        <v>1</v>
      </c>
      <c r="O13" s="89">
        <v>1</v>
      </c>
      <c r="P13" s="89">
        <v>1</v>
      </c>
      <c r="Q13" s="89">
        <v>1</v>
      </c>
      <c r="R13" s="89">
        <v>1</v>
      </c>
      <c r="S13" s="89">
        <v>0</v>
      </c>
      <c r="T13" s="89">
        <v>2</v>
      </c>
      <c r="U13" s="27">
        <f t="shared" ref="U13:U24" si="4">SUM(D13:T13)</f>
        <v>17</v>
      </c>
      <c r="V13" s="88">
        <v>18</v>
      </c>
      <c r="W13" s="88">
        <f t="shared" ref="W13:W14" si="5">+U13+V13</f>
        <v>35</v>
      </c>
      <c r="X13" s="88">
        <f t="shared" ref="X13:X19" si="6">+W13/35</f>
        <v>1</v>
      </c>
    </row>
    <row r="14" spans="1:24" s="88" customFormat="1" ht="21" customHeight="1" x14ac:dyDescent="0.3">
      <c r="A14" s="126"/>
      <c r="B14" s="117"/>
      <c r="C14" s="16" t="s">
        <v>12</v>
      </c>
      <c r="D14" s="26">
        <v>2</v>
      </c>
      <c r="E14" s="26">
        <v>2</v>
      </c>
      <c r="F14" s="26">
        <v>2</v>
      </c>
      <c r="G14" s="26">
        <v>2</v>
      </c>
      <c r="H14" s="26">
        <v>2</v>
      </c>
      <c r="I14" s="26">
        <v>2</v>
      </c>
      <c r="J14" s="89">
        <v>2</v>
      </c>
      <c r="K14" s="89">
        <v>2</v>
      </c>
      <c r="L14" s="89">
        <v>1</v>
      </c>
      <c r="M14" s="89">
        <v>1</v>
      </c>
      <c r="N14" s="89">
        <v>1</v>
      </c>
      <c r="O14" s="89">
        <v>1</v>
      </c>
      <c r="P14" s="89">
        <v>1</v>
      </c>
      <c r="Q14" s="89">
        <v>1</v>
      </c>
      <c r="R14" s="89">
        <v>1</v>
      </c>
      <c r="S14" s="98">
        <v>2</v>
      </c>
      <c r="T14" s="89">
        <v>0</v>
      </c>
      <c r="U14" s="27">
        <f t="shared" si="4"/>
        <v>25</v>
      </c>
      <c r="V14" s="88">
        <v>36</v>
      </c>
      <c r="W14" s="88">
        <f t="shared" si="5"/>
        <v>61</v>
      </c>
      <c r="X14" s="88">
        <f t="shared" si="6"/>
        <v>1.7428571428571429</v>
      </c>
    </row>
    <row r="15" spans="1:24" s="12" customFormat="1" ht="21" customHeight="1" x14ac:dyDescent="0.3">
      <c r="A15" s="122">
        <v>8</v>
      </c>
      <c r="B15" s="117" t="s">
        <v>8</v>
      </c>
      <c r="C15" s="16" t="s">
        <v>6</v>
      </c>
      <c r="D15" s="14">
        <v>1</v>
      </c>
      <c r="E15" s="14">
        <v>1</v>
      </c>
      <c r="F15" s="14">
        <v>1</v>
      </c>
      <c r="G15" s="14">
        <v>1</v>
      </c>
      <c r="H15" s="14">
        <v>1</v>
      </c>
      <c r="I15" s="14">
        <v>2</v>
      </c>
      <c r="J15" s="14">
        <v>2</v>
      </c>
      <c r="K15" s="14">
        <v>2</v>
      </c>
      <c r="L15" s="14">
        <v>2</v>
      </c>
      <c r="M15" s="14">
        <v>2</v>
      </c>
      <c r="N15" s="95">
        <v>1</v>
      </c>
      <c r="O15" s="95">
        <v>1</v>
      </c>
      <c r="P15" s="95">
        <v>1</v>
      </c>
      <c r="Q15" s="14">
        <v>2</v>
      </c>
      <c r="R15" s="14">
        <v>2</v>
      </c>
      <c r="S15" s="14">
        <v>2</v>
      </c>
      <c r="T15" s="14">
        <v>2</v>
      </c>
      <c r="U15" s="15">
        <f t="shared" si="4"/>
        <v>26</v>
      </c>
      <c r="V15" s="24"/>
      <c r="W15" s="88"/>
      <c r="X15" s="88"/>
    </row>
    <row r="16" spans="1:24" s="12" customFormat="1" ht="21" customHeight="1" x14ac:dyDescent="0.3">
      <c r="A16" s="135"/>
      <c r="B16" s="117"/>
      <c r="C16" s="16" t="s">
        <v>7</v>
      </c>
      <c r="D16" s="14">
        <v>2</v>
      </c>
      <c r="E16" s="14">
        <v>2</v>
      </c>
      <c r="F16" s="14">
        <v>2</v>
      </c>
      <c r="G16" s="14">
        <v>2</v>
      </c>
      <c r="H16" s="14">
        <v>2</v>
      </c>
      <c r="I16" s="14">
        <v>1</v>
      </c>
      <c r="J16" s="14">
        <v>1</v>
      </c>
      <c r="K16" s="14">
        <v>1</v>
      </c>
      <c r="L16" s="14">
        <v>1</v>
      </c>
      <c r="M16" s="14">
        <v>1</v>
      </c>
      <c r="N16" s="95">
        <v>2</v>
      </c>
      <c r="O16" s="95">
        <v>2</v>
      </c>
      <c r="P16" s="95">
        <v>2</v>
      </c>
      <c r="Q16" s="14">
        <v>1</v>
      </c>
      <c r="R16" s="14">
        <v>1</v>
      </c>
      <c r="S16" s="14">
        <v>1</v>
      </c>
      <c r="T16" s="14">
        <v>1</v>
      </c>
      <c r="U16" s="15">
        <f t="shared" si="4"/>
        <v>25</v>
      </c>
      <c r="V16" s="24"/>
      <c r="W16" s="88"/>
      <c r="X16" s="88"/>
    </row>
    <row r="17" spans="1:24" s="24" customFormat="1" ht="21" customHeight="1" x14ac:dyDescent="0.3">
      <c r="A17" s="135">
        <v>6</v>
      </c>
      <c r="B17" s="121" t="s">
        <v>9</v>
      </c>
      <c r="C17" s="14" t="s">
        <v>10</v>
      </c>
      <c r="D17" s="89">
        <v>1</v>
      </c>
      <c r="E17" s="89">
        <v>1</v>
      </c>
      <c r="F17" s="89">
        <v>1</v>
      </c>
      <c r="G17" s="89">
        <v>1</v>
      </c>
      <c r="H17" s="89">
        <v>1</v>
      </c>
      <c r="I17" s="89">
        <v>1</v>
      </c>
      <c r="J17" s="26">
        <v>1</v>
      </c>
      <c r="K17" s="26">
        <v>1</v>
      </c>
      <c r="L17" s="26">
        <v>1</v>
      </c>
      <c r="M17" s="26">
        <v>1</v>
      </c>
      <c r="N17" s="26">
        <v>1</v>
      </c>
      <c r="O17" s="26">
        <v>1</v>
      </c>
      <c r="P17" s="26">
        <v>1</v>
      </c>
      <c r="Q17" s="26">
        <v>1</v>
      </c>
      <c r="R17" s="26">
        <v>1</v>
      </c>
      <c r="S17" s="98">
        <v>2</v>
      </c>
      <c r="T17" s="26">
        <v>0</v>
      </c>
      <c r="U17" s="27">
        <f t="shared" si="4"/>
        <v>17</v>
      </c>
      <c r="V17" s="24">
        <v>27</v>
      </c>
      <c r="W17" s="88">
        <f t="shared" ref="W17:W19" si="7">+U17+V17</f>
        <v>44</v>
      </c>
      <c r="X17" s="88">
        <f t="shared" si="6"/>
        <v>1.2571428571428571</v>
      </c>
    </row>
    <row r="18" spans="1:24" s="24" customFormat="1" ht="21" customHeight="1" x14ac:dyDescent="0.3">
      <c r="A18" s="135"/>
      <c r="B18" s="121"/>
      <c r="C18" s="14" t="s">
        <v>11</v>
      </c>
      <c r="D18" s="89">
        <v>1</v>
      </c>
      <c r="E18" s="89">
        <v>1</v>
      </c>
      <c r="F18" s="89">
        <v>1</v>
      </c>
      <c r="G18" s="89">
        <v>1</v>
      </c>
      <c r="H18" s="89">
        <v>1</v>
      </c>
      <c r="I18" s="89">
        <v>1</v>
      </c>
      <c r="J18" s="89">
        <v>1</v>
      </c>
      <c r="K18" s="89">
        <v>1</v>
      </c>
      <c r="L18" s="89">
        <v>1</v>
      </c>
      <c r="M18" s="89">
        <v>1</v>
      </c>
      <c r="N18" s="89">
        <v>1</v>
      </c>
      <c r="O18" s="89">
        <v>1</v>
      </c>
      <c r="P18" s="89">
        <v>1</v>
      </c>
      <c r="Q18" s="89">
        <v>2</v>
      </c>
      <c r="R18" s="89">
        <v>2</v>
      </c>
      <c r="S18" s="89">
        <v>2</v>
      </c>
      <c r="T18" s="89">
        <v>2</v>
      </c>
      <c r="U18" s="27">
        <f t="shared" si="4"/>
        <v>21</v>
      </c>
      <c r="V18" s="24">
        <v>28</v>
      </c>
      <c r="W18" s="88">
        <f t="shared" si="7"/>
        <v>49</v>
      </c>
      <c r="X18" s="88">
        <f t="shared" si="6"/>
        <v>1.4</v>
      </c>
    </row>
    <row r="19" spans="1:24" s="24" customFormat="1" ht="21" customHeight="1" x14ac:dyDescent="0.3">
      <c r="A19" s="126"/>
      <c r="B19" s="121"/>
      <c r="C19" s="14" t="s">
        <v>12</v>
      </c>
      <c r="D19" s="26">
        <v>2</v>
      </c>
      <c r="E19" s="26">
        <v>2</v>
      </c>
      <c r="F19" s="26">
        <v>2</v>
      </c>
      <c r="G19" s="26">
        <v>2</v>
      </c>
      <c r="H19" s="26">
        <v>2</v>
      </c>
      <c r="I19" s="26">
        <v>2</v>
      </c>
      <c r="J19" s="89">
        <v>2</v>
      </c>
      <c r="K19" s="89">
        <v>2</v>
      </c>
      <c r="L19" s="96">
        <v>2</v>
      </c>
      <c r="M19" s="89">
        <v>2</v>
      </c>
      <c r="N19" s="89">
        <v>2</v>
      </c>
      <c r="O19" s="89">
        <v>2</v>
      </c>
      <c r="P19" s="89">
        <v>2</v>
      </c>
      <c r="Q19" s="89">
        <v>1</v>
      </c>
      <c r="R19" s="89">
        <v>1</v>
      </c>
      <c r="S19" s="26">
        <v>0</v>
      </c>
      <c r="T19" s="89">
        <v>2</v>
      </c>
      <c r="U19" s="27">
        <f t="shared" si="4"/>
        <v>30</v>
      </c>
      <c r="V19" s="24">
        <v>17</v>
      </c>
      <c r="W19" s="88">
        <f t="shared" si="7"/>
        <v>47</v>
      </c>
      <c r="X19" s="88">
        <f t="shared" si="6"/>
        <v>1.3428571428571427</v>
      </c>
    </row>
    <row r="20" spans="1:24" s="12" customFormat="1" ht="21" customHeight="1" x14ac:dyDescent="0.3">
      <c r="A20" s="122">
        <v>9</v>
      </c>
      <c r="B20" s="117" t="s">
        <v>8</v>
      </c>
      <c r="C20" s="16" t="s">
        <v>6</v>
      </c>
      <c r="D20" s="54">
        <v>2</v>
      </c>
      <c r="E20" s="54">
        <v>2</v>
      </c>
      <c r="F20" s="54">
        <v>2</v>
      </c>
      <c r="G20" s="54">
        <v>2</v>
      </c>
      <c r="H20" s="54">
        <v>2</v>
      </c>
      <c r="I20" s="54">
        <v>1</v>
      </c>
      <c r="J20" s="54">
        <v>1</v>
      </c>
      <c r="K20" s="54">
        <v>1</v>
      </c>
      <c r="L20" s="54">
        <v>1</v>
      </c>
      <c r="M20" s="54">
        <v>2</v>
      </c>
      <c r="N20" s="97">
        <v>2</v>
      </c>
      <c r="O20" s="97">
        <v>2</v>
      </c>
      <c r="P20" s="97">
        <v>2</v>
      </c>
      <c r="Q20" s="54">
        <v>1</v>
      </c>
      <c r="R20" s="54">
        <v>1</v>
      </c>
      <c r="S20" s="54">
        <v>1</v>
      </c>
      <c r="T20" s="54">
        <v>1</v>
      </c>
      <c r="U20" s="15">
        <f t="shared" si="4"/>
        <v>26</v>
      </c>
      <c r="V20" s="24"/>
    </row>
    <row r="21" spans="1:24" s="12" customFormat="1" ht="21" customHeight="1" x14ac:dyDescent="0.3">
      <c r="A21" s="135"/>
      <c r="B21" s="117"/>
      <c r="C21" s="16" t="s">
        <v>7</v>
      </c>
      <c r="D21" s="54">
        <v>1</v>
      </c>
      <c r="E21" s="54">
        <v>1</v>
      </c>
      <c r="F21" s="54">
        <v>1</v>
      </c>
      <c r="G21" s="54">
        <v>1</v>
      </c>
      <c r="H21" s="54">
        <v>1</v>
      </c>
      <c r="I21" s="54">
        <v>2</v>
      </c>
      <c r="J21" s="54">
        <v>2</v>
      </c>
      <c r="K21" s="54">
        <v>2</v>
      </c>
      <c r="L21" s="54">
        <v>2</v>
      </c>
      <c r="M21" s="54">
        <v>1</v>
      </c>
      <c r="N21" s="97">
        <v>1</v>
      </c>
      <c r="O21" s="97">
        <v>1</v>
      </c>
      <c r="P21" s="97">
        <v>1</v>
      </c>
      <c r="Q21" s="54">
        <v>2</v>
      </c>
      <c r="R21" s="54">
        <v>2</v>
      </c>
      <c r="S21" s="54">
        <v>2</v>
      </c>
      <c r="T21" s="54">
        <v>2</v>
      </c>
      <c r="U21" s="15">
        <f t="shared" si="4"/>
        <v>25</v>
      </c>
      <c r="V21" s="24"/>
    </row>
    <row r="22" spans="1:24" s="24" customFormat="1" ht="21" customHeight="1" x14ac:dyDescent="0.3">
      <c r="A22" s="135">
        <v>6</v>
      </c>
      <c r="B22" s="121" t="s">
        <v>9</v>
      </c>
      <c r="C22" s="14" t="s">
        <v>10</v>
      </c>
      <c r="D22" s="89">
        <v>1</v>
      </c>
      <c r="E22" s="89">
        <v>1</v>
      </c>
      <c r="F22" s="89">
        <v>1</v>
      </c>
      <c r="G22" s="89">
        <v>1</v>
      </c>
      <c r="H22" s="89">
        <v>1</v>
      </c>
      <c r="I22" s="89">
        <v>1</v>
      </c>
      <c r="J22" s="26">
        <v>1</v>
      </c>
      <c r="K22" s="26">
        <v>1</v>
      </c>
      <c r="L22" s="26">
        <v>1</v>
      </c>
      <c r="M22" s="26">
        <v>1</v>
      </c>
      <c r="N22" s="26">
        <v>1</v>
      </c>
      <c r="O22" s="26">
        <v>1</v>
      </c>
      <c r="P22" s="26">
        <v>1</v>
      </c>
      <c r="Q22" s="26">
        <v>1</v>
      </c>
      <c r="R22" s="26">
        <v>1</v>
      </c>
      <c r="S22" s="26">
        <v>1</v>
      </c>
      <c r="T22" s="26">
        <v>1</v>
      </c>
      <c r="U22" s="27">
        <f t="shared" si="4"/>
        <v>17</v>
      </c>
    </row>
    <row r="23" spans="1:24" s="24" customFormat="1" ht="21" customHeight="1" x14ac:dyDescent="0.3">
      <c r="A23" s="135"/>
      <c r="B23" s="121"/>
      <c r="C23" s="14" t="s">
        <v>11</v>
      </c>
      <c r="D23" s="89">
        <v>2</v>
      </c>
      <c r="E23" s="89">
        <v>2</v>
      </c>
      <c r="F23" s="89">
        <v>2</v>
      </c>
      <c r="G23" s="89">
        <v>2</v>
      </c>
      <c r="H23" s="89">
        <v>2</v>
      </c>
      <c r="I23" s="89">
        <v>2</v>
      </c>
      <c r="J23" s="89">
        <v>2</v>
      </c>
      <c r="K23" s="89">
        <v>2</v>
      </c>
      <c r="L23" s="96">
        <v>2</v>
      </c>
      <c r="M23" s="89">
        <v>2</v>
      </c>
      <c r="N23" s="89">
        <v>2</v>
      </c>
      <c r="O23" s="89">
        <v>2</v>
      </c>
      <c r="P23" s="89">
        <v>2</v>
      </c>
      <c r="Q23" s="89">
        <v>2</v>
      </c>
      <c r="R23" s="89">
        <v>2</v>
      </c>
      <c r="S23" s="96">
        <v>2</v>
      </c>
      <c r="T23" s="89">
        <v>2</v>
      </c>
      <c r="U23" s="27">
        <f t="shared" si="4"/>
        <v>34</v>
      </c>
    </row>
    <row r="24" spans="1:24" s="24" customFormat="1" ht="21" customHeight="1" x14ac:dyDescent="0.3">
      <c r="A24" s="126"/>
      <c r="B24" s="121"/>
      <c r="C24" s="14" t="s">
        <v>12</v>
      </c>
      <c r="D24" s="26">
        <v>1</v>
      </c>
      <c r="E24" s="26">
        <v>1</v>
      </c>
      <c r="F24" s="26">
        <v>1</v>
      </c>
      <c r="G24" s="26">
        <v>1</v>
      </c>
      <c r="H24" s="26">
        <v>1</v>
      </c>
      <c r="I24" s="26">
        <v>1</v>
      </c>
      <c r="J24" s="89">
        <v>1</v>
      </c>
      <c r="K24" s="89">
        <v>1</v>
      </c>
      <c r="L24" s="89">
        <v>1</v>
      </c>
      <c r="M24" s="89">
        <v>1</v>
      </c>
      <c r="N24" s="89">
        <v>1</v>
      </c>
      <c r="O24" s="89">
        <v>1</v>
      </c>
      <c r="P24" s="89">
        <v>1</v>
      </c>
      <c r="Q24" s="89">
        <v>1</v>
      </c>
      <c r="R24" s="89">
        <v>1</v>
      </c>
      <c r="S24" s="26">
        <v>1</v>
      </c>
      <c r="T24" s="89">
        <v>1</v>
      </c>
      <c r="U24" s="27">
        <f t="shared" si="4"/>
        <v>17</v>
      </c>
    </row>
    <row r="25" spans="1:24" s="68" customFormat="1" ht="18.75" customHeight="1" x14ac:dyDescent="0.35">
      <c r="A25" s="114">
        <v>12</v>
      </c>
      <c r="B25" s="114" t="s">
        <v>17</v>
      </c>
      <c r="C25" s="68" t="s">
        <v>7</v>
      </c>
      <c r="D25" s="69"/>
      <c r="E25" s="69"/>
      <c r="F25" s="69"/>
      <c r="G25" s="69"/>
      <c r="H25" s="69"/>
      <c r="I25" s="69"/>
      <c r="J25" s="69"/>
      <c r="K25" s="69"/>
      <c r="L25" s="69"/>
      <c r="M25" s="82"/>
      <c r="N25" s="69"/>
      <c r="O25" s="69"/>
      <c r="P25" s="69"/>
      <c r="Q25" s="69"/>
      <c r="R25" s="69"/>
      <c r="S25" s="69">
        <v>3</v>
      </c>
      <c r="T25" s="69">
        <v>1.6</v>
      </c>
      <c r="U25" s="83">
        <f t="shared" ref="U25:U28" si="8">SUM(D25:T25)</f>
        <v>4.5999999999999996</v>
      </c>
    </row>
    <row r="26" spans="1:24" s="68" customFormat="1" ht="18.75" customHeight="1" x14ac:dyDescent="0.35">
      <c r="A26" s="114"/>
      <c r="B26" s="114"/>
      <c r="C26" s="68" t="s">
        <v>28</v>
      </c>
      <c r="D26" s="69"/>
      <c r="E26" s="69">
        <v>1</v>
      </c>
      <c r="F26" s="69"/>
      <c r="G26" s="69">
        <v>3</v>
      </c>
      <c r="H26" s="69"/>
      <c r="I26" s="69"/>
      <c r="J26" s="69"/>
      <c r="K26" s="69"/>
      <c r="L26" s="69"/>
      <c r="M26" s="82">
        <v>0.4</v>
      </c>
      <c r="N26" s="69"/>
      <c r="O26" s="69"/>
      <c r="P26" s="69"/>
      <c r="Q26" s="69"/>
      <c r="R26" s="69"/>
      <c r="S26" s="69"/>
      <c r="T26" s="69"/>
      <c r="U26" s="83">
        <f t="shared" si="8"/>
        <v>4.4000000000000004</v>
      </c>
    </row>
    <row r="27" spans="1:24" s="68" customFormat="1" ht="18.75" customHeight="1" x14ac:dyDescent="0.35">
      <c r="A27" s="114"/>
      <c r="B27" s="114"/>
      <c r="C27" s="68" t="s">
        <v>23</v>
      </c>
      <c r="D27" s="69"/>
      <c r="E27" s="69"/>
      <c r="F27" s="69"/>
      <c r="G27" s="69"/>
      <c r="H27" s="69"/>
      <c r="I27" s="69"/>
      <c r="J27" s="69">
        <v>3</v>
      </c>
      <c r="K27" s="69"/>
      <c r="L27" s="69"/>
      <c r="M27" s="82">
        <v>2.6</v>
      </c>
      <c r="N27" s="69"/>
      <c r="O27" s="69"/>
      <c r="P27" s="69">
        <v>1</v>
      </c>
      <c r="Q27" s="69"/>
      <c r="R27" s="69"/>
      <c r="S27" s="69"/>
      <c r="T27" s="69">
        <v>0.1</v>
      </c>
      <c r="U27" s="83">
        <f t="shared" si="8"/>
        <v>6.6999999999999993</v>
      </c>
    </row>
    <row r="28" spans="1:24" s="68" customFormat="1" ht="18.75" customHeight="1" x14ac:dyDescent="0.35">
      <c r="A28" s="114"/>
      <c r="B28" s="114"/>
      <c r="C28" s="68" t="s">
        <v>3</v>
      </c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>
        <v>2</v>
      </c>
      <c r="Q28" s="69"/>
      <c r="R28" s="69"/>
      <c r="S28" s="69"/>
      <c r="T28" s="69">
        <v>0.3</v>
      </c>
      <c r="U28" s="83">
        <f t="shared" si="8"/>
        <v>2.2999999999999998</v>
      </c>
    </row>
    <row r="29" spans="1:24" s="68" customFormat="1" ht="21" customHeight="1" x14ac:dyDescent="0.35">
      <c r="A29" s="62"/>
      <c r="B29" s="68" t="s">
        <v>29</v>
      </c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</row>
    <row r="30" spans="1:24" ht="21" customHeight="1" x14ac:dyDescent="0.35"/>
    <row r="31" spans="1:24" ht="21" customHeight="1" x14ac:dyDescent="0.35"/>
    <row r="32" spans="1:24" ht="21" customHeight="1" x14ac:dyDescent="0.35"/>
  </sheetData>
  <mergeCells count="19">
    <mergeCell ref="A20:A24"/>
    <mergeCell ref="B20:B21"/>
    <mergeCell ref="B22:B24"/>
    <mergeCell ref="A25:A28"/>
    <mergeCell ref="B25:B28"/>
    <mergeCell ref="A10:A14"/>
    <mergeCell ref="B10:B11"/>
    <mergeCell ref="B12:B14"/>
    <mergeCell ref="A15:A19"/>
    <mergeCell ref="B15:B16"/>
    <mergeCell ref="B17:B19"/>
    <mergeCell ref="A5:A9"/>
    <mergeCell ref="B5:B6"/>
    <mergeCell ref="B7:B9"/>
    <mergeCell ref="A1:U1"/>
    <mergeCell ref="A3:A4"/>
    <mergeCell ref="B3:C4"/>
    <mergeCell ref="D3:T3"/>
    <mergeCell ref="U3:U4"/>
  </mergeCells>
  <pageMargins left="0.3" right="0.16" top="0.75" bottom="0.38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HKI_K6</vt:lpstr>
      <vt:lpstr>HK2_K6</vt:lpstr>
      <vt:lpstr>HKI_K7</vt:lpstr>
      <vt:lpstr>HK2_K7</vt:lpstr>
      <vt:lpstr>HKI_K8</vt:lpstr>
      <vt:lpstr>HK2_K8</vt:lpstr>
      <vt:lpstr>HKI_K9</vt:lpstr>
      <vt:lpstr>HK2_K9</vt:lpstr>
      <vt:lpstr>KHTN_LS&amp;ĐL KI 1</vt:lpstr>
      <vt:lpstr>KHTN_LS&amp;ĐL KI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Lương Văn Khu</cp:lastModifiedBy>
  <cp:lastPrinted>2026-01-08T02:50:13Z</cp:lastPrinted>
  <dcterms:created xsi:type="dcterms:W3CDTF">2015-06-05T18:17:20Z</dcterms:created>
  <dcterms:modified xsi:type="dcterms:W3CDTF">2026-09-24T03:57:05Z</dcterms:modified>
</cp:coreProperties>
</file>