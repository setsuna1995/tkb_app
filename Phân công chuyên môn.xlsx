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ư mục mới\"/>
    </mc:Choice>
  </mc:AlternateContent>
  <xr:revisionPtr revIDLastSave="0" documentId="13_ncr:1_{22B7DFFD-C3D6-4889-9E9D-B3E4383D266D}" xr6:coauthVersionLast="47" xr6:coauthVersionMax="47" xr10:uidLastSave="{00000000-0000-0000-0000-000000000000}"/>
  <bookViews>
    <workbookView xWindow="-108" yWindow="-108" windowWidth="23256" windowHeight="12576" xr2:uid="{2E162E2F-CC97-404C-8FF0-14B0FD40A452}"/>
  </bookViews>
  <sheets>
    <sheet name="PHÂN CÔNG CHUYÊN MÔN" sheetId="4" r:id="rId1"/>
    <sheet name="NHÁP" sheetId="2" r:id="rId2"/>
    <sheet name="Định lượng tiết dạ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7" i="4" l="1"/>
  <c r="F124" i="4"/>
  <c r="F125" i="4"/>
  <c r="F126" i="4"/>
  <c r="F123" i="4"/>
  <c r="F122" i="4"/>
  <c r="F119" i="4"/>
  <c r="F118" i="4"/>
  <c r="F116" i="4"/>
  <c r="K7" i="4"/>
  <c r="K3" i="4"/>
  <c r="F112" i="4"/>
  <c r="F110" i="4"/>
  <c r="F111" i="4"/>
  <c r="F106" i="4"/>
  <c r="F107" i="4"/>
  <c r="F95" i="4"/>
  <c r="F94" i="4"/>
  <c r="F93" i="4"/>
  <c r="F87" i="4"/>
  <c r="F86" i="4"/>
  <c r="F82" i="4"/>
  <c r="I3" i="4"/>
  <c r="I4" i="4"/>
  <c r="I5" i="4"/>
  <c r="I6" i="4"/>
  <c r="I7" i="4"/>
  <c r="I8" i="4"/>
  <c r="I9" i="4"/>
  <c r="I2" i="4"/>
  <c r="F77" i="4"/>
  <c r="F75" i="4"/>
  <c r="F76" i="4"/>
  <c r="F74" i="4"/>
  <c r="F73" i="4"/>
  <c r="F67" i="4"/>
  <c r="F65" i="4"/>
  <c r="F61" i="4"/>
  <c r="F49" i="4"/>
  <c r="F46" i="4"/>
  <c r="F45" i="4"/>
  <c r="F41" i="4"/>
  <c r="F35" i="4"/>
  <c r="F34" i="4"/>
  <c r="F32" i="4"/>
  <c r="G122" i="4" l="1"/>
  <c r="G92" i="4"/>
  <c r="G72" i="4"/>
  <c r="F26" i="4"/>
  <c r="F27" i="4"/>
  <c r="F25" i="4"/>
  <c r="F23" i="4"/>
  <c r="F24" i="4"/>
  <c r="F22" i="4"/>
  <c r="F9" i="4"/>
  <c r="F8" i="4"/>
  <c r="F7" i="4" l="1"/>
  <c r="F5" i="4"/>
  <c r="K4" i="4"/>
  <c r="K5" i="4"/>
  <c r="K6" i="4"/>
  <c r="K8" i="4"/>
  <c r="K9" i="4"/>
  <c r="K2" i="4"/>
  <c r="F83" i="4"/>
  <c r="F117" i="4"/>
  <c r="F108" i="4"/>
  <c r="F109" i="4"/>
  <c r="F102" i="4"/>
  <c r="F101" i="4"/>
  <c r="F100" i="4"/>
  <c r="F88" i="4"/>
  <c r="F81" i="4"/>
  <c r="F66" i="4"/>
  <c r="G64" i="4" s="1"/>
  <c r="F59" i="4"/>
  <c r="F60" i="4"/>
  <c r="F58" i="4"/>
  <c r="F51" i="4"/>
  <c r="F52" i="4"/>
  <c r="F50" i="4"/>
  <c r="F44" i="4"/>
  <c r="F43" i="4"/>
  <c r="F42" i="4"/>
  <c r="F33" i="4"/>
  <c r="F18" i="4"/>
  <c r="F17" i="4"/>
  <c r="F16" i="4"/>
  <c r="F10" i="4"/>
  <c r="F4" i="4"/>
  <c r="G40" i="2"/>
  <c r="G41" i="2"/>
  <c r="G42" i="2"/>
  <c r="G43" i="2"/>
  <c r="G44" i="2"/>
  <c r="G39" i="2"/>
  <c r="F40" i="2"/>
  <c r="F41" i="2"/>
  <c r="F42" i="2"/>
  <c r="F43" i="2"/>
  <c r="F44" i="2"/>
  <c r="F39" i="2"/>
  <c r="E40" i="2"/>
  <c r="E41" i="2"/>
  <c r="E42" i="2"/>
  <c r="E43" i="2"/>
  <c r="E44" i="2"/>
  <c r="E39" i="2"/>
  <c r="D40" i="2"/>
  <c r="D41" i="2"/>
  <c r="D42" i="2"/>
  <c r="D43" i="2"/>
  <c r="D44" i="2"/>
  <c r="D39" i="2"/>
  <c r="G105" i="4" l="1"/>
  <c r="G49" i="4"/>
  <c r="G39" i="4"/>
  <c r="G4" i="4"/>
  <c r="G31" i="4"/>
  <c r="G115" i="4"/>
  <c r="G86" i="4"/>
  <c r="G99" i="4"/>
  <c r="G80" i="4"/>
  <c r="G57" i="4"/>
  <c r="G22" i="4"/>
  <c r="G15" i="4"/>
  <c r="G7" i="4"/>
  <c r="C44" i="2"/>
  <c r="C40" i="2"/>
  <c r="C41" i="2"/>
  <c r="C42" i="2"/>
  <c r="C43" i="2"/>
  <c r="C39" i="2"/>
  <c r="I31" i="2"/>
  <c r="I32" i="2"/>
  <c r="I33" i="2"/>
  <c r="I34" i="2"/>
  <c r="I35" i="2"/>
  <c r="I30" i="2"/>
  <c r="H31" i="2"/>
  <c r="H32" i="2"/>
  <c r="H33" i="2"/>
  <c r="H34" i="2"/>
  <c r="H35" i="2"/>
  <c r="H30" i="2"/>
  <c r="G31" i="2"/>
  <c r="G32" i="2"/>
  <c r="G33" i="2"/>
  <c r="G34" i="2"/>
  <c r="G35" i="2"/>
  <c r="G30" i="2"/>
  <c r="F31" i="2"/>
  <c r="F32" i="2"/>
  <c r="F33" i="2"/>
  <c r="F34" i="2"/>
  <c r="F35" i="2"/>
  <c r="F30" i="2"/>
  <c r="E31" i="2"/>
  <c r="E32" i="2"/>
  <c r="E33" i="2"/>
  <c r="E34" i="2"/>
  <c r="E35" i="2"/>
  <c r="E30" i="2"/>
  <c r="D31" i="2"/>
  <c r="D32" i="2"/>
  <c r="D33" i="2"/>
  <c r="D34" i="2"/>
  <c r="D35" i="2"/>
  <c r="D30" i="2"/>
  <c r="C35" i="2"/>
  <c r="C31" i="2"/>
  <c r="C32" i="2"/>
  <c r="C33" i="2"/>
  <c r="C34" i="2"/>
  <c r="C30" i="2"/>
  <c r="I23" i="2"/>
  <c r="I24" i="2"/>
  <c r="I25" i="2"/>
  <c r="I26" i="2"/>
  <c r="I27" i="2"/>
  <c r="I22" i="2"/>
  <c r="H23" i="2"/>
  <c r="H24" i="2"/>
  <c r="H25" i="2"/>
  <c r="H26" i="2"/>
  <c r="H27" i="2"/>
  <c r="H22" i="2"/>
  <c r="G23" i="2"/>
  <c r="G24" i="2"/>
  <c r="G25" i="2"/>
  <c r="G26" i="2"/>
  <c r="G27" i="2"/>
  <c r="G22" i="2"/>
  <c r="F23" i="2"/>
  <c r="F24" i="2"/>
  <c r="F25" i="2"/>
  <c r="F26" i="2"/>
  <c r="F27" i="2"/>
  <c r="F22" i="2"/>
  <c r="E27" i="2"/>
  <c r="E23" i="2"/>
  <c r="E24" i="2"/>
  <c r="E25" i="2"/>
  <c r="E26" i="2"/>
  <c r="E22" i="2"/>
  <c r="D22" i="2"/>
  <c r="C22" i="2"/>
  <c r="D23" i="2"/>
  <c r="D24" i="2"/>
  <c r="D25" i="2"/>
  <c r="C26" i="2"/>
  <c r="C23" i="2"/>
  <c r="C24" i="2"/>
  <c r="C25" i="2"/>
</calcChain>
</file>

<file path=xl/sharedStrings.xml><?xml version="1.0" encoding="utf-8"?>
<sst xmlns="http://schemas.openxmlformats.org/spreadsheetml/2006/main" count="341" uniqueCount="222">
  <si>
    <t>Lệ</t>
  </si>
  <si>
    <t>Sơn</t>
  </si>
  <si>
    <t>Nhung</t>
  </si>
  <si>
    <t>Lan</t>
  </si>
  <si>
    <t>Khu</t>
  </si>
  <si>
    <t>Hồng</t>
  </si>
  <si>
    <t>Lan Ly</t>
  </si>
  <si>
    <t>Hà</t>
  </si>
  <si>
    <t>Hoà</t>
  </si>
  <si>
    <t>Huyền</t>
  </si>
  <si>
    <t>Hoa</t>
  </si>
  <si>
    <t>Giang</t>
  </si>
  <si>
    <t>Tên GV</t>
  </si>
  <si>
    <t>Chức vụ</t>
  </si>
  <si>
    <t>Phân môn</t>
  </si>
  <si>
    <t>GV</t>
  </si>
  <si>
    <t>Hiệu phó</t>
  </si>
  <si>
    <t>TPT đội</t>
  </si>
  <si>
    <t>Tổ trưởng tổ TN</t>
  </si>
  <si>
    <t>Hiệu trưởng</t>
  </si>
  <si>
    <t>Tổ trưởng tổ XH</t>
  </si>
  <si>
    <t>Tổ phó tổ TN</t>
  </si>
  <si>
    <t>Tổ phó tổ XH</t>
  </si>
  <si>
    <t>GVCN</t>
  </si>
  <si>
    <t>GVHĐ 1</t>
  </si>
  <si>
    <t>Ngữ văn 9</t>
  </si>
  <si>
    <t>Giáo dục công dân 7</t>
  </si>
  <si>
    <t>Giáo dục địa phương 7</t>
  </si>
  <si>
    <t>Ngoại ngữ 7</t>
  </si>
  <si>
    <t>Ngoại ngữ 9</t>
  </si>
  <si>
    <t>Khoa học tự nhiên (Sinh học) 7</t>
  </si>
  <si>
    <t>Khoa học tự nhiên (Sinh học) 8</t>
  </si>
  <si>
    <t>Khoa học tự nhiên (Sinh học) 9</t>
  </si>
  <si>
    <t>Tổng số tiết/tuần</t>
  </si>
  <si>
    <t>Bồi dưỡng/phụ đạo</t>
  </si>
  <si>
    <t xml:space="preserve">Giáo dục địa phương </t>
  </si>
  <si>
    <t>Giáo dục địa phương 8</t>
  </si>
  <si>
    <t>Giáo dục địa phương 9</t>
  </si>
  <si>
    <t>Ngữ văn 7</t>
  </si>
  <si>
    <t>Giáo dục công dân 8</t>
  </si>
  <si>
    <t>Giáo dục công dân 9</t>
  </si>
  <si>
    <t>Giáo dục thể chất 6</t>
  </si>
  <si>
    <t>Giáo dục thể chất 7</t>
  </si>
  <si>
    <t>Giáo dục thể chất 8</t>
  </si>
  <si>
    <t>Giáo dục thể chất 9</t>
  </si>
  <si>
    <t>Khoa học tự nhiên (Sinh học) 6</t>
  </si>
  <si>
    <t>Khoa học tự nhiên (Hoá học) 6</t>
  </si>
  <si>
    <t>Khoa học tự nhiên (Vật lý) 6</t>
  </si>
  <si>
    <t>Phụ trách thiết bị thí nghiệm</t>
  </si>
  <si>
    <t>Công nghệ 6</t>
  </si>
  <si>
    <t>Công nghệ 7</t>
  </si>
  <si>
    <t>Công nghệ 8</t>
  </si>
  <si>
    <t>Ngoại ngữ 6</t>
  </si>
  <si>
    <t>Ngoại ngữ 8</t>
  </si>
  <si>
    <t>Phụ trách CSVC</t>
  </si>
  <si>
    <t>Toán học 9</t>
  </si>
  <si>
    <t>Khoa học tự nhiên (Vật lý) 7</t>
  </si>
  <si>
    <t>Khoa học tự nhiên (Vật lý) 8</t>
  </si>
  <si>
    <t>Tin 9</t>
  </si>
  <si>
    <t>Lịch sử &amp; Địa lý 7</t>
  </si>
  <si>
    <t>Lịch sử &amp; Địa lý 8</t>
  </si>
  <si>
    <t>Lịch sử &amp; Địa lý 9</t>
  </si>
  <si>
    <t>Khoa học tự nhiên (Hoá học) 7</t>
  </si>
  <si>
    <t>Khoa học tự nhiên (Hoá học) 8</t>
  </si>
  <si>
    <t>Khoa học tự nhiên (Hoá học) 9</t>
  </si>
  <si>
    <t>Công nghệ 9</t>
  </si>
  <si>
    <t>Ngữ văn 8</t>
  </si>
  <si>
    <t>Giáo dục địa phương 6</t>
  </si>
  <si>
    <t>Nghệ thuật (Mĩ thuật) 6</t>
  </si>
  <si>
    <t>Nghệ thuật (Mĩ thuật) 7</t>
  </si>
  <si>
    <t>Nghệ thuật (Mĩ thuật) 8</t>
  </si>
  <si>
    <t>Nghệ thuật (Mĩ thuật) 9</t>
  </si>
  <si>
    <t>Nghệ thuật (Âm nhạc) 9</t>
  </si>
  <si>
    <t>Ngữ văn 6</t>
  </si>
  <si>
    <t>Lịch sử &amp; Địa lý 6</t>
  </si>
  <si>
    <t>Nghệ thuật (Âm nhạc) 6</t>
  </si>
  <si>
    <t>Nghệ thuật (Âm nhạc) 7</t>
  </si>
  <si>
    <t>Toán học 6</t>
  </si>
  <si>
    <t>Toán học 7</t>
  </si>
  <si>
    <t>Toán học 8</t>
  </si>
  <si>
    <t>Tin 7</t>
  </si>
  <si>
    <t>Tin 8</t>
  </si>
  <si>
    <t>Khoa học tự nhiên (Vật lý) 9</t>
  </si>
  <si>
    <t>Tin 6</t>
  </si>
  <si>
    <t>Nghệ thuật (Âm nhạc) 8</t>
  </si>
  <si>
    <t>Giáo dục công dân 6</t>
  </si>
  <si>
    <t>(Đã cộng số tiết giảm trừ)</t>
  </si>
  <si>
    <t>Hoạt động trải nghiệm, hướng nghiệp 9</t>
  </si>
  <si>
    <t>Hoạt động trải nghiệm, hướng nghiệp 7</t>
  </si>
  <si>
    <t>Hoạt động trải nghiệm, hướng nghiệp 8</t>
  </si>
  <si>
    <t>Hoạt động trải nghiệm, hướng nghiệp 6</t>
  </si>
  <si>
    <t>Toán</t>
  </si>
  <si>
    <t>Ngữ văn</t>
  </si>
  <si>
    <t>Tiếng Anh</t>
  </si>
  <si>
    <t>GDCD</t>
  </si>
  <si>
    <t>Vật lí (KHTN)</t>
  </si>
  <si>
    <t>1.5</t>
  </si>
  <si>
    <t>Hóa học (KHTN)</t>
  </si>
  <si>
    <t>Sinh học (KHTN)</t>
  </si>
  <si>
    <t>Lịch sử</t>
  </si>
  <si>
    <t>Địa lí</t>
  </si>
  <si>
    <t>Công nghệ</t>
  </si>
  <si>
    <t>Tin học</t>
  </si>
  <si>
    <t>Âm nhạc</t>
  </si>
  <si>
    <t>Mĩ thuật</t>
  </si>
  <si>
    <t>GDTC</t>
  </si>
  <si>
    <t>HĐTNHN</t>
  </si>
  <si>
    <t>Phân môn/Khối</t>
  </si>
  <si>
    <t>GDĐP</t>
  </si>
  <si>
    <t>SỐ LƯỢNG TIẾT HỌC CỦA TỪNG MÔN/TUẦN</t>
  </si>
  <si>
    <t>STT</t>
  </si>
  <si>
    <t>Họ và tên GV</t>
  </si>
  <si>
    <t>Phân công nhiệm vụ</t>
  </si>
  <si>
    <t>Số tiết</t>
  </si>
  <si>
    <t>Tổng số</t>
  </si>
  <si>
    <t>Tổ khoa học tự nhiên</t>
  </si>
  <si>
    <t>Dương Thị Thuý Hà</t>
  </si>
  <si>
    <t>Bàng Thị Hương Giang</t>
  </si>
  <si>
    <t>Nông Thị Hoa</t>
  </si>
  <si>
    <t>Phạm Thanh Hòa</t>
  </si>
  <si>
    <t>Ngô Văn Hồng</t>
  </si>
  <si>
    <t>Nguyễn Thanh Huyền</t>
  </si>
  <si>
    <t>Nguyễn Thị Huyền Ly</t>
  </si>
  <si>
    <t>Lương Văn Khu</t>
  </si>
  <si>
    <t>Dương Thị Lan</t>
  </si>
  <si>
    <t>Nguyễn Thị Lan Ly</t>
  </si>
  <si>
    <t>Bùi Thị Lệ</t>
  </si>
  <si>
    <t>Nguyễn Minh Anh</t>
  </si>
  <si>
    <t>Nguyễn Thị Ly</t>
  </si>
  <si>
    <t>Hoàng Hồng Nhung</t>
  </si>
  <si>
    <t>Nguyễn Văn Kim Sơn</t>
  </si>
  <si>
    <t>Hoàng Văn Trung</t>
  </si>
  <si>
    <t>Triệu Thị Kim Uyên</t>
  </si>
  <si>
    <t>Nguyễn Thị Hồng Vân</t>
  </si>
  <si>
    <t>Nguyễn Thị  Ly</t>
  </si>
  <si>
    <t>Giáo viên</t>
  </si>
  <si>
    <t>H.Ly</t>
  </si>
  <si>
    <t>M.Anh</t>
  </si>
  <si>
    <t>N.Ly</t>
  </si>
  <si>
    <t>Trung</t>
  </si>
  <si>
    <t>Uyên</t>
  </si>
  <si>
    <t>Vân</t>
  </si>
  <si>
    <t>GVHĐ</t>
  </si>
  <si>
    <t>Tổ khoa học xã hội</t>
  </si>
  <si>
    <t>Phó hiệu trưởng</t>
  </si>
  <si>
    <t>Tổ trưởng</t>
  </si>
  <si>
    <t>Ôn vào 10</t>
  </si>
  <si>
    <t>Định mức</t>
  </si>
  <si>
    <t>Phụ trách phòng tin</t>
  </si>
  <si>
    <t>LỚP</t>
  </si>
  <si>
    <t>GVNC</t>
  </si>
  <si>
    <t>1.6</t>
  </si>
  <si>
    <t>Phụ trách phòng KHTN 1</t>
  </si>
  <si>
    <t>PĐ Toán 6</t>
  </si>
  <si>
    <t xml:space="preserve">Ôn vào 10 </t>
  </si>
  <si>
    <t>GVCN 9A5</t>
  </si>
  <si>
    <t>Hoạt động trải nghiệm, hướng nghiệp 9A5</t>
  </si>
  <si>
    <t>Phụ đạo Toán học 9</t>
  </si>
  <si>
    <t>Phụ trách CNTT</t>
  </si>
  <si>
    <t>Tin học 6A6</t>
  </si>
  <si>
    <t>GVCN 7A5</t>
  </si>
  <si>
    <t>Hoạt động trải nghiệm, hướng nghiệp 7A5</t>
  </si>
  <si>
    <t>Giáo dục công dân 8A5</t>
  </si>
  <si>
    <t>Thư ký hội đồng</t>
  </si>
  <si>
    <t>Tin học 7</t>
  </si>
  <si>
    <t>Nội dung giáo dục địa phương 7</t>
  </si>
  <si>
    <t>Bồi dưỡng HSG KHTN (Hoá học) 9</t>
  </si>
  <si>
    <t>Bồi dưỡng GDTC</t>
  </si>
  <si>
    <t>Phụ trách âm thanh</t>
  </si>
  <si>
    <t>CLB võ thuật</t>
  </si>
  <si>
    <t>GVCN 8A5</t>
  </si>
  <si>
    <t>Hoạt động trải nghiệm, hướng nghiệp 8A5</t>
  </si>
  <si>
    <t>Tin 6A5</t>
  </si>
  <si>
    <t>Phụ đạo Toán học 8</t>
  </si>
  <si>
    <t>GVCN 7A4</t>
  </si>
  <si>
    <t>Hoạt động trải nghiệm, hướng nghiệp 7A4</t>
  </si>
  <si>
    <t>Tin học 8</t>
  </si>
  <si>
    <t>Phụ đạo Toán 7</t>
  </si>
  <si>
    <t>Nguyễn Đức Thành</t>
  </si>
  <si>
    <t>Tổ trưởng tổ KHXH</t>
  </si>
  <si>
    <t>Ngữ văn 7A5</t>
  </si>
  <si>
    <t>Lịch sử &amp; Địa lý (Lịch sử) 7</t>
  </si>
  <si>
    <t>Lịch sử &amp; Địa lý (Lịch sử) 8</t>
  </si>
  <si>
    <t>Lịch sử &amp; Địa lý (Lịch sử) 9</t>
  </si>
  <si>
    <t>Nội dung giáo dục địa phương 9</t>
  </si>
  <si>
    <t>Bồi dưỡng LS&amp;ĐL (Lịch sử) 9</t>
  </si>
  <si>
    <t>GVCN 6A5</t>
  </si>
  <si>
    <t>GVCN 6A6</t>
  </si>
  <si>
    <t>GVCN 8A6</t>
  </si>
  <si>
    <t>GVCN 9A6</t>
  </si>
  <si>
    <t>Ghi chú</t>
  </si>
  <si>
    <t>Ưu tiên không đi tiết 1</t>
  </si>
  <si>
    <t>Không phân tiết 4 sáng và tiết 1 chiều</t>
  </si>
  <si>
    <t>ĐẶC BIỆT LƯU Ý MỖI GIÁO VIÊN TỐI ĐA 5 TIẾT/NGÀY. GVCN KHÔNG ĐỂ CN XANH VÀO BUỔI SÁNG</t>
  </si>
  <si>
    <t>CÁC NGÀY CHO PHÉP XẾP CN XANH</t>
  </si>
  <si>
    <t>Chiều thứ 2</t>
  </si>
  <si>
    <t>Sáng thứ 3</t>
  </si>
  <si>
    <t>Chiều thứ 3</t>
  </si>
  <si>
    <t>Sáng thứ 4</t>
  </si>
  <si>
    <t>Chiều thứ 4</t>
  </si>
  <si>
    <t>Hoạt động trải nghiệm, hướng nghiệp 9A6</t>
  </si>
  <si>
    <t>Nội dung giáo dục địa phương 6</t>
  </si>
  <si>
    <t>Ngoại ngữ 6A6</t>
  </si>
  <si>
    <t>Bồi dưỡng và phụ đạo Ngoại ngữ 6,7,8</t>
  </si>
  <si>
    <t>Hoạt động trải nghiệm, hướng nghiệp 6A5</t>
  </si>
  <si>
    <t>Ngoại ngữ 6A5</t>
  </si>
  <si>
    <t>Phụ trách lao động</t>
  </si>
  <si>
    <t>Hoạt động trải nghiệm, hướng nghiệp 6A6</t>
  </si>
  <si>
    <t>Lịch sử &amp; Địa lý (Lịch sử) 6</t>
  </si>
  <si>
    <t>Phụ đạo Ngữ văn 6</t>
  </si>
  <si>
    <t>Hỗ trợ TPT đội (PH 1)</t>
  </si>
  <si>
    <t>CLB Nghệ thuật</t>
  </si>
  <si>
    <t>Hoạt động trải nghiệm, hướng nghiệp 8A6</t>
  </si>
  <si>
    <t>Giáo dục công dân 8A6</t>
  </si>
  <si>
    <t>Phụ đạo Ngữ văn 8</t>
  </si>
  <si>
    <t>Ngữ văn 7A6</t>
  </si>
  <si>
    <t>Lịch sử &amp; Địa lý (Địa lý) 6</t>
  </si>
  <si>
    <t>Lịch sử &amp; Địa lý (Địa lý) 7</t>
  </si>
  <si>
    <t>Lịch sử &amp; Địa lý (Địa lý) 8</t>
  </si>
  <si>
    <t>Lịch sử &amp; Địa lý (Địa lý) 9</t>
  </si>
  <si>
    <t>Nội dung giáo dục địa phương 8</t>
  </si>
  <si>
    <t>Phụ đạo Ngữ văn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</si>
</sst>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3"/>
      <color theme="1"/>
      <name val="Times New Roman"/>
      <family val="2"/>
      <charset val="163"/>
    </font>
    <font>
      <sz val="13"/>
      <name val="Times New Roman"/>
      <family val="1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sz val="8"/>
      <name val="Times New Roman"/>
      <family val="2"/>
      <charset val="163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2060"/>
      <name val="Times New Roman"/>
      <family val="1"/>
    </font>
    <font>
      <b/>
      <sz val="13"/>
      <color rgb="FF002060"/>
      <name val="Times New Roman"/>
      <family val="1"/>
    </font>
    <font>
      <b/>
      <sz val="13"/>
      <color rgb="FF0034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b/>
      <sz val="13"/>
      <color rgb="FF005E00"/>
      <name val="Times New Roman"/>
      <family val="1"/>
    </font>
    <font>
      <b/>
      <sz val="13"/>
      <color rgb="FF004F8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/>
    </xf>
    <xf numFmtId="0" fontId="2" fillId="2" borderId="0" xfId="0" applyFont="1" applyFill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/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8" fillId="0" borderId="1" xfId="0" applyFont="1" applyBorder="1" applyAlignment="1">
      <alignment horizontal="centerContinuous" vertical="center"/>
    </xf>
    <xf numFmtId="0" fontId="13" fillId="0" borderId="1" xfId="0" applyFont="1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072A-36A3-43A0-B933-F7F448A17638}">
  <dimension ref="A1:K238"/>
  <sheetViews>
    <sheetView tabSelected="1" workbookViewId="0">
      <selection activeCell="E10" sqref="E10"/>
    </sheetView>
  </sheetViews>
  <sheetFormatPr defaultColWidth="8.90625" defaultRowHeight="16.8" x14ac:dyDescent="0.3"/>
  <cols>
    <col min="1" max="1" width="6.26953125" style="13" customWidth="1"/>
    <col min="2" max="2" width="20.08984375" style="13" customWidth="1"/>
    <col min="3" max="3" width="17.36328125" style="13" customWidth="1"/>
    <col min="4" max="4" width="34.26953125" style="13" customWidth="1"/>
    <col min="5" max="5" width="12.1796875" style="13" customWidth="1"/>
    <col min="6" max="6" width="8.90625" style="14"/>
    <col min="7" max="7" width="8.90625" style="29"/>
    <col min="8" max="8" width="22.54296875" style="13" customWidth="1"/>
    <col min="9" max="9" width="8" style="13" customWidth="1"/>
    <col min="10" max="10" width="10.90625" style="13" customWidth="1"/>
    <col min="11" max="11" width="19.54296875" style="13" customWidth="1"/>
    <col min="12" max="16384" width="8.90625" style="13"/>
  </cols>
  <sheetData>
    <row r="1" spans="1:11" s="16" customFormat="1" x14ac:dyDescent="0.3">
      <c r="A1" s="18" t="s">
        <v>110</v>
      </c>
      <c r="B1" s="18" t="s">
        <v>111</v>
      </c>
      <c r="C1" s="18" t="s">
        <v>13</v>
      </c>
      <c r="D1" s="18" t="s">
        <v>112</v>
      </c>
      <c r="E1" s="18" t="s">
        <v>147</v>
      </c>
      <c r="F1" s="18" t="s">
        <v>113</v>
      </c>
      <c r="G1" s="22" t="s">
        <v>114</v>
      </c>
      <c r="H1" s="18" t="s">
        <v>190</v>
      </c>
      <c r="I1" s="31" t="s">
        <v>110</v>
      </c>
      <c r="J1" s="22" t="s">
        <v>149</v>
      </c>
      <c r="K1" s="22" t="s">
        <v>150</v>
      </c>
    </row>
    <row r="2" spans="1:11" s="16" customFormat="1" x14ac:dyDescent="0.3">
      <c r="A2" s="36" t="s">
        <v>193</v>
      </c>
      <c r="B2" s="35"/>
      <c r="C2" s="35"/>
      <c r="D2" s="35"/>
      <c r="E2" s="35"/>
      <c r="F2" s="35"/>
      <c r="G2" s="28"/>
      <c r="H2" s="35"/>
      <c r="I2" s="32">
        <f>ROW()-1</f>
        <v>1</v>
      </c>
      <c r="J2" s="1" t="s">
        <v>186</v>
      </c>
      <c r="K2" s="21" t="str">
        <f>INDEX($B$1:$B$128, MATCH(J2, $D$1:$D$128, 0))</f>
        <v>Bàng Thị Hương Giang</v>
      </c>
    </row>
    <row r="3" spans="1:11" x14ac:dyDescent="0.3">
      <c r="A3" s="6" t="s">
        <v>115</v>
      </c>
      <c r="B3" s="19"/>
      <c r="C3" s="19"/>
      <c r="D3" s="19"/>
      <c r="E3" s="19"/>
      <c r="F3" s="19"/>
      <c r="G3" s="28"/>
      <c r="H3" s="19"/>
      <c r="I3" s="32">
        <f t="shared" ref="I3:I9" si="0">ROW()-1</f>
        <v>2</v>
      </c>
      <c r="J3" s="1" t="s">
        <v>187</v>
      </c>
      <c r="K3" s="21" t="str">
        <f>INDEX($B$1:$B$128, MATCH(J3, $D$1:$D$128, 0))</f>
        <v>Nông Thị Hoa</v>
      </c>
    </row>
    <row r="4" spans="1:11" x14ac:dyDescent="0.3">
      <c r="A4" s="20">
        <v>1</v>
      </c>
      <c r="B4" s="15" t="s">
        <v>116</v>
      </c>
      <c r="C4" s="15" t="s">
        <v>144</v>
      </c>
      <c r="D4" s="15" t="s">
        <v>75</v>
      </c>
      <c r="E4" s="1">
        <v>1</v>
      </c>
      <c r="F4" s="1">
        <f>2*E4</f>
        <v>2</v>
      </c>
      <c r="G4" s="22">
        <f>+SUM(F4:F5)</f>
        <v>4</v>
      </c>
      <c r="H4" s="15"/>
      <c r="I4" s="32">
        <f t="shared" si="0"/>
        <v>3</v>
      </c>
      <c r="J4" s="1" t="s">
        <v>174</v>
      </c>
      <c r="K4" s="21" t="str">
        <f>INDEX($B$1:$B$128, MATCH(J4, $D$1:$D$128, 0))</f>
        <v>Bùi Thị Lệ</v>
      </c>
    </row>
    <row r="5" spans="1:11" x14ac:dyDescent="0.3">
      <c r="A5" s="20"/>
      <c r="B5" s="15"/>
      <c r="C5" s="15"/>
      <c r="D5" s="15" t="s">
        <v>72</v>
      </c>
      <c r="E5" s="24">
        <v>1</v>
      </c>
      <c r="F5" s="24">
        <f>2*E5</f>
        <v>2</v>
      </c>
      <c r="G5" s="22"/>
      <c r="H5" s="15"/>
      <c r="I5" s="32">
        <f t="shared" si="0"/>
        <v>4</v>
      </c>
      <c r="J5" s="1" t="s">
        <v>160</v>
      </c>
      <c r="K5" s="21" t="str">
        <f>INDEX($B$1:$B$128, MATCH(J5, $D$1:$D$128, 0))</f>
        <v>Phạm Thanh Hòa</v>
      </c>
    </row>
    <row r="6" spans="1:11" x14ac:dyDescent="0.3">
      <c r="A6" s="20"/>
      <c r="B6" s="15"/>
      <c r="C6" s="15"/>
      <c r="D6" s="15"/>
      <c r="E6" s="1"/>
      <c r="F6" s="1"/>
      <c r="G6" s="22"/>
      <c r="H6" s="15"/>
      <c r="I6" s="32">
        <f t="shared" si="0"/>
        <v>5</v>
      </c>
      <c r="J6" s="1" t="s">
        <v>170</v>
      </c>
      <c r="K6" s="21" t="str">
        <f>INDEX($B$1:$B$128, MATCH(J6, $D$1:$D$128, 0))</f>
        <v>Nguyễn Minh Anh</v>
      </c>
    </row>
    <row r="7" spans="1:11" ht="18" x14ac:dyDescent="0.3">
      <c r="A7" s="20">
        <v>2</v>
      </c>
      <c r="B7" s="15" t="s">
        <v>122</v>
      </c>
      <c r="C7" s="15"/>
      <c r="D7" s="25" t="s">
        <v>77</v>
      </c>
      <c r="E7" s="1">
        <v>4</v>
      </c>
      <c r="F7" s="1">
        <f>+E7*2</f>
        <v>8</v>
      </c>
      <c r="G7" s="22">
        <f>+SUM(F7:F13)</f>
        <v>18.2</v>
      </c>
      <c r="H7" s="15" t="s">
        <v>191</v>
      </c>
      <c r="I7" s="32">
        <f t="shared" si="0"/>
        <v>6</v>
      </c>
      <c r="J7" s="1" t="s">
        <v>188</v>
      </c>
      <c r="K7" s="21" t="str">
        <f>INDEX($B$1:$B$128, MATCH(J7, $D$1:$D$128, 0))</f>
        <v>Triệu Thị Kim Uyên</v>
      </c>
    </row>
    <row r="8" spans="1:11" x14ac:dyDescent="0.3">
      <c r="A8" s="20"/>
      <c r="B8" s="15"/>
      <c r="C8" s="15"/>
      <c r="D8" s="15" t="s">
        <v>56</v>
      </c>
      <c r="E8" s="1">
        <v>1.2</v>
      </c>
      <c r="F8" s="1">
        <f>+E8*2</f>
        <v>2.4</v>
      </c>
      <c r="G8" s="22"/>
      <c r="H8" s="15"/>
      <c r="I8" s="32">
        <f t="shared" si="0"/>
        <v>7</v>
      </c>
      <c r="J8" s="1" t="s">
        <v>155</v>
      </c>
      <c r="K8" s="21" t="str">
        <f>INDEX($B$1:$B$128, MATCH(J8, $D$1:$D$128, 0))</f>
        <v>Nguyễn Thị  Ly</v>
      </c>
    </row>
    <row r="9" spans="1:11" x14ac:dyDescent="0.3">
      <c r="A9" s="20"/>
      <c r="B9" s="15"/>
      <c r="C9" s="15"/>
      <c r="D9" s="27" t="s">
        <v>82</v>
      </c>
      <c r="E9" s="1">
        <v>1.4</v>
      </c>
      <c r="F9" s="1">
        <f>+E9*2</f>
        <v>2.8</v>
      </c>
      <c r="G9" s="22"/>
      <c r="H9" s="15"/>
      <c r="I9" s="32">
        <f t="shared" si="0"/>
        <v>8</v>
      </c>
      <c r="J9" s="1" t="s">
        <v>189</v>
      </c>
      <c r="K9" s="21" t="str">
        <f>INDEX($B$1:$B$128, MATCH(J9, $D$1:$D$128, 0))</f>
        <v>Dương Thị Lan</v>
      </c>
    </row>
    <row r="10" spans="1:11" ht="18" x14ac:dyDescent="0.3">
      <c r="A10" s="20"/>
      <c r="B10" s="15"/>
      <c r="C10" s="15"/>
      <c r="D10" s="25" t="s">
        <v>49</v>
      </c>
      <c r="E10" s="1">
        <v>1</v>
      </c>
      <c r="F10" s="1">
        <f>+E10*2</f>
        <v>2</v>
      </c>
      <c r="G10" s="22"/>
      <c r="H10" s="15"/>
    </row>
    <row r="11" spans="1:11" ht="18" x14ac:dyDescent="0.3">
      <c r="A11" s="20"/>
      <c r="B11" s="15"/>
      <c r="C11" s="15"/>
      <c r="D11" s="26" t="s">
        <v>152</v>
      </c>
      <c r="E11" s="1"/>
      <c r="F11" s="1">
        <v>1</v>
      </c>
      <c r="G11" s="22"/>
      <c r="H11" s="15"/>
      <c r="I11" s="37" t="s">
        <v>194</v>
      </c>
    </row>
    <row r="12" spans="1:11" ht="18" x14ac:dyDescent="0.3">
      <c r="A12" s="20"/>
      <c r="B12" s="15"/>
      <c r="C12" s="15"/>
      <c r="D12" s="25" t="s">
        <v>153</v>
      </c>
      <c r="E12" s="1"/>
      <c r="F12" s="1">
        <v>1</v>
      </c>
      <c r="G12" s="22"/>
      <c r="H12" s="15"/>
      <c r="I12" s="38" t="s">
        <v>195</v>
      </c>
      <c r="J12" s="33"/>
      <c r="K12" s="34"/>
    </row>
    <row r="13" spans="1:11" ht="18" x14ac:dyDescent="0.3">
      <c r="A13" s="20"/>
      <c r="B13" s="15"/>
      <c r="C13" s="15"/>
      <c r="D13" s="25" t="s">
        <v>154</v>
      </c>
      <c r="E13" s="1"/>
      <c r="F13" s="1">
        <v>1</v>
      </c>
      <c r="G13" s="22"/>
      <c r="H13" s="15"/>
      <c r="I13" s="38" t="s">
        <v>196</v>
      </c>
      <c r="J13" s="33"/>
      <c r="K13" s="34"/>
    </row>
    <row r="14" spans="1:11" x14ac:dyDescent="0.3">
      <c r="A14" s="20"/>
      <c r="B14" s="15"/>
      <c r="C14" s="15"/>
      <c r="D14" s="15"/>
      <c r="E14" s="1"/>
      <c r="F14" s="1"/>
      <c r="G14" s="22"/>
      <c r="H14" s="15"/>
      <c r="I14" s="38" t="s">
        <v>197</v>
      </c>
      <c r="J14" s="33"/>
      <c r="K14" s="34"/>
    </row>
    <row r="15" spans="1:11" x14ac:dyDescent="0.3">
      <c r="A15" s="20">
        <v>3</v>
      </c>
      <c r="B15" s="15" t="s">
        <v>134</v>
      </c>
      <c r="C15" s="15" t="s">
        <v>135</v>
      </c>
      <c r="D15" s="15" t="s">
        <v>155</v>
      </c>
      <c r="E15" s="1"/>
      <c r="F15" s="1">
        <v>4</v>
      </c>
      <c r="G15" s="22">
        <f>+SUM(F15:F20)</f>
        <v>19.399999999999999</v>
      </c>
      <c r="H15" s="15" t="s">
        <v>191</v>
      </c>
      <c r="I15" s="39" t="s">
        <v>198</v>
      </c>
    </row>
    <row r="16" spans="1:11" x14ac:dyDescent="0.3">
      <c r="A16" s="20"/>
      <c r="B16" s="15"/>
      <c r="C16" s="15"/>
      <c r="D16" s="15" t="s">
        <v>55</v>
      </c>
      <c r="E16" s="1">
        <v>4</v>
      </c>
      <c r="F16" s="1">
        <f>+E16*2</f>
        <v>8</v>
      </c>
      <c r="G16" s="22"/>
      <c r="H16" s="15"/>
      <c r="I16" s="39" t="s">
        <v>199</v>
      </c>
    </row>
    <row r="17" spans="1:8" x14ac:dyDescent="0.3">
      <c r="A17" s="20"/>
      <c r="B17" s="15"/>
      <c r="C17" s="15"/>
      <c r="D17" s="15" t="s">
        <v>156</v>
      </c>
      <c r="E17" s="1">
        <v>3</v>
      </c>
      <c r="F17" s="1">
        <f>+E17*1</f>
        <v>3</v>
      </c>
      <c r="G17" s="22"/>
      <c r="H17" s="15"/>
    </row>
    <row r="18" spans="1:8" x14ac:dyDescent="0.3">
      <c r="A18" s="20"/>
      <c r="B18" s="15"/>
      <c r="C18" s="15"/>
      <c r="D18" s="15" t="s">
        <v>57</v>
      </c>
      <c r="E18" s="1">
        <v>1.2</v>
      </c>
      <c r="F18" s="1">
        <f>+E18*2</f>
        <v>2.4</v>
      </c>
      <c r="G18" s="22"/>
      <c r="H18" s="15"/>
    </row>
    <row r="19" spans="1:8" x14ac:dyDescent="0.3">
      <c r="A19" s="20"/>
      <c r="B19" s="15"/>
      <c r="C19" s="15"/>
      <c r="D19" s="15" t="s">
        <v>146</v>
      </c>
      <c r="E19" s="1"/>
      <c r="F19" s="1">
        <v>1</v>
      </c>
      <c r="G19" s="22"/>
      <c r="H19" s="15"/>
    </row>
    <row r="20" spans="1:8" x14ac:dyDescent="0.3">
      <c r="A20" s="20"/>
      <c r="B20" s="15"/>
      <c r="C20" s="15"/>
      <c r="D20" s="15" t="s">
        <v>157</v>
      </c>
      <c r="E20" s="1"/>
      <c r="F20" s="1">
        <v>1</v>
      </c>
      <c r="G20" s="22"/>
      <c r="H20" s="15"/>
    </row>
    <row r="21" spans="1:8" x14ac:dyDescent="0.3">
      <c r="A21" s="20"/>
      <c r="B21" s="15"/>
      <c r="C21" s="15"/>
      <c r="D21" s="15"/>
      <c r="E21" s="1"/>
      <c r="F21" s="1"/>
      <c r="G21" s="22"/>
      <c r="H21" s="15"/>
    </row>
    <row r="22" spans="1:8" x14ac:dyDescent="0.3">
      <c r="A22" s="20">
        <v>4</v>
      </c>
      <c r="B22" s="15" t="s">
        <v>130</v>
      </c>
      <c r="C22" s="15" t="s">
        <v>135</v>
      </c>
      <c r="D22" s="15" t="s">
        <v>47</v>
      </c>
      <c r="E22" s="1">
        <v>1.4</v>
      </c>
      <c r="F22" s="1">
        <f>+E22*2</f>
        <v>2.8</v>
      </c>
      <c r="G22" s="22">
        <f>SUM(F22:F29)</f>
        <v>18</v>
      </c>
      <c r="H22" s="15" t="s">
        <v>191</v>
      </c>
    </row>
    <row r="23" spans="1:8" x14ac:dyDescent="0.3">
      <c r="A23" s="20"/>
      <c r="B23" s="15"/>
      <c r="C23" s="15"/>
      <c r="D23" s="15" t="s">
        <v>46</v>
      </c>
      <c r="E23" s="1">
        <v>1</v>
      </c>
      <c r="F23" s="1">
        <f t="shared" ref="F23:F24" si="1">+E23*2</f>
        <v>2</v>
      </c>
      <c r="G23" s="22"/>
      <c r="H23" s="15"/>
    </row>
    <row r="24" spans="1:8" x14ac:dyDescent="0.3">
      <c r="A24" s="20"/>
      <c r="B24" s="15"/>
      <c r="C24" s="15"/>
      <c r="D24" s="15" t="s">
        <v>45</v>
      </c>
      <c r="E24" s="1">
        <v>1.6</v>
      </c>
      <c r="F24" s="1">
        <f t="shared" si="1"/>
        <v>3.2</v>
      </c>
      <c r="G24" s="22"/>
      <c r="H24" s="15"/>
    </row>
    <row r="25" spans="1:8" x14ac:dyDescent="0.3">
      <c r="A25" s="20"/>
      <c r="B25" s="15"/>
      <c r="C25" s="15"/>
      <c r="D25" s="15" t="s">
        <v>32</v>
      </c>
      <c r="E25" s="1">
        <v>1</v>
      </c>
      <c r="F25" s="1">
        <f>+E25*2</f>
        <v>2</v>
      </c>
      <c r="G25" s="22"/>
      <c r="H25" s="15"/>
    </row>
    <row r="26" spans="1:8" ht="18" x14ac:dyDescent="0.3">
      <c r="A26" s="20"/>
      <c r="B26" s="15"/>
      <c r="C26" s="15"/>
      <c r="D26" s="25" t="s">
        <v>50</v>
      </c>
      <c r="E26" s="1">
        <v>1</v>
      </c>
      <c r="F26" s="1">
        <f t="shared" ref="F26:F27" si="2">+E26*2</f>
        <v>2</v>
      </c>
      <c r="G26" s="22"/>
      <c r="H26" s="15"/>
    </row>
    <row r="27" spans="1:8" ht="18" x14ac:dyDescent="0.3">
      <c r="A27" s="20"/>
      <c r="B27" s="15"/>
      <c r="C27" s="15"/>
      <c r="D27" s="25" t="s">
        <v>51</v>
      </c>
      <c r="E27" s="1">
        <v>1.5</v>
      </c>
      <c r="F27" s="1">
        <f t="shared" si="2"/>
        <v>3</v>
      </c>
      <c r="G27" s="22"/>
      <c r="H27" s="15"/>
    </row>
    <row r="28" spans="1:8" ht="18" x14ac:dyDescent="0.3">
      <c r="A28" s="20"/>
      <c r="B28" s="15"/>
      <c r="C28" s="15"/>
      <c r="D28" s="25" t="s">
        <v>158</v>
      </c>
      <c r="E28" s="1"/>
      <c r="F28" s="1">
        <v>2</v>
      </c>
      <c r="G28" s="22"/>
      <c r="H28" s="15"/>
    </row>
    <row r="29" spans="1:8" ht="18" x14ac:dyDescent="0.35">
      <c r="A29" s="20"/>
      <c r="B29" s="15"/>
      <c r="C29" s="15"/>
      <c r="D29" s="30" t="s">
        <v>159</v>
      </c>
      <c r="E29" s="1">
        <v>1</v>
      </c>
      <c r="F29" s="1">
        <v>1</v>
      </c>
      <c r="G29" s="22"/>
      <c r="H29" s="15"/>
    </row>
    <row r="30" spans="1:8" x14ac:dyDescent="0.3">
      <c r="A30" s="20"/>
      <c r="B30" s="15"/>
      <c r="C30" s="15"/>
      <c r="D30" s="15"/>
      <c r="E30" s="1"/>
      <c r="F30" s="1"/>
      <c r="G30" s="22"/>
      <c r="H30" s="15"/>
    </row>
    <row r="31" spans="1:8" x14ac:dyDescent="0.3">
      <c r="A31" s="20">
        <v>5</v>
      </c>
      <c r="B31" s="15" t="s">
        <v>119</v>
      </c>
      <c r="C31" s="15" t="s">
        <v>135</v>
      </c>
      <c r="D31" s="15" t="s">
        <v>160</v>
      </c>
      <c r="E31" s="1"/>
      <c r="F31" s="1">
        <v>4</v>
      </c>
      <c r="G31" s="22">
        <f>+SUM(F31:F37)</f>
        <v>18.600000000000001</v>
      </c>
      <c r="H31" s="15"/>
    </row>
    <row r="32" spans="1:8" x14ac:dyDescent="0.3">
      <c r="A32" s="20"/>
      <c r="B32" s="15"/>
      <c r="C32" s="15"/>
      <c r="D32" s="15" t="s">
        <v>161</v>
      </c>
      <c r="E32" s="1">
        <v>3</v>
      </c>
      <c r="F32" s="1">
        <f>+E32*1</f>
        <v>3</v>
      </c>
      <c r="G32" s="22"/>
      <c r="H32" s="15"/>
    </row>
    <row r="33" spans="1:8" x14ac:dyDescent="0.3">
      <c r="A33" s="20"/>
      <c r="B33" s="15"/>
      <c r="C33" s="15"/>
      <c r="D33" s="15" t="s">
        <v>62</v>
      </c>
      <c r="E33" s="1">
        <v>1</v>
      </c>
      <c r="F33" s="1">
        <f t="shared" ref="F33" si="3">+E33*2</f>
        <v>2</v>
      </c>
      <c r="G33" s="22"/>
      <c r="H33" s="15"/>
    </row>
    <row r="34" spans="1:8" x14ac:dyDescent="0.3">
      <c r="A34" s="20"/>
      <c r="B34" s="15"/>
      <c r="C34" s="15"/>
      <c r="D34" s="15" t="s">
        <v>30</v>
      </c>
      <c r="E34" s="1">
        <v>1.8</v>
      </c>
      <c r="F34" s="1">
        <f>+E34*2</f>
        <v>3.6</v>
      </c>
      <c r="G34" s="22"/>
      <c r="H34" s="15"/>
    </row>
    <row r="35" spans="1:8" x14ac:dyDescent="0.3">
      <c r="A35" s="20"/>
      <c r="B35" s="15"/>
      <c r="C35" s="15"/>
      <c r="D35" s="15" t="s">
        <v>31</v>
      </c>
      <c r="E35" s="1">
        <v>1.5</v>
      </c>
      <c r="F35" s="1">
        <f>+E35*2</f>
        <v>3</v>
      </c>
      <c r="G35" s="22"/>
      <c r="H35" s="15"/>
    </row>
    <row r="36" spans="1:8" x14ac:dyDescent="0.3">
      <c r="A36" s="20"/>
      <c r="B36" s="15"/>
      <c r="C36" s="15"/>
      <c r="D36" s="15" t="s">
        <v>48</v>
      </c>
      <c r="E36" s="1"/>
      <c r="F36" s="1">
        <v>2</v>
      </c>
      <c r="G36" s="22"/>
      <c r="H36" s="15"/>
    </row>
    <row r="37" spans="1:8" x14ac:dyDescent="0.3">
      <c r="A37" s="20"/>
      <c r="B37" s="15"/>
      <c r="C37" s="15"/>
      <c r="D37" s="15" t="s">
        <v>162</v>
      </c>
      <c r="E37" s="1">
        <v>1</v>
      </c>
      <c r="F37" s="1">
        <v>1</v>
      </c>
      <c r="G37" s="22"/>
      <c r="H37" s="15"/>
    </row>
    <row r="38" spans="1:8" x14ac:dyDescent="0.3">
      <c r="A38" s="20"/>
      <c r="B38" s="15"/>
      <c r="C38" s="15"/>
      <c r="D38" s="15"/>
      <c r="E38" s="1"/>
      <c r="F38" s="1"/>
      <c r="G38" s="22"/>
      <c r="H38" s="15"/>
    </row>
    <row r="39" spans="1:8" x14ac:dyDescent="0.3">
      <c r="A39" s="20">
        <v>6</v>
      </c>
      <c r="B39" s="15" t="s">
        <v>123</v>
      </c>
      <c r="C39" s="15" t="s">
        <v>135</v>
      </c>
      <c r="D39" s="15" t="s">
        <v>163</v>
      </c>
      <c r="E39" s="1"/>
      <c r="F39" s="1">
        <v>2</v>
      </c>
      <c r="G39" s="22">
        <f>+SUM(F39:F47)</f>
        <v>18.8</v>
      </c>
      <c r="H39" s="15" t="s">
        <v>191</v>
      </c>
    </row>
    <row r="40" spans="1:8" x14ac:dyDescent="0.3">
      <c r="A40" s="20"/>
      <c r="B40" s="15"/>
      <c r="C40" s="15"/>
      <c r="D40" s="15" t="s">
        <v>152</v>
      </c>
      <c r="E40" s="1"/>
      <c r="F40" s="1">
        <v>1</v>
      </c>
      <c r="G40" s="22"/>
      <c r="H40" s="15"/>
    </row>
    <row r="41" spans="1:8" x14ac:dyDescent="0.3">
      <c r="A41" s="20"/>
      <c r="B41" s="15"/>
      <c r="C41" s="15"/>
      <c r="D41" s="15" t="s">
        <v>63</v>
      </c>
      <c r="E41" s="1">
        <v>1.3</v>
      </c>
      <c r="F41" s="1">
        <f>+E41*2</f>
        <v>2.6</v>
      </c>
      <c r="G41" s="22"/>
      <c r="H41" s="15"/>
    </row>
    <row r="42" spans="1:8" x14ac:dyDescent="0.3">
      <c r="A42" s="20"/>
      <c r="B42" s="15"/>
      <c r="C42" s="15"/>
      <c r="D42" s="15" t="s">
        <v>64</v>
      </c>
      <c r="E42" s="1">
        <v>1.6</v>
      </c>
      <c r="F42" s="1">
        <f>+E42*2</f>
        <v>3.2</v>
      </c>
      <c r="G42" s="22"/>
      <c r="H42" s="15"/>
    </row>
    <row r="43" spans="1:8" x14ac:dyDescent="0.3">
      <c r="A43" s="20"/>
      <c r="B43" s="15"/>
      <c r="C43" s="15"/>
      <c r="D43" s="15" t="s">
        <v>65</v>
      </c>
      <c r="E43" s="1">
        <v>1.5</v>
      </c>
      <c r="F43" s="1">
        <f>+E43*2</f>
        <v>3</v>
      </c>
      <c r="G43" s="22"/>
      <c r="H43" s="15"/>
    </row>
    <row r="44" spans="1:8" x14ac:dyDescent="0.3">
      <c r="A44" s="20"/>
      <c r="B44" s="15"/>
      <c r="C44" s="15"/>
      <c r="D44" s="15" t="s">
        <v>164</v>
      </c>
      <c r="E44" s="1">
        <v>1</v>
      </c>
      <c r="F44" s="1">
        <f>+E44*2</f>
        <v>2</v>
      </c>
      <c r="G44" s="22"/>
      <c r="H44" s="15"/>
    </row>
    <row r="45" spans="1:8" x14ac:dyDescent="0.3">
      <c r="A45" s="20"/>
      <c r="B45" s="15"/>
      <c r="C45" s="15"/>
      <c r="D45" s="15" t="s">
        <v>165</v>
      </c>
      <c r="E45" s="1">
        <v>1</v>
      </c>
      <c r="F45" s="1">
        <f>+E45*2</f>
        <v>2</v>
      </c>
      <c r="G45" s="22"/>
      <c r="H45" s="15"/>
    </row>
    <row r="46" spans="1:8" x14ac:dyDescent="0.3">
      <c r="A46" s="20"/>
      <c r="B46" s="15"/>
      <c r="C46" s="15"/>
      <c r="D46" s="15" t="s">
        <v>85</v>
      </c>
      <c r="E46" s="1">
        <v>1</v>
      </c>
      <c r="F46" s="1">
        <f>+E46*2</f>
        <v>2</v>
      </c>
      <c r="G46" s="22"/>
      <c r="H46" s="15"/>
    </row>
    <row r="47" spans="1:8" x14ac:dyDescent="0.3">
      <c r="A47" s="20"/>
      <c r="B47" s="15"/>
      <c r="C47" s="15"/>
      <c r="D47" s="15" t="s">
        <v>166</v>
      </c>
      <c r="E47" s="1"/>
      <c r="F47" s="1">
        <v>1</v>
      </c>
      <c r="G47" s="22"/>
      <c r="H47" s="15"/>
    </row>
    <row r="48" spans="1:8" x14ac:dyDescent="0.3">
      <c r="A48" s="20"/>
      <c r="B48" s="15"/>
      <c r="C48" s="15"/>
      <c r="D48" s="15"/>
      <c r="E48" s="1"/>
      <c r="F48" s="1"/>
      <c r="G48" s="22"/>
      <c r="H48" s="15"/>
    </row>
    <row r="49" spans="1:8" x14ac:dyDescent="0.3">
      <c r="A49" s="20">
        <v>7</v>
      </c>
      <c r="B49" s="15" t="s">
        <v>120</v>
      </c>
      <c r="C49" s="15" t="s">
        <v>135</v>
      </c>
      <c r="D49" s="15" t="s">
        <v>41</v>
      </c>
      <c r="E49" s="1">
        <v>2</v>
      </c>
      <c r="F49" s="1">
        <f>+E49*2</f>
        <v>4</v>
      </c>
      <c r="G49" s="22">
        <f>SUM(F49:F55)</f>
        <v>19</v>
      </c>
      <c r="H49" s="15" t="s">
        <v>192</v>
      </c>
    </row>
    <row r="50" spans="1:8" x14ac:dyDescent="0.3">
      <c r="A50" s="20"/>
      <c r="B50" s="15"/>
      <c r="C50" s="15"/>
      <c r="D50" s="15" t="s">
        <v>42</v>
      </c>
      <c r="E50" s="1">
        <v>2</v>
      </c>
      <c r="F50" s="1">
        <f>+E50*2</f>
        <v>4</v>
      </c>
      <c r="G50" s="22"/>
      <c r="H50" s="15"/>
    </row>
    <row r="51" spans="1:8" x14ac:dyDescent="0.3">
      <c r="A51" s="20"/>
      <c r="B51" s="15"/>
      <c r="C51" s="15"/>
      <c r="D51" s="15" t="s">
        <v>43</v>
      </c>
      <c r="E51" s="1">
        <v>2</v>
      </c>
      <c r="F51" s="1">
        <f t="shared" ref="F51:F52" si="4">+E51*2</f>
        <v>4</v>
      </c>
      <c r="G51" s="22"/>
      <c r="H51" s="15"/>
    </row>
    <row r="52" spans="1:8" x14ac:dyDescent="0.3">
      <c r="A52" s="20"/>
      <c r="B52" s="15"/>
      <c r="C52" s="15"/>
      <c r="D52" s="15" t="s">
        <v>44</v>
      </c>
      <c r="E52" s="1">
        <v>2</v>
      </c>
      <c r="F52" s="1">
        <f t="shared" si="4"/>
        <v>4</v>
      </c>
      <c r="G52" s="22"/>
      <c r="H52" s="15"/>
    </row>
    <row r="53" spans="1:8" x14ac:dyDescent="0.3">
      <c r="A53" s="20"/>
      <c r="B53" s="15"/>
      <c r="C53" s="15"/>
      <c r="D53" s="15" t="s">
        <v>167</v>
      </c>
      <c r="E53" s="1"/>
      <c r="F53" s="1">
        <v>1</v>
      </c>
      <c r="G53" s="22"/>
      <c r="H53" s="15"/>
    </row>
    <row r="54" spans="1:8" x14ac:dyDescent="0.3">
      <c r="A54" s="20"/>
      <c r="B54" s="15"/>
      <c r="C54" s="15"/>
      <c r="D54" s="15" t="s">
        <v>168</v>
      </c>
      <c r="E54" s="1"/>
      <c r="F54" s="1">
        <v>1</v>
      </c>
      <c r="G54" s="22"/>
      <c r="H54" s="15"/>
    </row>
    <row r="55" spans="1:8" x14ac:dyDescent="0.3">
      <c r="A55" s="20"/>
      <c r="B55" s="15"/>
      <c r="C55" s="15"/>
      <c r="D55" s="15" t="s">
        <v>169</v>
      </c>
      <c r="E55" s="1"/>
      <c r="F55" s="1">
        <v>1</v>
      </c>
      <c r="G55" s="22"/>
      <c r="H55" s="15"/>
    </row>
    <row r="56" spans="1:8" x14ac:dyDescent="0.3">
      <c r="A56" s="20"/>
      <c r="B56" s="15"/>
      <c r="C56" s="15"/>
      <c r="D56" s="15"/>
      <c r="E56" s="1"/>
      <c r="F56" s="1"/>
      <c r="G56" s="22"/>
      <c r="H56" s="15"/>
    </row>
    <row r="57" spans="1:8" x14ac:dyDescent="0.3">
      <c r="A57" s="20">
        <v>8</v>
      </c>
      <c r="B57" s="15" t="s">
        <v>127</v>
      </c>
      <c r="C57" s="15" t="s">
        <v>135</v>
      </c>
      <c r="D57" s="15" t="s">
        <v>170</v>
      </c>
      <c r="E57" s="1"/>
      <c r="F57" s="1">
        <v>4</v>
      </c>
      <c r="G57" s="22">
        <f>+SUM(F57:F62)</f>
        <v>19</v>
      </c>
      <c r="H57" s="15"/>
    </row>
    <row r="58" spans="1:8" x14ac:dyDescent="0.3">
      <c r="A58" s="20"/>
      <c r="B58" s="15"/>
      <c r="C58" s="15"/>
      <c r="D58" s="15" t="s">
        <v>79</v>
      </c>
      <c r="E58" s="1">
        <v>4</v>
      </c>
      <c r="F58" s="1">
        <f>+E58*2</f>
        <v>8</v>
      </c>
      <c r="G58" s="22"/>
      <c r="H58" s="15"/>
    </row>
    <row r="59" spans="1:8" x14ac:dyDescent="0.3">
      <c r="A59" s="20"/>
      <c r="B59" s="15"/>
      <c r="C59" s="15"/>
      <c r="D59" s="15" t="s">
        <v>171</v>
      </c>
      <c r="E59" s="1">
        <v>3</v>
      </c>
      <c r="F59" s="1">
        <f>+E59*1</f>
        <v>3</v>
      </c>
      <c r="G59" s="22"/>
      <c r="H59" s="15"/>
    </row>
    <row r="60" spans="1:8" x14ac:dyDescent="0.3">
      <c r="A60" s="20"/>
      <c r="B60" s="15"/>
      <c r="C60" s="15"/>
      <c r="D60" s="15" t="s">
        <v>58</v>
      </c>
      <c r="E60" s="1">
        <v>1</v>
      </c>
      <c r="F60" s="1">
        <f t="shared" ref="F60" si="5">+E60*2</f>
        <v>2</v>
      </c>
      <c r="G60" s="22"/>
      <c r="H60" s="15"/>
    </row>
    <row r="61" spans="1:8" x14ac:dyDescent="0.3">
      <c r="A61" s="20"/>
      <c r="B61" s="15"/>
      <c r="C61" s="15"/>
      <c r="D61" s="15" t="s">
        <v>172</v>
      </c>
      <c r="E61" s="1">
        <v>1</v>
      </c>
      <c r="F61" s="1">
        <f>+E61*1</f>
        <v>1</v>
      </c>
      <c r="G61" s="22"/>
      <c r="H61" s="15"/>
    </row>
    <row r="62" spans="1:8" x14ac:dyDescent="0.3">
      <c r="A62" s="20"/>
      <c r="B62" s="15"/>
      <c r="C62" s="15"/>
      <c r="D62" s="15" t="s">
        <v>173</v>
      </c>
      <c r="E62" s="1"/>
      <c r="F62" s="1">
        <v>1</v>
      </c>
      <c r="G62" s="22"/>
      <c r="H62" s="15"/>
    </row>
    <row r="63" spans="1:8" x14ac:dyDescent="0.3">
      <c r="A63" s="20"/>
      <c r="B63" s="15"/>
      <c r="C63" s="15"/>
      <c r="D63" s="15"/>
      <c r="E63" s="1"/>
      <c r="F63" s="1"/>
      <c r="G63" s="22"/>
      <c r="H63" s="15"/>
    </row>
    <row r="64" spans="1:8" x14ac:dyDescent="0.3">
      <c r="A64" s="20">
        <v>9</v>
      </c>
      <c r="B64" s="15" t="s">
        <v>126</v>
      </c>
      <c r="C64" s="15" t="s">
        <v>135</v>
      </c>
      <c r="D64" s="15" t="s">
        <v>174</v>
      </c>
      <c r="E64" s="1"/>
      <c r="F64" s="1">
        <v>4</v>
      </c>
      <c r="G64" s="22">
        <f>+SUM(F64:F69)</f>
        <v>19</v>
      </c>
      <c r="H64" s="15"/>
    </row>
    <row r="65" spans="1:8" x14ac:dyDescent="0.3">
      <c r="A65" s="20"/>
      <c r="B65" s="15"/>
      <c r="C65" s="15"/>
      <c r="D65" s="15" t="s">
        <v>78</v>
      </c>
      <c r="E65" s="1">
        <v>4</v>
      </c>
      <c r="F65" s="1">
        <f>+E65*2</f>
        <v>8</v>
      </c>
      <c r="G65" s="22"/>
      <c r="H65" s="15"/>
    </row>
    <row r="66" spans="1:8" x14ac:dyDescent="0.3">
      <c r="A66" s="20"/>
      <c r="B66" s="15"/>
      <c r="C66" s="15"/>
      <c r="D66" s="15" t="s">
        <v>175</v>
      </c>
      <c r="E66" s="1">
        <v>3</v>
      </c>
      <c r="F66" s="1">
        <f>+E66*1</f>
        <v>3</v>
      </c>
      <c r="G66" s="22"/>
      <c r="H66" s="15"/>
    </row>
    <row r="67" spans="1:8" x14ac:dyDescent="0.3">
      <c r="A67" s="20"/>
      <c r="B67" s="15"/>
      <c r="C67" s="15"/>
      <c r="D67" s="15" t="s">
        <v>176</v>
      </c>
      <c r="E67" s="1">
        <v>1</v>
      </c>
      <c r="F67" s="1">
        <f>+E67*2</f>
        <v>2</v>
      </c>
      <c r="G67" s="22"/>
      <c r="H67" s="15"/>
    </row>
    <row r="68" spans="1:8" x14ac:dyDescent="0.3">
      <c r="A68" s="20"/>
      <c r="B68" s="15"/>
      <c r="C68" s="15"/>
      <c r="D68" s="15" t="s">
        <v>177</v>
      </c>
      <c r="E68" s="1"/>
      <c r="F68" s="1">
        <v>1</v>
      </c>
      <c r="G68" s="22"/>
      <c r="H68" s="15"/>
    </row>
    <row r="69" spans="1:8" x14ac:dyDescent="0.3">
      <c r="A69" s="20"/>
      <c r="B69" s="15"/>
      <c r="C69" s="15"/>
      <c r="D69" s="15" t="s">
        <v>148</v>
      </c>
      <c r="E69" s="1"/>
      <c r="F69" s="1">
        <v>1</v>
      </c>
      <c r="G69" s="22"/>
      <c r="H69" s="15"/>
    </row>
    <row r="70" spans="1:8" x14ac:dyDescent="0.3">
      <c r="A70" s="20"/>
      <c r="B70" s="15"/>
      <c r="C70" s="15"/>
      <c r="D70" s="15"/>
      <c r="E70" s="1"/>
      <c r="F70" s="1"/>
      <c r="G70" s="22"/>
      <c r="H70" s="15"/>
    </row>
    <row r="71" spans="1:8" x14ac:dyDescent="0.3">
      <c r="A71" s="6" t="s">
        <v>143</v>
      </c>
      <c r="B71" s="19"/>
      <c r="C71" s="19"/>
      <c r="D71" s="19"/>
      <c r="E71" s="19"/>
      <c r="F71" s="19"/>
      <c r="G71" s="28"/>
      <c r="H71" s="19"/>
    </row>
    <row r="72" spans="1:8" x14ac:dyDescent="0.3">
      <c r="A72" s="20">
        <v>10</v>
      </c>
      <c r="B72" s="15" t="s">
        <v>178</v>
      </c>
      <c r="C72" s="15" t="s">
        <v>179</v>
      </c>
      <c r="D72" s="15" t="s">
        <v>145</v>
      </c>
      <c r="E72" s="1"/>
      <c r="F72" s="1">
        <v>3</v>
      </c>
      <c r="G72" s="22">
        <f>+SUM(F72:F78)</f>
        <v>19</v>
      </c>
      <c r="H72" s="15"/>
    </row>
    <row r="73" spans="1:8" x14ac:dyDescent="0.3">
      <c r="A73" s="20"/>
      <c r="B73" s="15"/>
      <c r="C73" s="15"/>
      <c r="D73" s="15" t="s">
        <v>180</v>
      </c>
      <c r="E73" s="1">
        <v>4</v>
      </c>
      <c r="F73" s="1">
        <f>+E73*1</f>
        <v>4</v>
      </c>
      <c r="G73" s="22"/>
      <c r="H73" s="15"/>
    </row>
    <row r="74" spans="1:8" x14ac:dyDescent="0.3">
      <c r="A74" s="20"/>
      <c r="B74" s="15"/>
      <c r="C74" s="15"/>
      <c r="D74" s="15" t="s">
        <v>181</v>
      </c>
      <c r="E74" s="1">
        <v>1.5</v>
      </c>
      <c r="F74" s="1">
        <f>+E74*2</f>
        <v>3</v>
      </c>
      <c r="G74" s="22"/>
      <c r="H74" s="15"/>
    </row>
    <row r="75" spans="1:8" x14ac:dyDescent="0.3">
      <c r="A75" s="20"/>
      <c r="B75" s="15"/>
      <c r="C75" s="15"/>
      <c r="D75" s="15" t="s">
        <v>182</v>
      </c>
      <c r="E75" s="1">
        <v>1.5</v>
      </c>
      <c r="F75" s="1">
        <f t="shared" ref="F75:F76" si="6">+E75*2</f>
        <v>3</v>
      </c>
      <c r="G75" s="22"/>
      <c r="H75" s="15"/>
    </row>
    <row r="76" spans="1:8" x14ac:dyDescent="0.3">
      <c r="A76" s="20"/>
      <c r="B76" s="15"/>
      <c r="C76" s="15"/>
      <c r="D76" s="15" t="s">
        <v>183</v>
      </c>
      <c r="E76" s="1">
        <v>1.5</v>
      </c>
      <c r="F76" s="1">
        <f t="shared" si="6"/>
        <v>3</v>
      </c>
      <c r="G76" s="22"/>
      <c r="H76" s="15"/>
    </row>
    <row r="77" spans="1:8" x14ac:dyDescent="0.3">
      <c r="A77" s="20"/>
      <c r="B77" s="15"/>
      <c r="C77" s="15"/>
      <c r="D77" s="15" t="s">
        <v>184</v>
      </c>
      <c r="E77" s="1">
        <v>1</v>
      </c>
      <c r="F77" s="1">
        <f>+E77*2</f>
        <v>2</v>
      </c>
      <c r="G77" s="22"/>
      <c r="H77" s="15"/>
    </row>
    <row r="78" spans="1:8" x14ac:dyDescent="0.3">
      <c r="A78" s="20"/>
      <c r="B78" s="15"/>
      <c r="C78" s="15"/>
      <c r="D78" s="15" t="s">
        <v>185</v>
      </c>
      <c r="E78" s="1"/>
      <c r="F78" s="1">
        <v>1</v>
      </c>
      <c r="G78" s="22"/>
      <c r="H78" s="15"/>
    </row>
    <row r="79" spans="1:8" x14ac:dyDescent="0.3">
      <c r="A79" s="20"/>
      <c r="B79" s="15"/>
      <c r="C79" s="15"/>
      <c r="D79" s="15"/>
      <c r="E79" s="1"/>
      <c r="F79" s="1"/>
      <c r="G79" s="22"/>
      <c r="H79" s="15"/>
    </row>
    <row r="80" spans="1:8" x14ac:dyDescent="0.3">
      <c r="A80" s="20">
        <v>11</v>
      </c>
      <c r="B80" s="15" t="s">
        <v>124</v>
      </c>
      <c r="C80" s="15" t="s">
        <v>135</v>
      </c>
      <c r="D80" s="15" t="s">
        <v>189</v>
      </c>
      <c r="E80" s="1"/>
      <c r="F80" s="1">
        <v>4</v>
      </c>
      <c r="G80" s="22">
        <f>+SUM(F80:F84)</f>
        <v>19</v>
      </c>
      <c r="H80" s="15"/>
    </row>
    <row r="81" spans="1:8" x14ac:dyDescent="0.3">
      <c r="A81" s="20"/>
      <c r="B81" s="15"/>
      <c r="C81" s="15"/>
      <c r="D81" s="15" t="s">
        <v>25</v>
      </c>
      <c r="E81" s="1">
        <v>4</v>
      </c>
      <c r="F81" s="1">
        <f>+E81*2</f>
        <v>8</v>
      </c>
      <c r="G81" s="22"/>
      <c r="H81" s="15"/>
    </row>
    <row r="82" spans="1:8" x14ac:dyDescent="0.3">
      <c r="A82" s="20"/>
      <c r="B82" s="15"/>
      <c r="C82" s="15"/>
      <c r="D82" s="15" t="s">
        <v>200</v>
      </c>
      <c r="E82" s="1">
        <v>3</v>
      </c>
      <c r="F82" s="1">
        <f>+E82*1</f>
        <v>3</v>
      </c>
      <c r="G82" s="22"/>
      <c r="H82" s="15"/>
    </row>
    <row r="83" spans="1:8" x14ac:dyDescent="0.3">
      <c r="A83" s="20"/>
      <c r="B83" s="15"/>
      <c r="C83" s="15"/>
      <c r="D83" s="15" t="s">
        <v>201</v>
      </c>
      <c r="E83" s="1">
        <v>1</v>
      </c>
      <c r="F83" s="1">
        <f>+E83*2</f>
        <v>2</v>
      </c>
      <c r="G83" s="22"/>
      <c r="H83" s="15"/>
    </row>
    <row r="84" spans="1:8" x14ac:dyDescent="0.3">
      <c r="A84" s="20"/>
      <c r="B84" s="15"/>
      <c r="C84" s="15"/>
      <c r="D84" s="15" t="s">
        <v>146</v>
      </c>
      <c r="E84" s="1"/>
      <c r="F84" s="1">
        <v>2</v>
      </c>
      <c r="G84" s="22"/>
      <c r="H84" s="15"/>
    </row>
    <row r="85" spans="1:8" x14ac:dyDescent="0.3">
      <c r="A85" s="20"/>
      <c r="B85" s="15"/>
      <c r="C85" s="15"/>
      <c r="D85" s="15"/>
      <c r="E85" s="1"/>
      <c r="F85" s="1"/>
      <c r="G85" s="22"/>
      <c r="H85" s="15"/>
    </row>
    <row r="86" spans="1:8" x14ac:dyDescent="0.3">
      <c r="A86" s="20">
        <v>12</v>
      </c>
      <c r="B86" s="15" t="s">
        <v>131</v>
      </c>
      <c r="C86" s="15" t="s">
        <v>135</v>
      </c>
      <c r="D86" s="15" t="s">
        <v>202</v>
      </c>
      <c r="E86" s="1">
        <v>3</v>
      </c>
      <c r="F86" s="1">
        <f>+E86*1</f>
        <v>3</v>
      </c>
      <c r="G86" s="22">
        <f>+SUM(F86:F90)</f>
        <v>19</v>
      </c>
      <c r="H86" s="15"/>
    </row>
    <row r="87" spans="1:8" x14ac:dyDescent="0.3">
      <c r="A87" s="20"/>
      <c r="B87" s="15"/>
      <c r="C87" s="15"/>
      <c r="D87" s="15" t="s">
        <v>28</v>
      </c>
      <c r="E87" s="1">
        <v>3</v>
      </c>
      <c r="F87" s="1">
        <f>+E87*2</f>
        <v>6</v>
      </c>
      <c r="G87" s="22"/>
      <c r="H87" s="15"/>
    </row>
    <row r="88" spans="1:8" x14ac:dyDescent="0.3">
      <c r="A88" s="20"/>
      <c r="B88" s="15"/>
      <c r="C88" s="15"/>
      <c r="D88" s="15" t="s">
        <v>53</v>
      </c>
      <c r="E88" s="1">
        <v>3</v>
      </c>
      <c r="F88" s="1">
        <f>+E88*2</f>
        <v>6</v>
      </c>
      <c r="G88" s="22"/>
      <c r="H88" s="15"/>
    </row>
    <row r="89" spans="1:8" x14ac:dyDescent="0.3">
      <c r="A89" s="20"/>
      <c r="B89" s="15"/>
      <c r="C89" s="15"/>
      <c r="D89" s="15" t="s">
        <v>54</v>
      </c>
      <c r="E89" s="1"/>
      <c r="F89" s="1">
        <v>2</v>
      </c>
      <c r="G89" s="22"/>
      <c r="H89" s="15"/>
    </row>
    <row r="90" spans="1:8" x14ac:dyDescent="0.3">
      <c r="A90" s="20"/>
      <c r="B90" s="15"/>
      <c r="C90" s="15"/>
      <c r="D90" s="15" t="s">
        <v>203</v>
      </c>
      <c r="E90" s="1"/>
      <c r="F90" s="1">
        <v>2</v>
      </c>
      <c r="G90" s="22"/>
      <c r="H90" s="15"/>
    </row>
    <row r="91" spans="1:8" x14ac:dyDescent="0.3">
      <c r="A91" s="20"/>
      <c r="B91" s="15"/>
      <c r="C91" s="15"/>
      <c r="D91" s="15"/>
      <c r="E91" s="1"/>
      <c r="F91" s="1"/>
      <c r="G91" s="22"/>
      <c r="H91" s="15"/>
    </row>
    <row r="92" spans="1:8" x14ac:dyDescent="0.3">
      <c r="A92" s="20">
        <v>13</v>
      </c>
      <c r="B92" s="15" t="s">
        <v>117</v>
      </c>
      <c r="C92" s="15" t="s">
        <v>135</v>
      </c>
      <c r="D92" s="15" t="s">
        <v>186</v>
      </c>
      <c r="E92" s="1"/>
      <c r="F92" s="1">
        <v>4</v>
      </c>
      <c r="G92" s="22">
        <f>+SUM(F92:F97)</f>
        <v>19</v>
      </c>
      <c r="H92" s="15"/>
    </row>
    <row r="93" spans="1:8" x14ac:dyDescent="0.3">
      <c r="A93" s="20"/>
      <c r="B93" s="15"/>
      <c r="C93" s="15"/>
      <c r="D93" s="15" t="s">
        <v>204</v>
      </c>
      <c r="E93" s="1">
        <v>3</v>
      </c>
      <c r="F93" s="1">
        <f>+E93*1</f>
        <v>3</v>
      </c>
      <c r="G93" s="22"/>
      <c r="H93" s="15"/>
    </row>
    <row r="94" spans="1:8" x14ac:dyDescent="0.3">
      <c r="A94" s="20"/>
      <c r="B94" s="15"/>
      <c r="C94" s="15"/>
      <c r="D94" s="15" t="s">
        <v>205</v>
      </c>
      <c r="E94" s="1">
        <v>3</v>
      </c>
      <c r="F94" s="1">
        <f>+E94*1</f>
        <v>3</v>
      </c>
      <c r="G94" s="22"/>
      <c r="H94" s="15"/>
    </row>
    <row r="95" spans="1:8" x14ac:dyDescent="0.3">
      <c r="A95" s="20"/>
      <c r="B95" s="15"/>
      <c r="C95" s="15"/>
      <c r="D95" s="15" t="s">
        <v>29</v>
      </c>
      <c r="E95" s="1">
        <v>3</v>
      </c>
      <c r="F95" s="1">
        <f>+E95*2</f>
        <v>6</v>
      </c>
      <c r="G95" s="22"/>
      <c r="H95" s="15"/>
    </row>
    <row r="96" spans="1:8" x14ac:dyDescent="0.3">
      <c r="A96" s="20"/>
      <c r="B96" s="15"/>
      <c r="C96" s="15"/>
      <c r="D96" s="15" t="s">
        <v>146</v>
      </c>
      <c r="E96" s="1"/>
      <c r="F96" s="1">
        <v>2</v>
      </c>
      <c r="G96" s="22"/>
      <c r="H96" s="15"/>
    </row>
    <row r="97" spans="1:8" x14ac:dyDescent="0.3">
      <c r="A97" s="20"/>
      <c r="B97" s="15"/>
      <c r="C97" s="15"/>
      <c r="D97" s="15" t="s">
        <v>206</v>
      </c>
      <c r="E97" s="1"/>
      <c r="F97" s="1">
        <v>1</v>
      </c>
      <c r="G97" s="22"/>
      <c r="H97" s="15"/>
    </row>
    <row r="98" spans="1:8" x14ac:dyDescent="0.3">
      <c r="A98" s="20"/>
      <c r="B98" s="15"/>
      <c r="C98" s="15"/>
      <c r="D98" s="15"/>
      <c r="E98" s="1"/>
      <c r="F98" s="1"/>
      <c r="G98" s="22"/>
      <c r="H98" s="15"/>
    </row>
    <row r="99" spans="1:8" x14ac:dyDescent="0.3">
      <c r="A99" s="20">
        <v>14</v>
      </c>
      <c r="B99" s="15" t="s">
        <v>118</v>
      </c>
      <c r="C99" s="15" t="s">
        <v>135</v>
      </c>
      <c r="D99" s="15" t="s">
        <v>187</v>
      </c>
      <c r="E99" s="1"/>
      <c r="F99" s="1">
        <v>4</v>
      </c>
      <c r="G99" s="22">
        <f>+SUM(F99:F103)</f>
        <v>19</v>
      </c>
      <c r="H99" s="15"/>
    </row>
    <row r="100" spans="1:8" x14ac:dyDescent="0.3">
      <c r="A100" s="20"/>
      <c r="B100" s="15"/>
      <c r="C100" s="15"/>
      <c r="D100" s="15" t="s">
        <v>73</v>
      </c>
      <c r="E100" s="1">
        <v>4</v>
      </c>
      <c r="F100" s="1">
        <f>+E100*2</f>
        <v>8</v>
      </c>
      <c r="G100" s="22"/>
      <c r="H100" s="15"/>
    </row>
    <row r="101" spans="1:8" x14ac:dyDescent="0.3">
      <c r="A101" s="20"/>
      <c r="B101" s="15"/>
      <c r="C101" s="15"/>
      <c r="D101" s="15" t="s">
        <v>207</v>
      </c>
      <c r="E101" s="1">
        <v>3</v>
      </c>
      <c r="F101" s="1">
        <f>+E101*1</f>
        <v>3</v>
      </c>
      <c r="G101" s="22"/>
      <c r="H101" s="15"/>
    </row>
    <row r="102" spans="1:8" x14ac:dyDescent="0.3">
      <c r="A102" s="20"/>
      <c r="B102" s="15"/>
      <c r="C102" s="15"/>
      <c r="D102" s="15" t="s">
        <v>208</v>
      </c>
      <c r="E102" s="1">
        <v>1.5</v>
      </c>
      <c r="F102" s="1">
        <f>+E102*2</f>
        <v>3</v>
      </c>
      <c r="G102" s="22"/>
      <c r="H102" s="15"/>
    </row>
    <row r="103" spans="1:8" x14ac:dyDescent="0.3">
      <c r="A103" s="20"/>
      <c r="B103" s="15"/>
      <c r="C103" s="15"/>
      <c r="D103" s="15" t="s">
        <v>209</v>
      </c>
      <c r="E103" s="1"/>
      <c r="F103" s="1">
        <v>1</v>
      </c>
      <c r="G103" s="22"/>
      <c r="H103" s="15"/>
    </row>
    <row r="104" spans="1:8" x14ac:dyDescent="0.3">
      <c r="A104" s="20"/>
      <c r="B104" s="15"/>
      <c r="C104" s="15"/>
      <c r="D104" s="15"/>
      <c r="E104" s="1"/>
      <c r="F104" s="1"/>
      <c r="G104" s="22"/>
      <c r="H104" s="15"/>
    </row>
    <row r="105" spans="1:8" x14ac:dyDescent="0.3">
      <c r="A105" s="20">
        <v>15</v>
      </c>
      <c r="B105" s="15" t="s">
        <v>125</v>
      </c>
      <c r="C105" s="15" t="s">
        <v>135</v>
      </c>
      <c r="D105" s="15" t="s">
        <v>210</v>
      </c>
      <c r="E105" s="1"/>
      <c r="F105" s="1">
        <v>4</v>
      </c>
      <c r="G105" s="22">
        <f>+SUM(F105:F113)</f>
        <v>19</v>
      </c>
      <c r="H105" s="15"/>
    </row>
    <row r="106" spans="1:8" x14ac:dyDescent="0.3">
      <c r="A106" s="20"/>
      <c r="B106" s="15"/>
      <c r="C106" s="15"/>
      <c r="D106" s="15" t="s">
        <v>68</v>
      </c>
      <c r="E106" s="1">
        <v>1</v>
      </c>
      <c r="F106" s="1">
        <f>+E106*2</f>
        <v>2</v>
      </c>
      <c r="G106" s="22"/>
      <c r="H106" s="15"/>
    </row>
    <row r="107" spans="1:8" x14ac:dyDescent="0.3">
      <c r="A107" s="20"/>
      <c r="B107" s="15"/>
      <c r="C107" s="15"/>
      <c r="D107" s="15" t="s">
        <v>69</v>
      </c>
      <c r="E107" s="1">
        <v>1</v>
      </c>
      <c r="F107" s="1">
        <f>+E107*2</f>
        <v>2</v>
      </c>
      <c r="G107" s="22"/>
      <c r="H107" s="15"/>
    </row>
    <row r="108" spans="1:8" x14ac:dyDescent="0.3">
      <c r="A108" s="20"/>
      <c r="B108" s="15"/>
      <c r="C108" s="15"/>
      <c r="D108" s="15" t="s">
        <v>70</v>
      </c>
      <c r="E108" s="1">
        <v>1</v>
      </c>
      <c r="F108" s="1">
        <f t="shared" ref="F108:F109" si="7">+E108*2</f>
        <v>2</v>
      </c>
      <c r="G108" s="22"/>
      <c r="H108" s="15"/>
    </row>
    <row r="109" spans="1:8" x14ac:dyDescent="0.3">
      <c r="A109" s="20"/>
      <c r="B109" s="15"/>
      <c r="C109" s="15"/>
      <c r="D109" s="15" t="s">
        <v>71</v>
      </c>
      <c r="E109" s="1">
        <v>1</v>
      </c>
      <c r="F109" s="1">
        <f t="shared" si="7"/>
        <v>2</v>
      </c>
      <c r="G109" s="22"/>
      <c r="H109" s="15"/>
    </row>
    <row r="110" spans="1:8" x14ac:dyDescent="0.3">
      <c r="A110" s="20"/>
      <c r="B110" s="15"/>
      <c r="C110" s="15"/>
      <c r="D110" s="15" t="s">
        <v>76</v>
      </c>
      <c r="E110" s="1">
        <v>1</v>
      </c>
      <c r="F110" s="1">
        <f t="shared" ref="F110:F112" si="8">+E110*2</f>
        <v>2</v>
      </c>
      <c r="G110" s="22"/>
      <c r="H110" s="15"/>
    </row>
    <row r="111" spans="1:8" x14ac:dyDescent="0.3">
      <c r="A111" s="20"/>
      <c r="B111" s="15"/>
      <c r="C111" s="15"/>
      <c r="D111" s="15" t="s">
        <v>84</v>
      </c>
      <c r="E111" s="1">
        <v>1</v>
      </c>
      <c r="F111" s="1">
        <f t="shared" si="8"/>
        <v>2</v>
      </c>
      <c r="G111" s="22"/>
      <c r="H111" s="15"/>
    </row>
    <row r="112" spans="1:8" x14ac:dyDescent="0.3">
      <c r="A112" s="20"/>
      <c r="B112" s="15"/>
      <c r="C112" s="15"/>
      <c r="D112" s="15" t="s">
        <v>26</v>
      </c>
      <c r="E112" s="1">
        <v>1</v>
      </c>
      <c r="F112" s="1">
        <f t="shared" si="8"/>
        <v>2</v>
      </c>
      <c r="G112" s="22"/>
      <c r="H112" s="15"/>
    </row>
    <row r="113" spans="1:8" x14ac:dyDescent="0.3">
      <c r="A113" s="20"/>
      <c r="B113" s="15"/>
      <c r="C113" s="15"/>
      <c r="D113" s="15" t="s">
        <v>211</v>
      </c>
      <c r="E113" s="1"/>
      <c r="F113" s="1">
        <v>1</v>
      </c>
      <c r="G113" s="22"/>
      <c r="H113" s="15"/>
    </row>
    <row r="114" spans="1:8" x14ac:dyDescent="0.3">
      <c r="A114" s="20"/>
      <c r="B114" s="15"/>
      <c r="C114" s="15"/>
      <c r="D114" s="15"/>
      <c r="E114" s="1"/>
      <c r="F114" s="1"/>
      <c r="G114" s="22"/>
      <c r="H114" s="15"/>
    </row>
    <row r="115" spans="1:8" x14ac:dyDescent="0.3">
      <c r="A115" s="20">
        <v>16</v>
      </c>
      <c r="B115" s="15" t="s">
        <v>132</v>
      </c>
      <c r="C115" s="15" t="s">
        <v>135</v>
      </c>
      <c r="D115" s="15" t="s">
        <v>188</v>
      </c>
      <c r="E115" s="1"/>
      <c r="F115" s="1">
        <v>4</v>
      </c>
      <c r="G115" s="22">
        <f>+SUM(F115:F120)</f>
        <v>19</v>
      </c>
      <c r="H115" s="15"/>
    </row>
    <row r="116" spans="1:8" x14ac:dyDescent="0.3">
      <c r="A116" s="20"/>
      <c r="B116" s="15"/>
      <c r="C116" s="15"/>
      <c r="D116" s="15" t="s">
        <v>66</v>
      </c>
      <c r="E116" s="1">
        <v>4</v>
      </c>
      <c r="F116" s="1">
        <f>+E116*2</f>
        <v>8</v>
      </c>
      <c r="G116" s="22"/>
      <c r="H116" s="15"/>
    </row>
    <row r="117" spans="1:8" x14ac:dyDescent="0.3">
      <c r="A117" s="20"/>
      <c r="B117" s="15"/>
      <c r="C117" s="15"/>
      <c r="D117" s="15" t="s">
        <v>212</v>
      </c>
      <c r="E117" s="1">
        <v>3</v>
      </c>
      <c r="F117" s="1">
        <f>+E117*1</f>
        <v>3</v>
      </c>
      <c r="G117" s="22"/>
      <c r="H117" s="15"/>
    </row>
    <row r="118" spans="1:8" x14ac:dyDescent="0.3">
      <c r="A118" s="20"/>
      <c r="B118" s="15"/>
      <c r="C118" s="15"/>
      <c r="D118" s="15" t="s">
        <v>213</v>
      </c>
      <c r="E118" s="1">
        <v>1</v>
      </c>
      <c r="F118" s="1">
        <f>+E118*1</f>
        <v>1</v>
      </c>
      <c r="G118" s="22"/>
      <c r="H118" s="15"/>
    </row>
    <row r="119" spans="1:8" x14ac:dyDescent="0.3">
      <c r="A119" s="20"/>
      <c r="B119" s="15"/>
      <c r="C119" s="15"/>
      <c r="D119" s="15" t="s">
        <v>40</v>
      </c>
      <c r="E119" s="1">
        <v>1</v>
      </c>
      <c r="F119" s="1">
        <f>+E119*2</f>
        <v>2</v>
      </c>
      <c r="G119" s="22"/>
      <c r="H119" s="15"/>
    </row>
    <row r="120" spans="1:8" x14ac:dyDescent="0.3">
      <c r="A120" s="20"/>
      <c r="B120" s="15"/>
      <c r="C120" s="15"/>
      <c r="D120" s="15" t="s">
        <v>214</v>
      </c>
      <c r="E120" s="1"/>
      <c r="F120" s="1">
        <v>1</v>
      </c>
      <c r="G120" s="22"/>
      <c r="H120" s="15"/>
    </row>
    <row r="121" spans="1:8" x14ac:dyDescent="0.3">
      <c r="A121" s="20"/>
      <c r="B121" s="15"/>
      <c r="C121" s="15"/>
      <c r="D121" s="15"/>
      <c r="E121" s="1"/>
      <c r="F121" s="1"/>
      <c r="G121" s="22"/>
      <c r="H121" s="15"/>
    </row>
    <row r="122" spans="1:8" x14ac:dyDescent="0.3">
      <c r="A122" s="20">
        <v>17</v>
      </c>
      <c r="B122" s="15" t="s">
        <v>129</v>
      </c>
      <c r="C122" s="15" t="s">
        <v>135</v>
      </c>
      <c r="D122" s="15" t="s">
        <v>215</v>
      </c>
      <c r="E122" s="1">
        <v>4</v>
      </c>
      <c r="F122" s="1">
        <f>+E122*1</f>
        <v>4</v>
      </c>
      <c r="G122" s="22">
        <f>+SUM(F122:F128)</f>
        <v>19</v>
      </c>
      <c r="H122" s="15"/>
    </row>
    <row r="123" spans="1:8" x14ac:dyDescent="0.3">
      <c r="A123" s="20"/>
      <c r="B123" s="15"/>
      <c r="C123" s="15"/>
      <c r="D123" s="15" t="s">
        <v>216</v>
      </c>
      <c r="E123" s="1">
        <v>1.5</v>
      </c>
      <c r="F123" s="1">
        <f>+E123*2</f>
        <v>3</v>
      </c>
      <c r="G123" s="22"/>
      <c r="H123" s="15"/>
    </row>
    <row r="124" spans="1:8" x14ac:dyDescent="0.3">
      <c r="A124" s="20"/>
      <c r="B124" s="15"/>
      <c r="C124" s="15"/>
      <c r="D124" s="15" t="s">
        <v>217</v>
      </c>
      <c r="E124" s="1">
        <v>1.5</v>
      </c>
      <c r="F124" s="1">
        <f t="shared" ref="F124:F127" si="9">+E124*2</f>
        <v>3</v>
      </c>
      <c r="G124" s="22"/>
      <c r="H124" s="15"/>
    </row>
    <row r="125" spans="1:8" x14ac:dyDescent="0.3">
      <c r="A125" s="20"/>
      <c r="B125" s="15"/>
      <c r="C125" s="15"/>
      <c r="D125" s="15" t="s">
        <v>218</v>
      </c>
      <c r="E125" s="1">
        <v>1.5</v>
      </c>
      <c r="F125" s="1">
        <f t="shared" si="9"/>
        <v>3</v>
      </c>
      <c r="G125" s="22"/>
      <c r="H125" s="15"/>
    </row>
    <row r="126" spans="1:8" x14ac:dyDescent="0.3">
      <c r="A126" s="20"/>
      <c r="B126" s="15"/>
      <c r="C126" s="15"/>
      <c r="D126" s="15" t="s">
        <v>219</v>
      </c>
      <c r="E126" s="1">
        <v>1.5</v>
      </c>
      <c r="F126" s="1">
        <f t="shared" si="9"/>
        <v>3</v>
      </c>
      <c r="G126" s="22"/>
      <c r="H126" s="15"/>
    </row>
    <row r="127" spans="1:8" x14ac:dyDescent="0.3">
      <c r="A127" s="20"/>
      <c r="B127" s="15"/>
      <c r="C127" s="15"/>
      <c r="D127" s="15" t="s">
        <v>220</v>
      </c>
      <c r="E127" s="1">
        <v>1</v>
      </c>
      <c r="F127" s="1">
        <f t="shared" si="9"/>
        <v>2</v>
      </c>
      <c r="G127" s="22"/>
      <c r="H127" s="15"/>
    </row>
    <row r="128" spans="1:8" x14ac:dyDescent="0.3">
      <c r="A128" s="20"/>
      <c r="B128" s="15"/>
      <c r="C128" s="15"/>
      <c r="D128" s="15" t="s">
        <v>221</v>
      </c>
      <c r="E128" s="1"/>
      <c r="F128" s="1">
        <v>1</v>
      </c>
      <c r="G128" s="22"/>
      <c r="H128" s="15"/>
    </row>
    <row r="129" spans="1:1" x14ac:dyDescent="0.3">
      <c r="A129" s="17"/>
    </row>
    <row r="130" spans="1:1" x14ac:dyDescent="0.3">
      <c r="A130" s="17"/>
    </row>
    <row r="131" spans="1:1" x14ac:dyDescent="0.3">
      <c r="A131" s="17"/>
    </row>
    <row r="132" spans="1:1" x14ac:dyDescent="0.3">
      <c r="A132" s="17"/>
    </row>
    <row r="133" spans="1:1" x14ac:dyDescent="0.3">
      <c r="A133" s="17"/>
    </row>
    <row r="134" spans="1:1" x14ac:dyDescent="0.3">
      <c r="A134" s="17"/>
    </row>
    <row r="135" spans="1:1" x14ac:dyDescent="0.3">
      <c r="A135" s="17"/>
    </row>
    <row r="136" spans="1:1" x14ac:dyDescent="0.3">
      <c r="A136" s="17"/>
    </row>
    <row r="137" spans="1:1" x14ac:dyDescent="0.3">
      <c r="A137" s="17"/>
    </row>
    <row r="138" spans="1:1" x14ac:dyDescent="0.3">
      <c r="A138" s="17"/>
    </row>
    <row r="139" spans="1:1" x14ac:dyDescent="0.3">
      <c r="A139" s="17"/>
    </row>
    <row r="140" spans="1:1" x14ac:dyDescent="0.3">
      <c r="A140" s="17"/>
    </row>
    <row r="141" spans="1:1" x14ac:dyDescent="0.3">
      <c r="A141" s="17"/>
    </row>
    <row r="142" spans="1:1" x14ac:dyDescent="0.3">
      <c r="A142" s="17"/>
    </row>
    <row r="143" spans="1:1" x14ac:dyDescent="0.3">
      <c r="A143" s="17"/>
    </row>
    <row r="144" spans="1:1" x14ac:dyDescent="0.3">
      <c r="A144" s="17"/>
    </row>
    <row r="145" spans="1:1" x14ac:dyDescent="0.3">
      <c r="A145" s="17"/>
    </row>
    <row r="146" spans="1:1" x14ac:dyDescent="0.3">
      <c r="A146" s="17"/>
    </row>
    <row r="147" spans="1:1" x14ac:dyDescent="0.3">
      <c r="A147" s="17"/>
    </row>
    <row r="148" spans="1:1" x14ac:dyDescent="0.3">
      <c r="A148" s="17"/>
    </row>
    <row r="149" spans="1:1" x14ac:dyDescent="0.3">
      <c r="A149" s="17"/>
    </row>
    <row r="150" spans="1:1" x14ac:dyDescent="0.3">
      <c r="A150" s="17"/>
    </row>
    <row r="151" spans="1:1" x14ac:dyDescent="0.3">
      <c r="A151" s="17"/>
    </row>
    <row r="152" spans="1:1" x14ac:dyDescent="0.3">
      <c r="A152" s="17"/>
    </row>
    <row r="153" spans="1:1" x14ac:dyDescent="0.3">
      <c r="A153" s="17"/>
    </row>
    <row r="154" spans="1:1" x14ac:dyDescent="0.3">
      <c r="A154" s="17"/>
    </row>
    <row r="155" spans="1:1" x14ac:dyDescent="0.3">
      <c r="A155" s="17"/>
    </row>
    <row r="156" spans="1:1" x14ac:dyDescent="0.3">
      <c r="A156" s="17"/>
    </row>
    <row r="157" spans="1:1" x14ac:dyDescent="0.3">
      <c r="A157" s="17"/>
    </row>
    <row r="158" spans="1:1" x14ac:dyDescent="0.3">
      <c r="A158" s="17"/>
    </row>
    <row r="159" spans="1:1" x14ac:dyDescent="0.3">
      <c r="A159" s="17"/>
    </row>
    <row r="160" spans="1:1" x14ac:dyDescent="0.3">
      <c r="A160" s="17"/>
    </row>
    <row r="161" spans="1:1" x14ac:dyDescent="0.3">
      <c r="A161" s="17"/>
    </row>
    <row r="162" spans="1:1" x14ac:dyDescent="0.3">
      <c r="A162" s="17"/>
    </row>
    <row r="163" spans="1:1" x14ac:dyDescent="0.3">
      <c r="A163" s="17"/>
    </row>
    <row r="164" spans="1:1" x14ac:dyDescent="0.3">
      <c r="A164" s="17"/>
    </row>
    <row r="165" spans="1:1" x14ac:dyDescent="0.3">
      <c r="A165" s="17"/>
    </row>
    <row r="166" spans="1:1" x14ac:dyDescent="0.3">
      <c r="A166" s="17"/>
    </row>
    <row r="167" spans="1:1" x14ac:dyDescent="0.3">
      <c r="A167" s="17"/>
    </row>
    <row r="168" spans="1:1" x14ac:dyDescent="0.3">
      <c r="A168" s="17"/>
    </row>
    <row r="169" spans="1:1" x14ac:dyDescent="0.3">
      <c r="A169" s="17"/>
    </row>
    <row r="170" spans="1:1" x14ac:dyDescent="0.3">
      <c r="A170" s="17"/>
    </row>
    <row r="171" spans="1:1" x14ac:dyDescent="0.3">
      <c r="A171" s="17"/>
    </row>
    <row r="172" spans="1:1" x14ac:dyDescent="0.3">
      <c r="A172" s="17"/>
    </row>
    <row r="173" spans="1:1" x14ac:dyDescent="0.3">
      <c r="A173" s="17"/>
    </row>
    <row r="174" spans="1:1" x14ac:dyDescent="0.3">
      <c r="A174" s="17"/>
    </row>
    <row r="175" spans="1:1" x14ac:dyDescent="0.3">
      <c r="A175" s="17"/>
    </row>
    <row r="176" spans="1:1" x14ac:dyDescent="0.3">
      <c r="A176" s="17"/>
    </row>
    <row r="177" spans="1:1" x14ac:dyDescent="0.3">
      <c r="A177" s="17"/>
    </row>
    <row r="178" spans="1:1" x14ac:dyDescent="0.3">
      <c r="A178" s="17"/>
    </row>
    <row r="179" spans="1:1" x14ac:dyDescent="0.3">
      <c r="A179" s="17"/>
    </row>
    <row r="180" spans="1:1" x14ac:dyDescent="0.3">
      <c r="A180" s="17"/>
    </row>
    <row r="181" spans="1:1" x14ac:dyDescent="0.3">
      <c r="A181" s="17"/>
    </row>
    <row r="182" spans="1:1" x14ac:dyDescent="0.3">
      <c r="A182" s="17"/>
    </row>
    <row r="183" spans="1:1" x14ac:dyDescent="0.3">
      <c r="A183" s="17"/>
    </row>
    <row r="184" spans="1:1" x14ac:dyDescent="0.3">
      <c r="A184" s="17"/>
    </row>
    <row r="185" spans="1:1" x14ac:dyDescent="0.3">
      <c r="A185" s="17"/>
    </row>
    <row r="186" spans="1:1" x14ac:dyDescent="0.3">
      <c r="A186" s="17"/>
    </row>
    <row r="187" spans="1:1" x14ac:dyDescent="0.3">
      <c r="A187" s="17"/>
    </row>
    <row r="188" spans="1:1" x14ac:dyDescent="0.3">
      <c r="A188" s="17"/>
    </row>
    <row r="189" spans="1:1" x14ac:dyDescent="0.3">
      <c r="A189" s="17"/>
    </row>
    <row r="190" spans="1:1" x14ac:dyDescent="0.3">
      <c r="A190" s="17"/>
    </row>
    <row r="191" spans="1:1" x14ac:dyDescent="0.3">
      <c r="A191" s="17"/>
    </row>
    <row r="192" spans="1:1" x14ac:dyDescent="0.3">
      <c r="A192" s="17"/>
    </row>
    <row r="193" spans="1:1" x14ac:dyDescent="0.3">
      <c r="A193" s="17"/>
    </row>
    <row r="194" spans="1:1" x14ac:dyDescent="0.3">
      <c r="A194" s="17"/>
    </row>
    <row r="195" spans="1:1" x14ac:dyDescent="0.3">
      <c r="A195" s="17"/>
    </row>
    <row r="196" spans="1:1" x14ac:dyDescent="0.3">
      <c r="A196" s="17"/>
    </row>
    <row r="197" spans="1:1" x14ac:dyDescent="0.3">
      <c r="A197" s="17"/>
    </row>
    <row r="198" spans="1:1" x14ac:dyDescent="0.3">
      <c r="A198" s="17"/>
    </row>
    <row r="199" spans="1:1" x14ac:dyDescent="0.3">
      <c r="A199" s="17"/>
    </row>
    <row r="200" spans="1:1" x14ac:dyDescent="0.3">
      <c r="A200" s="17"/>
    </row>
    <row r="201" spans="1:1" x14ac:dyDescent="0.3">
      <c r="A201" s="17"/>
    </row>
    <row r="202" spans="1:1" x14ac:dyDescent="0.3">
      <c r="A202" s="17"/>
    </row>
    <row r="203" spans="1:1" x14ac:dyDescent="0.3">
      <c r="A203" s="17"/>
    </row>
    <row r="204" spans="1:1" x14ac:dyDescent="0.3">
      <c r="A204" s="17"/>
    </row>
    <row r="205" spans="1:1" x14ac:dyDescent="0.3">
      <c r="A205" s="17"/>
    </row>
    <row r="206" spans="1:1" x14ac:dyDescent="0.3">
      <c r="A206" s="17"/>
    </row>
    <row r="207" spans="1:1" x14ac:dyDescent="0.3">
      <c r="A207" s="17"/>
    </row>
    <row r="208" spans="1:1" x14ac:dyDescent="0.3">
      <c r="A208" s="17"/>
    </row>
    <row r="209" spans="1:1" x14ac:dyDescent="0.3">
      <c r="A209" s="17"/>
    </row>
    <row r="210" spans="1:1" x14ac:dyDescent="0.3">
      <c r="A210" s="17"/>
    </row>
    <row r="211" spans="1:1" x14ac:dyDescent="0.3">
      <c r="A211" s="17"/>
    </row>
    <row r="212" spans="1:1" x14ac:dyDescent="0.3">
      <c r="A212" s="17"/>
    </row>
    <row r="213" spans="1:1" x14ac:dyDescent="0.3">
      <c r="A213" s="17"/>
    </row>
    <row r="214" spans="1:1" x14ac:dyDescent="0.3">
      <c r="A214" s="17"/>
    </row>
    <row r="215" spans="1:1" x14ac:dyDescent="0.3">
      <c r="A215" s="17"/>
    </row>
    <row r="216" spans="1:1" x14ac:dyDescent="0.3">
      <c r="A216" s="17"/>
    </row>
    <row r="217" spans="1:1" x14ac:dyDescent="0.3">
      <c r="A217" s="17"/>
    </row>
    <row r="218" spans="1:1" x14ac:dyDescent="0.3">
      <c r="A218" s="17"/>
    </row>
    <row r="219" spans="1:1" x14ac:dyDescent="0.3">
      <c r="A219" s="17"/>
    </row>
    <row r="220" spans="1:1" x14ac:dyDescent="0.3">
      <c r="A220" s="17"/>
    </row>
    <row r="221" spans="1:1" x14ac:dyDescent="0.3">
      <c r="A221" s="17"/>
    </row>
    <row r="222" spans="1:1" x14ac:dyDescent="0.3">
      <c r="A222" s="17"/>
    </row>
    <row r="223" spans="1:1" x14ac:dyDescent="0.3">
      <c r="A223" s="17"/>
    </row>
    <row r="224" spans="1:1" x14ac:dyDescent="0.3">
      <c r="A224" s="17"/>
    </row>
    <row r="225" spans="1:1" x14ac:dyDescent="0.3">
      <c r="A225" s="17"/>
    </row>
    <row r="226" spans="1:1" x14ac:dyDescent="0.3">
      <c r="A226" s="17"/>
    </row>
    <row r="227" spans="1:1" x14ac:dyDescent="0.3">
      <c r="A227" s="17"/>
    </row>
    <row r="228" spans="1:1" x14ac:dyDescent="0.3">
      <c r="A228" s="17"/>
    </row>
    <row r="229" spans="1:1" x14ac:dyDescent="0.3">
      <c r="A229" s="17"/>
    </row>
    <row r="230" spans="1:1" x14ac:dyDescent="0.3">
      <c r="A230" s="17"/>
    </row>
    <row r="231" spans="1:1" x14ac:dyDescent="0.3">
      <c r="A231" s="17"/>
    </row>
    <row r="232" spans="1:1" x14ac:dyDescent="0.3">
      <c r="A232" s="17"/>
    </row>
    <row r="233" spans="1:1" x14ac:dyDescent="0.3">
      <c r="A233" s="17"/>
    </row>
    <row r="234" spans="1:1" x14ac:dyDescent="0.3">
      <c r="A234" s="17"/>
    </row>
    <row r="235" spans="1:1" x14ac:dyDescent="0.3">
      <c r="A235" s="17"/>
    </row>
    <row r="236" spans="1:1" x14ac:dyDescent="0.3">
      <c r="A236" s="17"/>
    </row>
    <row r="237" spans="1:1" x14ac:dyDescent="0.3">
      <c r="A237" s="17"/>
    </row>
    <row r="238" spans="1:1" x14ac:dyDescent="0.3">
      <c r="A238" s="17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CE44-E6DA-463E-B280-7E1CE1284529}">
  <dimension ref="A1:J59"/>
  <sheetViews>
    <sheetView workbookViewId="0">
      <selection activeCell="G43" sqref="G43:G44"/>
    </sheetView>
  </sheetViews>
  <sheetFormatPr defaultRowHeight="16.8" x14ac:dyDescent="0.3"/>
  <cols>
    <col min="1" max="1" width="20.1796875" customWidth="1"/>
    <col min="2" max="2" width="14.90625" customWidth="1"/>
    <col min="3" max="3" width="25" customWidth="1"/>
    <col min="4" max="4" width="29.90625" customWidth="1"/>
    <col min="5" max="5" width="25.36328125" customWidth="1"/>
    <col min="6" max="6" width="25.1796875" customWidth="1"/>
    <col min="7" max="7" width="22.90625" customWidth="1"/>
    <col min="8" max="8" width="16.81640625" customWidth="1"/>
    <col min="9" max="9" width="15.36328125" customWidth="1"/>
  </cols>
  <sheetData>
    <row r="1" spans="1:10" s="5" customFormat="1" x14ac:dyDescent="0.3">
      <c r="A1" s="4" t="s">
        <v>12</v>
      </c>
      <c r="B1" s="4" t="s">
        <v>13</v>
      </c>
      <c r="C1" s="6" t="s">
        <v>14</v>
      </c>
      <c r="D1" s="7"/>
      <c r="E1" s="7"/>
      <c r="F1" s="7"/>
      <c r="G1" s="7"/>
      <c r="H1" s="7"/>
      <c r="I1" s="4" t="s">
        <v>33</v>
      </c>
      <c r="J1" s="8" t="s">
        <v>86</v>
      </c>
    </row>
    <row r="2" spans="1:10" x14ac:dyDescent="0.3">
      <c r="A2" s="2" t="s">
        <v>117</v>
      </c>
      <c r="B2" s="2" t="s">
        <v>23</v>
      </c>
      <c r="C2" s="2" t="s">
        <v>28</v>
      </c>
      <c r="D2" s="2" t="s">
        <v>88</v>
      </c>
      <c r="E2" s="2" t="s">
        <v>29</v>
      </c>
      <c r="F2" s="2" t="s">
        <v>34</v>
      </c>
      <c r="G2" s="2"/>
      <c r="H2" s="2"/>
      <c r="I2" s="1">
        <v>19</v>
      </c>
    </row>
    <row r="3" spans="1:10" x14ac:dyDescent="0.3">
      <c r="A3" s="2" t="s">
        <v>116</v>
      </c>
      <c r="B3" s="2" t="s">
        <v>19</v>
      </c>
      <c r="C3" s="2" t="s">
        <v>72</v>
      </c>
      <c r="D3" s="2"/>
      <c r="E3" s="2"/>
      <c r="F3" s="2"/>
      <c r="G3" s="2"/>
      <c r="H3" s="2"/>
      <c r="I3" s="1">
        <v>2</v>
      </c>
    </row>
    <row r="4" spans="1:10" x14ac:dyDescent="0.3">
      <c r="A4" s="2" t="s">
        <v>118</v>
      </c>
      <c r="B4" s="2" t="s">
        <v>23</v>
      </c>
      <c r="C4" s="2" t="s">
        <v>25</v>
      </c>
      <c r="D4" s="2" t="s">
        <v>88</v>
      </c>
      <c r="E4" s="2" t="s">
        <v>26</v>
      </c>
      <c r="F4" s="2" t="s">
        <v>35</v>
      </c>
      <c r="G4" s="2" t="s">
        <v>34</v>
      </c>
      <c r="H4" s="2"/>
      <c r="I4" s="1">
        <v>19</v>
      </c>
    </row>
    <row r="5" spans="1:10" x14ac:dyDescent="0.3">
      <c r="A5" s="2" t="s">
        <v>119</v>
      </c>
      <c r="B5" s="2" t="s">
        <v>23</v>
      </c>
      <c r="C5" s="3" t="s">
        <v>46</v>
      </c>
      <c r="D5" s="2" t="s">
        <v>89</v>
      </c>
      <c r="E5" s="3" t="s">
        <v>30</v>
      </c>
      <c r="F5" s="3" t="s">
        <v>31</v>
      </c>
      <c r="G5" s="3" t="s">
        <v>48</v>
      </c>
      <c r="H5" s="3"/>
      <c r="I5" s="1">
        <v>19</v>
      </c>
    </row>
    <row r="6" spans="1:10" x14ac:dyDescent="0.3">
      <c r="A6" s="2" t="s">
        <v>120</v>
      </c>
      <c r="B6" s="2" t="s">
        <v>15</v>
      </c>
      <c r="C6" s="2" t="s">
        <v>41</v>
      </c>
      <c r="D6" s="2" t="s">
        <v>42</v>
      </c>
      <c r="E6" s="2" t="s">
        <v>43</v>
      </c>
      <c r="F6" s="2" t="s">
        <v>44</v>
      </c>
      <c r="G6" s="2"/>
      <c r="H6" s="2"/>
      <c r="I6" s="1">
        <v>18</v>
      </c>
    </row>
    <row r="7" spans="1:10" x14ac:dyDescent="0.3">
      <c r="A7" s="2" t="s">
        <v>121</v>
      </c>
      <c r="B7" s="2" t="s">
        <v>15</v>
      </c>
      <c r="C7" s="2" t="s">
        <v>59</v>
      </c>
      <c r="D7" s="2" t="s">
        <v>60</v>
      </c>
      <c r="E7" s="2" t="s">
        <v>61</v>
      </c>
      <c r="F7" s="2" t="s">
        <v>34</v>
      </c>
      <c r="G7" s="2"/>
      <c r="H7" s="2"/>
      <c r="I7" s="1">
        <v>19</v>
      </c>
    </row>
    <row r="8" spans="1:10" x14ac:dyDescent="0.3">
      <c r="A8" s="2" t="s">
        <v>122</v>
      </c>
      <c r="B8" s="2" t="s">
        <v>18</v>
      </c>
      <c r="C8" s="2" t="s">
        <v>79</v>
      </c>
      <c r="D8" s="2" t="s">
        <v>56</v>
      </c>
      <c r="E8" s="2" t="s">
        <v>57</v>
      </c>
      <c r="F8" s="2" t="s">
        <v>58</v>
      </c>
      <c r="G8" s="2" t="s">
        <v>34</v>
      </c>
      <c r="H8" s="2"/>
      <c r="I8" s="1">
        <v>19</v>
      </c>
    </row>
    <row r="9" spans="1:10" x14ac:dyDescent="0.3">
      <c r="A9" s="2" t="s">
        <v>123</v>
      </c>
      <c r="B9" s="2" t="s">
        <v>23</v>
      </c>
      <c r="C9" s="3" t="s">
        <v>62</v>
      </c>
      <c r="D9" s="2" t="s">
        <v>87</v>
      </c>
      <c r="E9" s="3" t="s">
        <v>63</v>
      </c>
      <c r="F9" s="3" t="s">
        <v>64</v>
      </c>
      <c r="G9" s="2" t="s">
        <v>65</v>
      </c>
      <c r="H9" s="2" t="s">
        <v>34</v>
      </c>
      <c r="I9" s="1">
        <v>18</v>
      </c>
    </row>
    <row r="10" spans="1:10" x14ac:dyDescent="0.3">
      <c r="A10" s="2" t="s">
        <v>124</v>
      </c>
      <c r="B10" s="2" t="s">
        <v>20</v>
      </c>
      <c r="C10" s="2" t="s">
        <v>66</v>
      </c>
      <c r="D10" s="2" t="s">
        <v>75</v>
      </c>
      <c r="E10" s="2" t="s">
        <v>67</v>
      </c>
      <c r="F10" s="2" t="s">
        <v>34</v>
      </c>
      <c r="G10" s="2"/>
      <c r="H10" s="2"/>
      <c r="I10" s="1">
        <v>18</v>
      </c>
    </row>
    <row r="11" spans="1:10" x14ac:dyDescent="0.3">
      <c r="A11" s="2" t="s">
        <v>125</v>
      </c>
      <c r="B11" s="2" t="s">
        <v>17</v>
      </c>
      <c r="C11" s="2" t="s">
        <v>68</v>
      </c>
      <c r="D11" s="2" t="s">
        <v>69</v>
      </c>
      <c r="E11" s="2" t="s">
        <v>70</v>
      </c>
      <c r="F11" s="2" t="s">
        <v>71</v>
      </c>
      <c r="G11" s="2"/>
      <c r="H11" s="2"/>
      <c r="I11" s="1">
        <v>19</v>
      </c>
    </row>
    <row r="12" spans="1:10" x14ac:dyDescent="0.3">
      <c r="A12" s="2" t="s">
        <v>126</v>
      </c>
      <c r="B12" s="2" t="s">
        <v>23</v>
      </c>
      <c r="C12" s="2" t="s">
        <v>77</v>
      </c>
      <c r="D12" s="2" t="s">
        <v>90</v>
      </c>
      <c r="E12" s="2" t="s">
        <v>34</v>
      </c>
      <c r="F12" s="2"/>
      <c r="G12" s="2"/>
      <c r="H12" s="2"/>
      <c r="I12" s="1">
        <v>19</v>
      </c>
    </row>
    <row r="13" spans="1:10" x14ac:dyDescent="0.3">
      <c r="A13" s="2" t="s">
        <v>127</v>
      </c>
      <c r="B13" s="2" t="s">
        <v>23</v>
      </c>
      <c r="C13" s="2" t="s">
        <v>78</v>
      </c>
      <c r="D13" s="2" t="s">
        <v>89</v>
      </c>
      <c r="E13" s="2" t="s">
        <v>80</v>
      </c>
      <c r="F13" s="2" t="s">
        <v>81</v>
      </c>
      <c r="G13" s="2" t="s">
        <v>34</v>
      </c>
      <c r="H13" s="2"/>
      <c r="I13" s="1">
        <v>19</v>
      </c>
    </row>
    <row r="14" spans="1:10" x14ac:dyDescent="0.3">
      <c r="A14" s="2" t="s">
        <v>128</v>
      </c>
      <c r="B14" s="2" t="s">
        <v>23</v>
      </c>
      <c r="C14" s="2" t="s">
        <v>55</v>
      </c>
      <c r="D14" s="2" t="s">
        <v>87</v>
      </c>
      <c r="E14" s="2" t="s">
        <v>82</v>
      </c>
      <c r="F14" s="2" t="s">
        <v>34</v>
      </c>
      <c r="G14" s="2"/>
      <c r="H14" s="2"/>
      <c r="I14" s="1">
        <v>18</v>
      </c>
    </row>
    <row r="15" spans="1:10" x14ac:dyDescent="0.3">
      <c r="A15" s="2" t="s">
        <v>129</v>
      </c>
      <c r="B15" s="2" t="s">
        <v>23</v>
      </c>
      <c r="C15" s="2" t="s">
        <v>74</v>
      </c>
      <c r="D15" s="2" t="s">
        <v>90</v>
      </c>
      <c r="E15" s="2" t="s">
        <v>27</v>
      </c>
      <c r="F15" s="2" t="s">
        <v>76</v>
      </c>
      <c r="G15" s="2"/>
      <c r="H15" s="2"/>
      <c r="I15" s="1">
        <v>19</v>
      </c>
    </row>
    <row r="16" spans="1:10" x14ac:dyDescent="0.3">
      <c r="A16" s="2" t="s">
        <v>130</v>
      </c>
      <c r="B16" s="2" t="s">
        <v>21</v>
      </c>
      <c r="C16" s="2" t="s">
        <v>45</v>
      </c>
      <c r="D16" s="2" t="s">
        <v>47</v>
      </c>
      <c r="E16" s="3" t="s">
        <v>32</v>
      </c>
      <c r="F16" s="2" t="s">
        <v>49</v>
      </c>
      <c r="G16" s="2" t="s">
        <v>50</v>
      </c>
      <c r="H16" s="2" t="s">
        <v>51</v>
      </c>
      <c r="I16" s="1">
        <v>19</v>
      </c>
    </row>
    <row r="17" spans="1:9" x14ac:dyDescent="0.3">
      <c r="A17" s="2" t="s">
        <v>131</v>
      </c>
      <c r="B17" s="2" t="s">
        <v>22</v>
      </c>
      <c r="C17" s="2" t="s">
        <v>52</v>
      </c>
      <c r="D17" s="2" t="s">
        <v>53</v>
      </c>
      <c r="E17" s="2" t="s">
        <v>54</v>
      </c>
      <c r="F17" s="2"/>
      <c r="G17" s="2"/>
      <c r="H17" s="2"/>
      <c r="I17" s="1">
        <v>19</v>
      </c>
    </row>
    <row r="18" spans="1:9" x14ac:dyDescent="0.3">
      <c r="A18" s="2" t="s">
        <v>132</v>
      </c>
      <c r="B18" s="2" t="s">
        <v>23</v>
      </c>
      <c r="C18" s="2" t="s">
        <v>73</v>
      </c>
      <c r="D18" s="2" t="s">
        <v>90</v>
      </c>
      <c r="E18" s="2" t="s">
        <v>34</v>
      </c>
      <c r="F18" s="2"/>
      <c r="G18" s="2"/>
      <c r="H18" s="2"/>
      <c r="I18" s="1">
        <v>19</v>
      </c>
    </row>
    <row r="19" spans="1:9" x14ac:dyDescent="0.3">
      <c r="A19" s="2" t="s">
        <v>133</v>
      </c>
      <c r="B19" s="2" t="s">
        <v>16</v>
      </c>
      <c r="C19" s="2" t="s">
        <v>36</v>
      </c>
      <c r="D19" s="2" t="s">
        <v>37</v>
      </c>
      <c r="E19" s="2"/>
      <c r="F19" s="2"/>
      <c r="G19" s="2"/>
      <c r="H19" s="2"/>
      <c r="I19" s="1">
        <v>4</v>
      </c>
    </row>
    <row r="20" spans="1:9" x14ac:dyDescent="0.3">
      <c r="A20" s="2" t="s">
        <v>24</v>
      </c>
      <c r="B20" s="2" t="s">
        <v>15</v>
      </c>
      <c r="C20" s="2" t="s">
        <v>38</v>
      </c>
      <c r="D20" s="2" t="s">
        <v>85</v>
      </c>
      <c r="E20" s="2" t="s">
        <v>84</v>
      </c>
      <c r="F20" s="2" t="s">
        <v>83</v>
      </c>
      <c r="G20" s="2" t="s">
        <v>39</v>
      </c>
      <c r="H20" s="2" t="s">
        <v>40</v>
      </c>
      <c r="I20" s="1">
        <v>20</v>
      </c>
    </row>
    <row r="22" spans="1:9" x14ac:dyDescent="0.3">
      <c r="A22" s="2"/>
      <c r="C22" t="str">
        <f>INDEX($C$2:$H$2,INT((ROW(C1)-1)/6)+1, MOD(ROW(C1)-1,6)+1)</f>
        <v>Ngoại ngữ 7</v>
      </c>
      <c r="D22" t="str">
        <f>INDEX($C$3:$H$3,INT((ROW(C1)-1)/6)+1, MOD(ROW(C1)-1,6)+1)</f>
        <v>Nghệ thuật (Âm nhạc) 9</v>
      </c>
      <c r="E22" t="str">
        <f>INDEX($C$4:$H$4,INT((ROW(C1)-1)/6)+1, MOD(ROW(C1)-1,6)+1)</f>
        <v>Ngữ văn 9</v>
      </c>
      <c r="F22" t="str">
        <f>INDEX($C$5:$H$5,INT((ROW(C1)-1)/6)+1, MOD(ROW(C1)-1,6)+1)</f>
        <v>Khoa học tự nhiên (Hoá học) 6</v>
      </c>
      <c r="G22" t="str">
        <f>INDEX($C$6:$H$6,INT((ROW(C1)-1)/6)+1, MOD(ROW(C1)-1,6)+1)</f>
        <v>Giáo dục thể chất 6</v>
      </c>
      <c r="H22" t="str">
        <f>INDEX($C$7:$H$7,INT((ROW(C1)-1)/6)+1, MOD(ROW(C1)-1,6)+1)</f>
        <v>Lịch sử &amp; Địa lý 7</v>
      </c>
      <c r="I22" t="str">
        <f>INDEX($C$8:$H$8,INT((ROW(C1)-1)/6)+1, MOD(ROW(C1)-1,6)+1)</f>
        <v>Toán học 8</v>
      </c>
    </row>
    <row r="23" spans="1:9" x14ac:dyDescent="0.3">
      <c r="A23" s="2"/>
      <c r="C23" t="str">
        <f t="shared" ref="C23:C25" si="0">INDEX($C$2:$H$2,INT((ROW(C2)-1)/6)+1, MOD(ROW(C2)-1,6)+1)</f>
        <v>Hoạt động trải nghiệm, hướng nghiệp 7</v>
      </c>
      <c r="D23">
        <f t="shared" ref="D23:D25" si="1">INDEX($C$3:$H$3,INT((ROW(C4)-1)/6)+1, MOD(ROW(C4)-1,6)+1)</f>
        <v>0</v>
      </c>
      <c r="E23" t="str">
        <f t="shared" ref="E23:E26" si="2">INDEX($C$4:$H$4,INT((ROW(C2)-1)/6)+1, MOD(ROW(C2)-1,6)+1)</f>
        <v>Hoạt động trải nghiệm, hướng nghiệp 7</v>
      </c>
      <c r="F23" t="str">
        <f t="shared" ref="F23:F27" si="3">INDEX($C$5:$H$5,INT((ROW(C2)-1)/6)+1, MOD(ROW(C2)-1,6)+1)</f>
        <v>Hoạt động trải nghiệm, hướng nghiệp 8</v>
      </c>
      <c r="G23" t="str">
        <f t="shared" ref="G23:G27" si="4">INDEX($C$6:$H$6,INT((ROW(C2)-1)/6)+1, MOD(ROW(C2)-1,6)+1)</f>
        <v>Giáo dục thể chất 7</v>
      </c>
      <c r="H23" t="str">
        <f t="shared" ref="H23:H27" si="5">INDEX($C$7:$H$7,INT((ROW(C2)-1)/6)+1, MOD(ROW(C2)-1,6)+1)</f>
        <v>Lịch sử &amp; Địa lý 8</v>
      </c>
      <c r="I23" t="str">
        <f t="shared" ref="I23:I27" si="6">INDEX($C$8:$H$8,INT((ROW(C2)-1)/6)+1, MOD(ROW(C2)-1,6)+1)</f>
        <v>Khoa học tự nhiên (Vật lý) 7</v>
      </c>
    </row>
    <row r="24" spans="1:9" x14ac:dyDescent="0.3">
      <c r="A24" s="2"/>
      <c r="C24" t="str">
        <f t="shared" si="0"/>
        <v>Ngoại ngữ 9</v>
      </c>
      <c r="D24">
        <f t="shared" si="1"/>
        <v>0</v>
      </c>
      <c r="E24" t="str">
        <f t="shared" si="2"/>
        <v>Giáo dục công dân 7</v>
      </c>
      <c r="F24" t="str">
        <f t="shared" si="3"/>
        <v>Khoa học tự nhiên (Sinh học) 7</v>
      </c>
      <c r="G24" t="str">
        <f t="shared" si="4"/>
        <v>Giáo dục thể chất 8</v>
      </c>
      <c r="H24" t="str">
        <f t="shared" si="5"/>
        <v>Lịch sử &amp; Địa lý 9</v>
      </c>
      <c r="I24" t="str">
        <f t="shared" si="6"/>
        <v>Khoa học tự nhiên (Vật lý) 8</v>
      </c>
    </row>
    <row r="25" spans="1:9" x14ac:dyDescent="0.3">
      <c r="A25" s="2"/>
      <c r="C25" t="str">
        <f t="shared" si="0"/>
        <v>Bồi dưỡng/phụ đạo</v>
      </c>
      <c r="D25">
        <f t="shared" si="1"/>
        <v>0</v>
      </c>
      <c r="E25" t="str">
        <f t="shared" si="2"/>
        <v xml:space="preserve">Giáo dục địa phương </v>
      </c>
      <c r="F25" t="str">
        <f t="shared" si="3"/>
        <v>Khoa học tự nhiên (Sinh học) 8</v>
      </c>
      <c r="G25" t="str">
        <f t="shared" si="4"/>
        <v>Giáo dục thể chất 9</v>
      </c>
      <c r="H25" t="str">
        <f t="shared" si="5"/>
        <v>Bồi dưỡng/phụ đạo</v>
      </c>
      <c r="I25" t="str">
        <f t="shared" si="6"/>
        <v>Tin 9</v>
      </c>
    </row>
    <row r="26" spans="1:9" x14ac:dyDescent="0.3">
      <c r="A26" s="2"/>
      <c r="C26">
        <f>INDEX($C$2:$H$2,INT((ROW(C5)-1)/6)+1, MOD(ROW(C5)-1,6)+1)</f>
        <v>0</v>
      </c>
      <c r="E26" t="str">
        <f t="shared" si="2"/>
        <v>Bồi dưỡng/phụ đạo</v>
      </c>
      <c r="F26" t="str">
        <f t="shared" si="3"/>
        <v>Phụ trách thiết bị thí nghiệm</v>
      </c>
      <c r="G26">
        <f t="shared" si="4"/>
        <v>0</v>
      </c>
      <c r="H26">
        <f t="shared" si="5"/>
        <v>0</v>
      </c>
      <c r="I26" t="str">
        <f t="shared" si="6"/>
        <v>Bồi dưỡng/phụ đạo</v>
      </c>
    </row>
    <row r="27" spans="1:9" x14ac:dyDescent="0.3">
      <c r="A27" s="2"/>
      <c r="E27">
        <f>INDEX($C$4:$H$4,INT((ROW(C6)-1)/6)+1, MOD(ROW(C6)-1,6)+1)</f>
        <v>0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</row>
    <row r="28" spans="1:9" x14ac:dyDescent="0.3">
      <c r="A28" s="2"/>
      <c r="C28" t="s">
        <v>11</v>
      </c>
      <c r="D28" t="s">
        <v>7</v>
      </c>
      <c r="E28" t="s">
        <v>10</v>
      </c>
      <c r="F28" t="s">
        <v>8</v>
      </c>
      <c r="G28" t="s">
        <v>5</v>
      </c>
      <c r="H28" t="s">
        <v>9</v>
      </c>
      <c r="I28" t="s">
        <v>136</v>
      </c>
    </row>
    <row r="29" spans="1:9" x14ac:dyDescent="0.3">
      <c r="A29" s="2"/>
    </row>
    <row r="30" spans="1:9" x14ac:dyDescent="0.3">
      <c r="A30" s="2"/>
      <c r="C30" t="str">
        <f>INDEX($C$9:$H$9,INT((ROW(C1)-1)/6)+1, MOD(ROW(C1)-1,6)+1)</f>
        <v>Khoa học tự nhiên (Hoá học) 7</v>
      </c>
      <c r="D30" t="str">
        <f>INDEX($C$10:$H$10,INT((ROW(C1)-1)/6)+1, MOD(ROW(C1)-1,6)+1)</f>
        <v>Ngữ văn 8</v>
      </c>
      <c r="E30" t="str">
        <f>INDEX($C$11:$H$11,INT((ROW(C1)-1)/6)+1, MOD(ROW(C1)-1,6)+1)</f>
        <v>Nghệ thuật (Mĩ thuật) 6</v>
      </c>
      <c r="F30" t="str">
        <f>INDEX($C$12:$H$12,INT((ROW(C1)-1)/6)+1, MOD(ROW(C1)-1,6)+1)</f>
        <v>Toán học 6</v>
      </c>
      <c r="G30" t="str">
        <f>INDEX($C$13:$H$13,INT((ROW(C1)-1)/6)+1, MOD(ROW(C1)-1,6)+1)</f>
        <v>Toán học 7</v>
      </c>
      <c r="H30" t="str">
        <f>INDEX($C$14:$H$14,INT((ROW(C1)-1)/6)+1, MOD(ROW(C1)-1,6)+1)</f>
        <v>Toán học 9</v>
      </c>
      <c r="I30" t="str">
        <f>INDEX($C$15:$H$15,INT((ROW(C1)-1)/6)+1, MOD(ROW(C1)-1,6)+1)</f>
        <v>Lịch sử &amp; Địa lý 6</v>
      </c>
    </row>
    <row r="31" spans="1:9" x14ac:dyDescent="0.3">
      <c r="A31" s="2"/>
      <c r="C31" t="str">
        <f t="shared" ref="C31:C34" si="7">INDEX($C$9:$H$9,INT((ROW(C2)-1)/6)+1, MOD(ROW(C2)-1,6)+1)</f>
        <v>Hoạt động trải nghiệm, hướng nghiệp 9</v>
      </c>
      <c r="D31" t="str">
        <f t="shared" ref="D31:D35" si="8">INDEX($C$10:$H$10,INT((ROW(C2)-1)/6)+1, MOD(ROW(C2)-1,6)+1)</f>
        <v>Nghệ thuật (Âm nhạc) 6</v>
      </c>
      <c r="E31" t="str">
        <f t="shared" ref="E31:E35" si="9">INDEX($C$11:$H$11,INT((ROW(C2)-1)/6)+1, MOD(ROW(C2)-1,6)+1)</f>
        <v>Nghệ thuật (Mĩ thuật) 7</v>
      </c>
      <c r="F31" t="str">
        <f t="shared" ref="F31:F35" si="10">INDEX($C$12:$H$12,INT((ROW(C2)-1)/6)+1, MOD(ROW(C2)-1,6)+1)</f>
        <v>Hoạt động trải nghiệm, hướng nghiệp 6</v>
      </c>
      <c r="G31" t="str">
        <f t="shared" ref="G31:G35" si="11">INDEX($C$13:$H$13,INT((ROW(C2)-1)/6)+1, MOD(ROW(C2)-1,6)+1)</f>
        <v>Hoạt động trải nghiệm, hướng nghiệp 8</v>
      </c>
      <c r="H31" t="str">
        <f t="shared" ref="H31:H35" si="12">INDEX($C$14:$H$14,INT((ROW(C2)-1)/6)+1, MOD(ROW(C2)-1,6)+1)</f>
        <v>Hoạt động trải nghiệm, hướng nghiệp 9</v>
      </c>
      <c r="I31" t="str">
        <f t="shared" ref="I31:I35" si="13">INDEX($C$15:$H$15,INT((ROW(C2)-1)/6)+1, MOD(ROW(C2)-1,6)+1)</f>
        <v>Hoạt động trải nghiệm, hướng nghiệp 6</v>
      </c>
    </row>
    <row r="32" spans="1:9" x14ac:dyDescent="0.3">
      <c r="A32" s="2"/>
      <c r="C32" t="str">
        <f t="shared" si="7"/>
        <v>Khoa học tự nhiên (Hoá học) 8</v>
      </c>
      <c r="D32" t="str">
        <f t="shared" si="8"/>
        <v>Giáo dục địa phương 6</v>
      </c>
      <c r="E32" t="str">
        <f t="shared" si="9"/>
        <v>Nghệ thuật (Mĩ thuật) 8</v>
      </c>
      <c r="F32" t="str">
        <f t="shared" si="10"/>
        <v>Bồi dưỡng/phụ đạo</v>
      </c>
      <c r="G32" t="str">
        <f t="shared" si="11"/>
        <v>Tin 7</v>
      </c>
      <c r="H32" t="str">
        <f t="shared" si="12"/>
        <v>Khoa học tự nhiên (Vật lý) 9</v>
      </c>
      <c r="I32" t="str">
        <f t="shared" si="13"/>
        <v>Giáo dục địa phương 7</v>
      </c>
    </row>
    <row r="33" spans="1:9" x14ac:dyDescent="0.3">
      <c r="A33" s="2"/>
      <c r="C33" t="str">
        <f t="shared" si="7"/>
        <v>Khoa học tự nhiên (Hoá học) 9</v>
      </c>
      <c r="D33" t="str">
        <f t="shared" si="8"/>
        <v>Bồi dưỡng/phụ đạo</v>
      </c>
      <c r="E33" t="str">
        <f t="shared" si="9"/>
        <v>Nghệ thuật (Mĩ thuật) 9</v>
      </c>
      <c r="F33">
        <f t="shared" si="10"/>
        <v>0</v>
      </c>
      <c r="G33" t="str">
        <f t="shared" si="11"/>
        <v>Tin 8</v>
      </c>
      <c r="H33" t="str">
        <f t="shared" si="12"/>
        <v>Bồi dưỡng/phụ đạo</v>
      </c>
      <c r="I33" t="str">
        <f t="shared" si="13"/>
        <v>Nghệ thuật (Âm nhạc) 7</v>
      </c>
    </row>
    <row r="34" spans="1:9" x14ac:dyDescent="0.3">
      <c r="A34" s="2"/>
      <c r="C34" t="str">
        <f t="shared" si="7"/>
        <v>Công nghệ 9</v>
      </c>
      <c r="D34">
        <f t="shared" si="8"/>
        <v>0</v>
      </c>
      <c r="E34">
        <f t="shared" si="9"/>
        <v>0</v>
      </c>
      <c r="F34">
        <f t="shared" si="10"/>
        <v>0</v>
      </c>
      <c r="G34" t="str">
        <f t="shared" si="11"/>
        <v>Bồi dưỡng/phụ đạo</v>
      </c>
      <c r="H34">
        <f t="shared" si="12"/>
        <v>0</v>
      </c>
      <c r="I34">
        <f t="shared" si="13"/>
        <v>0</v>
      </c>
    </row>
    <row r="35" spans="1:9" x14ac:dyDescent="0.3">
      <c r="A35" s="2"/>
      <c r="C35" t="str">
        <f>INDEX($C$9:$H$9,INT((ROW(C6)-1)/6)+1, MOD(ROW(C6)-1,6)+1)</f>
        <v>Bồi dưỡng/phụ đạo</v>
      </c>
      <c r="D35">
        <f t="shared" si="8"/>
        <v>0</v>
      </c>
      <c r="E35">
        <f t="shared" si="9"/>
        <v>0</v>
      </c>
      <c r="F35">
        <f t="shared" si="10"/>
        <v>0</v>
      </c>
      <c r="G35">
        <f t="shared" si="11"/>
        <v>0</v>
      </c>
      <c r="H35">
        <f t="shared" si="12"/>
        <v>0</v>
      </c>
      <c r="I35">
        <f t="shared" si="13"/>
        <v>0</v>
      </c>
    </row>
    <row r="36" spans="1:9" x14ac:dyDescent="0.3">
      <c r="A36" s="2"/>
    </row>
    <row r="37" spans="1:9" x14ac:dyDescent="0.3">
      <c r="A37" s="2"/>
      <c r="C37" t="s">
        <v>4</v>
      </c>
      <c r="D37" t="s">
        <v>3</v>
      </c>
      <c r="E37" t="s">
        <v>6</v>
      </c>
      <c r="F37" t="s">
        <v>0</v>
      </c>
      <c r="G37" t="s">
        <v>137</v>
      </c>
      <c r="H37" t="s">
        <v>138</v>
      </c>
      <c r="I37" t="s">
        <v>2</v>
      </c>
    </row>
    <row r="38" spans="1:9" x14ac:dyDescent="0.3">
      <c r="A38" s="2"/>
    </row>
    <row r="39" spans="1:9" x14ac:dyDescent="0.3">
      <c r="A39" s="2"/>
      <c r="C39" t="str">
        <f>INDEX($C$16:$H$16,INT((ROW(C1)-1)/6)+1, MOD(ROW(C1)-1,6)+1)</f>
        <v>Khoa học tự nhiên (Sinh học) 6</v>
      </c>
      <c r="D39" t="str">
        <f>INDEX($C$17:$H$17,INT((ROW(C1)-1)/6)+1, MOD(ROW(C1)-1,6)+1)</f>
        <v>Ngoại ngữ 6</v>
      </c>
      <c r="E39" t="str">
        <f>INDEX($C$18:$H$18,INT((ROW(C1)-1)/6)+1, MOD(ROW(C1)-1,6)+1)</f>
        <v>Ngữ văn 6</v>
      </c>
      <c r="F39" t="str">
        <f>INDEX($C$19:$H$19,INT((ROW(C1)-1)/6)+1, MOD(ROW(C1)-1,6)+1)</f>
        <v>Giáo dục địa phương 8</v>
      </c>
      <c r="G39" t="str">
        <f>INDEX($C$20:$H$20,INT((ROW(C1)-1)/6)+1, MOD(ROW(C1)-1,6)+1)</f>
        <v>Ngữ văn 7</v>
      </c>
    </row>
    <row r="40" spans="1:9" x14ac:dyDescent="0.3">
      <c r="A40" s="2"/>
      <c r="C40" t="str">
        <f t="shared" ref="C40:C43" si="14">INDEX($C$16:$H$16,INT((ROW(C2)-1)/6)+1, MOD(ROW(C2)-1,6)+1)</f>
        <v>Khoa học tự nhiên (Vật lý) 6</v>
      </c>
      <c r="D40" t="str">
        <f t="shared" ref="D40:D44" si="15">INDEX($C$17:$H$17,INT((ROW(C2)-1)/6)+1, MOD(ROW(C2)-1,6)+1)</f>
        <v>Ngoại ngữ 8</v>
      </c>
      <c r="E40" t="str">
        <f t="shared" ref="E40:E44" si="16">INDEX($C$18:$H$18,INT((ROW(C2)-1)/6)+1, MOD(ROW(C2)-1,6)+1)</f>
        <v>Hoạt động trải nghiệm, hướng nghiệp 6</v>
      </c>
      <c r="F40" t="str">
        <f t="shared" ref="F40:F44" si="17">INDEX($C$19:$H$19,INT((ROW(C2)-1)/6)+1, MOD(ROW(C2)-1,6)+1)</f>
        <v>Giáo dục địa phương 9</v>
      </c>
      <c r="G40" t="str">
        <f t="shared" ref="G40:G44" si="18">INDEX($C$20:$H$20,INT((ROW(C2)-1)/6)+1, MOD(ROW(C2)-1,6)+1)</f>
        <v>Giáo dục công dân 6</v>
      </c>
    </row>
    <row r="41" spans="1:9" x14ac:dyDescent="0.3">
      <c r="A41" s="2"/>
      <c r="C41" t="str">
        <f t="shared" si="14"/>
        <v>Khoa học tự nhiên (Sinh học) 9</v>
      </c>
      <c r="D41" t="str">
        <f t="shared" si="15"/>
        <v>Phụ trách CSVC</v>
      </c>
      <c r="E41" t="str">
        <f t="shared" si="16"/>
        <v>Bồi dưỡng/phụ đạo</v>
      </c>
      <c r="F41">
        <f t="shared" si="17"/>
        <v>0</v>
      </c>
      <c r="G41" t="str">
        <f t="shared" si="18"/>
        <v>Nghệ thuật (Âm nhạc) 8</v>
      </c>
    </row>
    <row r="42" spans="1:9" x14ac:dyDescent="0.3">
      <c r="A42" s="2"/>
      <c r="C42" t="str">
        <f t="shared" si="14"/>
        <v>Công nghệ 6</v>
      </c>
      <c r="D42">
        <f t="shared" si="15"/>
        <v>0</v>
      </c>
      <c r="E42">
        <f t="shared" si="16"/>
        <v>0</v>
      </c>
      <c r="F42">
        <f t="shared" si="17"/>
        <v>0</v>
      </c>
      <c r="G42" t="str">
        <f t="shared" si="18"/>
        <v>Tin 6</v>
      </c>
    </row>
    <row r="43" spans="1:9" x14ac:dyDescent="0.3">
      <c r="A43" s="2"/>
      <c r="C43" t="str">
        <f t="shared" si="14"/>
        <v>Công nghệ 7</v>
      </c>
      <c r="D43">
        <f t="shared" si="15"/>
        <v>0</v>
      </c>
      <c r="E43">
        <f t="shared" si="16"/>
        <v>0</v>
      </c>
      <c r="F43">
        <f t="shared" si="17"/>
        <v>0</v>
      </c>
      <c r="G43" t="str">
        <f t="shared" si="18"/>
        <v>Giáo dục công dân 8</v>
      </c>
    </row>
    <row r="44" spans="1:9" x14ac:dyDescent="0.3">
      <c r="A44" s="2"/>
      <c r="C44" t="str">
        <f>INDEX($C$16:$H$16,INT((ROW(C6)-1)/6)+1, MOD(ROW(C6)-1,6)+1)</f>
        <v>Công nghệ 8</v>
      </c>
      <c r="D44">
        <f t="shared" si="15"/>
        <v>0</v>
      </c>
      <c r="E44">
        <f t="shared" si="16"/>
        <v>0</v>
      </c>
      <c r="F44">
        <f t="shared" si="17"/>
        <v>0</v>
      </c>
      <c r="G44" t="str">
        <f t="shared" si="18"/>
        <v>Giáo dục công dân 9</v>
      </c>
    </row>
    <row r="45" spans="1:9" x14ac:dyDescent="0.3">
      <c r="A45" s="2"/>
    </row>
    <row r="46" spans="1:9" x14ac:dyDescent="0.3">
      <c r="A46" s="2"/>
      <c r="C46" t="s">
        <v>1</v>
      </c>
      <c r="D46" t="s">
        <v>139</v>
      </c>
      <c r="E46" t="s">
        <v>140</v>
      </c>
      <c r="F46" t="s">
        <v>141</v>
      </c>
      <c r="G46" t="s">
        <v>142</v>
      </c>
    </row>
    <row r="47" spans="1:9" x14ac:dyDescent="0.3">
      <c r="A47" s="2"/>
    </row>
    <row r="48" spans="1:9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</sheetData>
  <sortState xmlns:xlrd2="http://schemas.microsoft.com/office/spreadsheetml/2017/richdata2" ref="A2:C19">
    <sortCondition ref="A3:A19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F310-9FC4-4C77-A570-008FF3FB7091}">
  <dimension ref="A1:E18"/>
  <sheetViews>
    <sheetView workbookViewId="0">
      <selection activeCell="I15" sqref="I15"/>
    </sheetView>
  </sheetViews>
  <sheetFormatPr defaultRowHeight="16.8" x14ac:dyDescent="0.3"/>
  <cols>
    <col min="1" max="1" width="19.08984375" customWidth="1"/>
    <col min="2" max="5" width="10.81640625" customWidth="1"/>
  </cols>
  <sheetData>
    <row r="1" spans="1:5" ht="17.399999999999999" x14ac:dyDescent="0.3">
      <c r="A1" s="23" t="s">
        <v>109</v>
      </c>
      <c r="B1" s="23"/>
      <c r="C1" s="23"/>
      <c r="D1" s="23"/>
      <c r="E1" s="23"/>
    </row>
    <row r="2" spans="1:5" ht="17.399999999999999" x14ac:dyDescent="0.3">
      <c r="A2" s="11" t="s">
        <v>107</v>
      </c>
      <c r="B2" s="12">
        <v>6</v>
      </c>
      <c r="C2" s="12">
        <v>7</v>
      </c>
      <c r="D2" s="12">
        <v>8</v>
      </c>
      <c r="E2" s="12">
        <v>9</v>
      </c>
    </row>
    <row r="3" spans="1:5" ht="18" x14ac:dyDescent="0.3">
      <c r="A3" s="9" t="s">
        <v>91</v>
      </c>
      <c r="B3" s="10">
        <v>4</v>
      </c>
      <c r="C3" s="10">
        <v>4</v>
      </c>
      <c r="D3" s="10">
        <v>4</v>
      </c>
      <c r="E3" s="10">
        <v>4</v>
      </c>
    </row>
    <row r="4" spans="1:5" ht="18" x14ac:dyDescent="0.3">
      <c r="A4" s="9" t="s">
        <v>92</v>
      </c>
      <c r="B4" s="10">
        <v>4</v>
      </c>
      <c r="C4" s="10">
        <v>4</v>
      </c>
      <c r="D4" s="10">
        <v>4</v>
      </c>
      <c r="E4" s="10">
        <v>4</v>
      </c>
    </row>
    <row r="5" spans="1:5" ht="18" x14ac:dyDescent="0.3">
      <c r="A5" s="9" t="s">
        <v>93</v>
      </c>
      <c r="B5" s="10">
        <v>3</v>
      </c>
      <c r="C5" s="10">
        <v>3</v>
      </c>
      <c r="D5" s="10">
        <v>3</v>
      </c>
      <c r="E5" s="10">
        <v>3</v>
      </c>
    </row>
    <row r="6" spans="1:5" ht="18" x14ac:dyDescent="0.3">
      <c r="A6" s="9" t="s">
        <v>94</v>
      </c>
      <c r="B6" s="10">
        <v>1</v>
      </c>
      <c r="C6" s="10">
        <v>1</v>
      </c>
      <c r="D6" s="10">
        <v>1</v>
      </c>
      <c r="E6" s="10">
        <v>1</v>
      </c>
    </row>
    <row r="7" spans="1:5" ht="18" x14ac:dyDescent="0.3">
      <c r="A7" s="9" t="s">
        <v>95</v>
      </c>
      <c r="B7" s="10">
        <v>1.4</v>
      </c>
      <c r="C7" s="10">
        <v>1.2</v>
      </c>
      <c r="D7" s="10">
        <v>1.2</v>
      </c>
      <c r="E7" s="10">
        <v>1.5</v>
      </c>
    </row>
    <row r="8" spans="1:5" ht="18" x14ac:dyDescent="0.3">
      <c r="A8" s="9" t="s">
        <v>97</v>
      </c>
      <c r="B8" s="10">
        <v>1</v>
      </c>
      <c r="C8" s="10">
        <v>1</v>
      </c>
      <c r="D8" s="10">
        <v>1.3</v>
      </c>
      <c r="E8" s="10" t="s">
        <v>151</v>
      </c>
    </row>
    <row r="9" spans="1:5" ht="18" x14ac:dyDescent="0.3">
      <c r="A9" s="9" t="s">
        <v>98</v>
      </c>
      <c r="B9" s="10">
        <v>1.6</v>
      </c>
      <c r="C9" s="10">
        <v>1.8</v>
      </c>
      <c r="D9" s="10">
        <v>1.5</v>
      </c>
      <c r="E9" s="10">
        <v>1</v>
      </c>
    </row>
    <row r="10" spans="1:5" ht="18" x14ac:dyDescent="0.3">
      <c r="A10" s="9" t="s">
        <v>99</v>
      </c>
      <c r="B10" s="10" t="s">
        <v>96</v>
      </c>
      <c r="C10" s="10" t="s">
        <v>96</v>
      </c>
      <c r="D10" s="10" t="s">
        <v>96</v>
      </c>
      <c r="E10" s="10" t="s">
        <v>96</v>
      </c>
    </row>
    <row r="11" spans="1:5" ht="18" x14ac:dyDescent="0.3">
      <c r="A11" s="9" t="s">
        <v>100</v>
      </c>
      <c r="B11" s="10" t="s">
        <v>96</v>
      </c>
      <c r="C11" s="10" t="s">
        <v>96</v>
      </c>
      <c r="D11" s="10" t="s">
        <v>96</v>
      </c>
      <c r="E11" s="10" t="s">
        <v>96</v>
      </c>
    </row>
    <row r="12" spans="1:5" ht="18" x14ac:dyDescent="0.3">
      <c r="A12" s="9" t="s">
        <v>101</v>
      </c>
      <c r="B12" s="10">
        <v>1</v>
      </c>
      <c r="C12" s="10">
        <v>1</v>
      </c>
      <c r="D12" s="10">
        <v>1</v>
      </c>
      <c r="E12" s="10">
        <v>1</v>
      </c>
    </row>
    <row r="13" spans="1:5" ht="18" x14ac:dyDescent="0.3">
      <c r="A13" s="9" t="s">
        <v>102</v>
      </c>
      <c r="B13" s="10">
        <v>1</v>
      </c>
      <c r="C13" s="10">
        <v>1</v>
      </c>
      <c r="D13" s="10">
        <v>1</v>
      </c>
      <c r="E13" s="10">
        <v>1</v>
      </c>
    </row>
    <row r="14" spans="1:5" ht="18" x14ac:dyDescent="0.3">
      <c r="A14" s="9" t="s">
        <v>103</v>
      </c>
      <c r="B14" s="10">
        <v>1</v>
      </c>
      <c r="C14" s="10">
        <v>1</v>
      </c>
      <c r="D14" s="10">
        <v>1</v>
      </c>
      <c r="E14" s="10">
        <v>1</v>
      </c>
    </row>
    <row r="15" spans="1:5" ht="18" x14ac:dyDescent="0.3">
      <c r="A15" s="9" t="s">
        <v>104</v>
      </c>
      <c r="B15" s="10">
        <v>1</v>
      </c>
      <c r="C15" s="10">
        <v>1</v>
      </c>
      <c r="D15" s="10">
        <v>1</v>
      </c>
      <c r="E15" s="10">
        <v>1</v>
      </c>
    </row>
    <row r="16" spans="1:5" ht="18" x14ac:dyDescent="0.3">
      <c r="A16" s="9" t="s">
        <v>105</v>
      </c>
      <c r="B16" s="10">
        <v>2</v>
      </c>
      <c r="C16" s="10">
        <v>2</v>
      </c>
      <c r="D16" s="10">
        <v>2</v>
      </c>
      <c r="E16" s="10">
        <v>2</v>
      </c>
    </row>
    <row r="17" spans="1:5" ht="18" x14ac:dyDescent="0.3">
      <c r="A17" s="9" t="s">
        <v>108</v>
      </c>
      <c r="B17" s="10">
        <v>1</v>
      </c>
      <c r="C17" s="10">
        <v>1</v>
      </c>
      <c r="D17" s="10">
        <v>1</v>
      </c>
      <c r="E17" s="10">
        <v>1</v>
      </c>
    </row>
    <row r="18" spans="1:5" ht="18" x14ac:dyDescent="0.3">
      <c r="A18" s="9" t="s">
        <v>106</v>
      </c>
      <c r="B18" s="10">
        <v>3</v>
      </c>
      <c r="C18" s="10">
        <v>3</v>
      </c>
      <c r="D18" s="10">
        <v>3</v>
      </c>
      <c r="E18" s="10"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CÔNG CHUYÊN MÔN</vt:lpstr>
      <vt:lpstr>NHÁP</vt:lpstr>
      <vt:lpstr>Định lượng tiết dạy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Văn Khu</dc:creator>
  <cp:lastModifiedBy>Lương Văn Khu</cp:lastModifiedBy>
  <dcterms:created xsi:type="dcterms:W3CDTF">2026-07-05T01:31:05Z</dcterms:created>
  <dcterms:modified xsi:type="dcterms:W3CDTF">2026-08-27T14:56:08Z</dcterms:modified>
</cp:coreProperties>
</file>